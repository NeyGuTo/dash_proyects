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\Desktop\ESTADISTICA\ESTADISTICA 2025\"/>
    </mc:Choice>
  </mc:AlternateContent>
  <xr:revisionPtr revIDLastSave="0" documentId="13_ncr:1_{B2AC9B3D-ADF6-440A-A5C6-A7400E3F18A2}" xr6:coauthVersionLast="47" xr6:coauthVersionMax="47" xr10:uidLastSave="{00000000-0000-0000-0000-000000000000}"/>
  <bookViews>
    <workbookView xWindow="5010" yWindow="240" windowWidth="22185" windowHeight="15270" tabRatio="701" firstSheet="7" activeTab="12" xr2:uid="{00000000-000D-0000-FFFF-FFFF00000000}"/>
  </bookViews>
  <sheets>
    <sheet name="ENERO" sheetId="22" r:id="rId1"/>
    <sheet name="FEBRERO" sheetId="23" r:id="rId2"/>
    <sheet name="MARZO" sheetId="24" r:id="rId3"/>
    <sheet name="ABRIL" sheetId="25" r:id="rId4"/>
    <sheet name="MAYO" sheetId="27" r:id="rId5"/>
    <sheet name="JUN" sheetId="28" r:id="rId6"/>
    <sheet name="JUL" sheetId="29" r:id="rId7"/>
    <sheet name="AGO" sheetId="30" r:id="rId8"/>
    <sheet name="SET" sheetId="31" r:id="rId9"/>
    <sheet name="OCT" sheetId="32" r:id="rId10"/>
    <sheet name="NOV" sheetId="33" r:id="rId11"/>
    <sheet name="DIC" sheetId="34" r:id="rId12"/>
    <sheet name="CONSOLIDADO" sheetId="26" r:id="rId13"/>
    <sheet name="Hoja1" sheetId="35" r:id="rId14"/>
    <sheet name="Hoja1 (2)" sheetId="36" r:id="rId15"/>
  </sheets>
  <calcPr calcId="181029"/>
</workbook>
</file>

<file path=xl/calcChain.xml><?xml version="1.0" encoding="utf-8"?>
<calcChain xmlns="http://schemas.openxmlformats.org/spreadsheetml/2006/main">
  <c r="Q21" i="33" l="1"/>
  <c r="H148" i="34"/>
  <c r="H152" i="34"/>
  <c r="H105" i="34"/>
  <c r="H104" i="34"/>
  <c r="H103" i="34"/>
  <c r="H102" i="34"/>
  <c r="H101" i="34"/>
  <c r="H100" i="34"/>
  <c r="H93" i="34"/>
  <c r="Q21" i="34" l="1"/>
  <c r="H23" i="34"/>
  <c r="H134" i="32"/>
  <c r="Q21" i="32"/>
  <c r="J24" i="36"/>
  <c r="I24" i="36"/>
  <c r="H24" i="36"/>
  <c r="G24" i="36"/>
  <c r="F24" i="36"/>
  <c r="E24" i="36"/>
  <c r="D24" i="36"/>
  <c r="C24" i="36"/>
  <c r="B24" i="36"/>
  <c r="J23" i="36"/>
  <c r="I23" i="36"/>
  <c r="H23" i="36"/>
  <c r="G23" i="36"/>
  <c r="F23" i="36"/>
  <c r="E23" i="36"/>
  <c r="D23" i="36"/>
  <c r="C23" i="36"/>
  <c r="B23" i="36"/>
  <c r="J22" i="36"/>
  <c r="I22" i="36"/>
  <c r="H22" i="36"/>
  <c r="G22" i="36"/>
  <c r="F22" i="36"/>
  <c r="E22" i="36"/>
  <c r="D22" i="36"/>
  <c r="C22" i="36"/>
  <c r="B22" i="36"/>
  <c r="I21" i="36"/>
  <c r="H21" i="36"/>
  <c r="G21" i="36"/>
  <c r="F21" i="36"/>
  <c r="E21" i="36"/>
  <c r="D21" i="36"/>
  <c r="C21" i="36"/>
  <c r="B21" i="36"/>
  <c r="I20" i="36"/>
  <c r="H20" i="36"/>
  <c r="G20" i="36"/>
  <c r="F20" i="36"/>
  <c r="E20" i="36"/>
  <c r="D20" i="36"/>
  <c r="C20" i="36"/>
  <c r="B20" i="36"/>
  <c r="I19" i="36"/>
  <c r="H19" i="36"/>
  <c r="G19" i="36"/>
  <c r="F19" i="36"/>
  <c r="E19" i="36"/>
  <c r="D19" i="36"/>
  <c r="C19" i="36"/>
  <c r="B19" i="36"/>
  <c r="I18" i="36"/>
  <c r="H18" i="36"/>
  <c r="G18" i="36"/>
  <c r="F18" i="36"/>
  <c r="E18" i="36"/>
  <c r="D18" i="36"/>
  <c r="C18" i="36"/>
  <c r="B18" i="36"/>
  <c r="I17" i="36"/>
  <c r="H17" i="36"/>
  <c r="G17" i="36"/>
  <c r="F17" i="36"/>
  <c r="E17" i="36"/>
  <c r="D17" i="36"/>
  <c r="C17" i="36"/>
  <c r="B17" i="36"/>
  <c r="B12" i="35"/>
  <c r="B11" i="35"/>
  <c r="B10" i="35"/>
  <c r="B9" i="35"/>
  <c r="B8" i="35"/>
  <c r="B7" i="35"/>
  <c r="B6" i="35"/>
  <c r="B5" i="35"/>
  <c r="Q21" i="31"/>
  <c r="H23" i="31"/>
  <c r="H24" i="31"/>
  <c r="H25" i="31"/>
  <c r="H26" i="31"/>
  <c r="H27" i="31"/>
  <c r="H28" i="31"/>
  <c r="H29" i="31"/>
  <c r="H30" i="31"/>
  <c r="H31" i="31"/>
  <c r="H32" i="31"/>
  <c r="H33" i="31"/>
  <c r="H100" i="31"/>
  <c r="H101" i="31"/>
  <c r="H102" i="31"/>
  <c r="H103" i="31"/>
  <c r="H104" i="31"/>
  <c r="H105" i="31"/>
  <c r="H106" i="31"/>
  <c r="H92" i="31"/>
  <c r="H93" i="31"/>
  <c r="H142" i="31"/>
  <c r="H143" i="31"/>
  <c r="H144" i="31"/>
  <c r="H145" i="31"/>
  <c r="H146" i="31"/>
  <c r="H147" i="31"/>
  <c r="H148" i="31"/>
  <c r="H149" i="31"/>
  <c r="H150" i="31"/>
  <c r="H151" i="31"/>
  <c r="H152" i="31"/>
  <c r="H153" i="31"/>
  <c r="H154" i="31"/>
  <c r="H155" i="31"/>
  <c r="H23" i="33"/>
  <c r="H93" i="33"/>
  <c r="H97" i="33"/>
  <c r="H98" i="33"/>
  <c r="H99" i="33"/>
  <c r="H100" i="33"/>
  <c r="H101" i="33"/>
  <c r="H102" i="33"/>
  <c r="H103" i="33"/>
  <c r="H104" i="33"/>
  <c r="H105" i="33"/>
  <c r="H106" i="33"/>
  <c r="H107" i="33"/>
  <c r="H148" i="33"/>
  <c r="H149" i="33"/>
  <c r="H150" i="33"/>
  <c r="H151" i="33"/>
  <c r="H152" i="33"/>
  <c r="H153" i="33"/>
  <c r="H154" i="33"/>
  <c r="H155" i="33"/>
  <c r="H97" i="32"/>
  <c r="H98" i="32"/>
  <c r="H99" i="32"/>
  <c r="H100" i="32"/>
  <c r="H101" i="32"/>
  <c r="H102" i="32"/>
  <c r="H103" i="32"/>
  <c r="H104" i="32"/>
  <c r="H105" i="32"/>
  <c r="H106" i="32"/>
  <c r="H107" i="32"/>
  <c r="H92" i="32"/>
  <c r="H93" i="32"/>
  <c r="H23" i="32"/>
  <c r="H24" i="32"/>
  <c r="H25" i="32"/>
  <c r="H26" i="32"/>
  <c r="H27" i="32"/>
  <c r="H28" i="32"/>
  <c r="H29" i="32"/>
  <c r="H30" i="32"/>
  <c r="H31" i="32"/>
  <c r="H32" i="32"/>
  <c r="H33" i="32"/>
  <c r="H146" i="32"/>
  <c r="H147" i="32"/>
  <c r="H148" i="32"/>
  <c r="H149" i="32"/>
  <c r="H150" i="32"/>
  <c r="H151" i="32"/>
  <c r="H152" i="32"/>
  <c r="H153" i="32"/>
  <c r="H154" i="32"/>
  <c r="H155" i="32"/>
  <c r="B103" i="26"/>
  <c r="C103" i="26"/>
  <c r="D103" i="26"/>
  <c r="E103" i="26"/>
  <c r="F103" i="26"/>
  <c r="G103" i="26"/>
  <c r="B104" i="26"/>
  <c r="C104" i="26"/>
  <c r="D104" i="26"/>
  <c r="E104" i="26"/>
  <c r="F104" i="26"/>
  <c r="G104" i="26"/>
  <c r="B105" i="26"/>
  <c r="C105" i="26"/>
  <c r="D105" i="26"/>
  <c r="E105" i="26"/>
  <c r="F105" i="26"/>
  <c r="G105" i="26"/>
  <c r="H116" i="30"/>
  <c r="C95" i="30"/>
  <c r="D95" i="30"/>
  <c r="E95" i="30"/>
  <c r="F95" i="30"/>
  <c r="G95" i="30"/>
  <c r="B95" i="30"/>
  <c r="C82" i="30"/>
  <c r="D82" i="30"/>
  <c r="E82" i="30"/>
  <c r="F82" i="30"/>
  <c r="G82" i="30"/>
  <c r="B82" i="30"/>
  <c r="Q21" i="30"/>
  <c r="H93" i="30"/>
  <c r="H23" i="30"/>
  <c r="H24" i="30"/>
  <c r="H25" i="30"/>
  <c r="H26" i="30"/>
  <c r="H27" i="30"/>
  <c r="H28" i="30"/>
  <c r="H29" i="30"/>
  <c r="H30" i="30"/>
  <c r="H31" i="30"/>
  <c r="H32" i="30"/>
  <c r="H33" i="30"/>
  <c r="H34" i="30"/>
  <c r="H35" i="30"/>
  <c r="H117" i="30"/>
  <c r="H118" i="30"/>
  <c r="H119" i="30"/>
  <c r="H120" i="30"/>
  <c r="H121" i="30"/>
  <c r="H122" i="30"/>
  <c r="H123" i="30"/>
  <c r="H124" i="30"/>
  <c r="H125" i="30"/>
  <c r="H126" i="30"/>
  <c r="H127" i="30"/>
  <c r="H128" i="30"/>
  <c r="H129" i="30"/>
  <c r="H130" i="30"/>
  <c r="H131" i="30"/>
  <c r="H132" i="30"/>
  <c r="H133" i="30"/>
  <c r="H134" i="30"/>
  <c r="H135" i="30"/>
  <c r="H136" i="30"/>
  <c r="H137" i="30"/>
  <c r="H138" i="30"/>
  <c r="H139" i="30"/>
  <c r="H140" i="30"/>
  <c r="H141" i="30"/>
  <c r="H142" i="30"/>
  <c r="H143" i="30"/>
  <c r="H144" i="30"/>
  <c r="H145" i="30"/>
  <c r="H146" i="30"/>
  <c r="H147" i="30"/>
  <c r="H148" i="30"/>
  <c r="H149" i="30"/>
  <c r="H150" i="30"/>
  <c r="H151" i="30"/>
  <c r="H152" i="30"/>
  <c r="H153" i="30"/>
  <c r="H154" i="30"/>
  <c r="H155" i="30"/>
  <c r="H97" i="30"/>
  <c r="H98" i="30"/>
  <c r="H99" i="30"/>
  <c r="H100" i="30"/>
  <c r="H101" i="30"/>
  <c r="H102" i="30"/>
  <c r="H103" i="30"/>
  <c r="H104" i="30"/>
  <c r="H105" i="30"/>
  <c r="H106" i="30"/>
  <c r="H107" i="30"/>
  <c r="B95" i="29"/>
  <c r="C82" i="29"/>
  <c r="D82" i="29"/>
  <c r="E82" i="29"/>
  <c r="F82" i="29"/>
  <c r="G82" i="29"/>
  <c r="B82" i="29"/>
  <c r="C95" i="29"/>
  <c r="D95" i="29"/>
  <c r="E95" i="29"/>
  <c r="F95" i="29"/>
  <c r="G95" i="29"/>
  <c r="H117" i="29"/>
  <c r="H118" i="29"/>
  <c r="H119" i="29"/>
  <c r="H120" i="29"/>
  <c r="H121" i="29"/>
  <c r="H122" i="29"/>
  <c r="H123" i="29"/>
  <c r="H124" i="29"/>
  <c r="H125" i="29"/>
  <c r="H126" i="29"/>
  <c r="H127" i="29"/>
  <c r="H128" i="29"/>
  <c r="H129" i="29"/>
  <c r="H130" i="29"/>
  <c r="H131" i="29"/>
  <c r="H132" i="29"/>
  <c r="H133" i="29"/>
  <c r="H134" i="29"/>
  <c r="H135" i="29"/>
  <c r="H136" i="29"/>
  <c r="H137" i="29"/>
  <c r="H138" i="29"/>
  <c r="H139" i="29"/>
  <c r="H140" i="29"/>
  <c r="H141" i="29"/>
  <c r="H142" i="29"/>
  <c r="H143" i="29"/>
  <c r="H144" i="29"/>
  <c r="H145" i="29"/>
  <c r="H146" i="29"/>
  <c r="H147" i="29"/>
  <c r="H148" i="29"/>
  <c r="H149" i="29"/>
  <c r="H150" i="29"/>
  <c r="H151" i="29"/>
  <c r="H152" i="29"/>
  <c r="H153" i="29"/>
  <c r="H154" i="29"/>
  <c r="H155" i="29"/>
  <c r="B152" i="26"/>
  <c r="C152" i="26"/>
  <c r="D152" i="26"/>
  <c r="E152" i="26"/>
  <c r="F152" i="26"/>
  <c r="G152" i="26"/>
  <c r="H97" i="29"/>
  <c r="H98" i="29"/>
  <c r="H99" i="29"/>
  <c r="H100" i="29"/>
  <c r="H101" i="29"/>
  <c r="H102" i="29"/>
  <c r="H103" i="29"/>
  <c r="H104" i="29"/>
  <c r="H105" i="29"/>
  <c r="H106" i="29"/>
  <c r="H107" i="29"/>
  <c r="Q21" i="29"/>
  <c r="H23" i="29"/>
  <c r="H24" i="29"/>
  <c r="H25" i="29"/>
  <c r="H26" i="29"/>
  <c r="H27" i="29"/>
  <c r="H28" i="29"/>
  <c r="H29" i="29"/>
  <c r="H30" i="29"/>
  <c r="H31" i="29"/>
  <c r="H32" i="29"/>
  <c r="H91" i="29"/>
  <c r="H92" i="29"/>
  <c r="H93" i="29"/>
  <c r="K21" i="26"/>
  <c r="L21" i="26"/>
  <c r="M21" i="26"/>
  <c r="N21" i="26"/>
  <c r="O21" i="26"/>
  <c r="P21" i="26"/>
  <c r="Q21" i="28"/>
  <c r="C95" i="28"/>
  <c r="D95" i="28"/>
  <c r="E95" i="28"/>
  <c r="F95" i="28"/>
  <c r="G95" i="28"/>
  <c r="B95" i="28"/>
  <c r="C82" i="28"/>
  <c r="D82" i="28"/>
  <c r="E82" i="28"/>
  <c r="F82" i="28"/>
  <c r="G82" i="28"/>
  <c r="B82" i="28"/>
  <c r="H154" i="28"/>
  <c r="H155" i="28"/>
  <c r="H146" i="28"/>
  <c r="H147" i="28"/>
  <c r="H23" i="28"/>
  <c r="H24" i="28"/>
  <c r="H25" i="28"/>
  <c r="H26" i="28"/>
  <c r="H27" i="28"/>
  <c r="H28" i="28"/>
  <c r="H29" i="28"/>
  <c r="H30" i="28"/>
  <c r="H31" i="28"/>
  <c r="H32" i="28"/>
  <c r="H93" i="28"/>
  <c r="H99" i="28"/>
  <c r="H100" i="28"/>
  <c r="H101" i="28"/>
  <c r="H102" i="28"/>
  <c r="H103" i="28"/>
  <c r="H104" i="28"/>
  <c r="H105" i="28"/>
  <c r="H103" i="26" l="1"/>
  <c r="H104" i="26"/>
  <c r="H152" i="26"/>
  <c r="Q21" i="26"/>
  <c r="C82" i="27"/>
  <c r="D82" i="27"/>
  <c r="E82" i="27"/>
  <c r="F82" i="27"/>
  <c r="G82" i="27"/>
  <c r="B82" i="27"/>
  <c r="C95" i="27"/>
  <c r="D95" i="27"/>
  <c r="E95" i="27"/>
  <c r="F95" i="27"/>
  <c r="G95" i="27"/>
  <c r="B95" i="27"/>
  <c r="H104" i="27"/>
  <c r="H103" i="27"/>
  <c r="H103" i="25"/>
  <c r="H100" i="24"/>
  <c r="H101" i="24"/>
  <c r="H102" i="24"/>
  <c r="H103" i="24"/>
  <c r="H105" i="24"/>
  <c r="H23" i="27"/>
  <c r="H24" i="27"/>
  <c r="H25" i="27"/>
  <c r="H26" i="27"/>
  <c r="H27" i="27"/>
  <c r="H28" i="27"/>
  <c r="H29" i="27"/>
  <c r="H30" i="27"/>
  <c r="H31" i="27"/>
  <c r="H32" i="27"/>
  <c r="H93" i="27"/>
  <c r="H98" i="27"/>
  <c r="H99" i="27"/>
  <c r="H100" i="27"/>
  <c r="H101" i="27"/>
  <c r="H102" i="27"/>
  <c r="H105" i="27"/>
  <c r="H145" i="27"/>
  <c r="H146" i="27"/>
  <c r="H147" i="27"/>
  <c r="H148" i="27"/>
  <c r="C95" i="24"/>
  <c r="D95" i="24"/>
  <c r="E95" i="24"/>
  <c r="F95" i="24"/>
  <c r="G95" i="24"/>
  <c r="B95" i="24"/>
  <c r="C95" i="25"/>
  <c r="D95" i="25"/>
  <c r="E95" i="25"/>
  <c r="F95" i="25"/>
  <c r="G95" i="25"/>
  <c r="B95" i="25"/>
  <c r="C82" i="25"/>
  <c r="D82" i="25"/>
  <c r="E82" i="25"/>
  <c r="F82" i="25"/>
  <c r="G82" i="25"/>
  <c r="B82" i="25"/>
  <c r="C82" i="24"/>
  <c r="D82" i="24"/>
  <c r="E82" i="24"/>
  <c r="F82" i="24"/>
  <c r="G82" i="24"/>
  <c r="B82" i="24"/>
  <c r="H93" i="25"/>
  <c r="H32" i="25"/>
  <c r="B23" i="26"/>
  <c r="C23" i="26"/>
  <c r="D23" i="26"/>
  <c r="E23" i="26"/>
  <c r="F23" i="26"/>
  <c r="G23" i="26"/>
  <c r="H23" i="23"/>
  <c r="H23" i="25"/>
  <c r="B100" i="26"/>
  <c r="C100" i="26"/>
  <c r="D100" i="26"/>
  <c r="E100" i="26"/>
  <c r="F100" i="26"/>
  <c r="G100" i="26"/>
  <c r="B101" i="26"/>
  <c r="C101" i="26"/>
  <c r="D101" i="26"/>
  <c r="E101" i="26"/>
  <c r="F101" i="26"/>
  <c r="G101" i="26"/>
  <c r="B102" i="26"/>
  <c r="C102" i="26"/>
  <c r="D102" i="26"/>
  <c r="E102" i="26"/>
  <c r="F102" i="26"/>
  <c r="G102" i="26"/>
  <c r="G148" i="26"/>
  <c r="F148" i="26"/>
  <c r="E148" i="26"/>
  <c r="D148" i="26"/>
  <c r="C148" i="26"/>
  <c r="B148" i="26"/>
  <c r="H148" i="25"/>
  <c r="H155" i="25"/>
  <c r="H154" i="25"/>
  <c r="H154" i="27"/>
  <c r="H155" i="27"/>
  <c r="H100" i="25"/>
  <c r="H101" i="25"/>
  <c r="H102" i="25"/>
  <c r="H105" i="25"/>
  <c r="H146" i="25"/>
  <c r="H99" i="25"/>
  <c r="H154" i="24"/>
  <c r="H155" i="24"/>
  <c r="H93" i="24"/>
  <c r="H146" i="24"/>
  <c r="Q36" i="34"/>
  <c r="Q36" i="33"/>
  <c r="Q36" i="32"/>
  <c r="Q36" i="31"/>
  <c r="Q36" i="30"/>
  <c r="Q36" i="29"/>
  <c r="Q36" i="28"/>
  <c r="Q36" i="27"/>
  <c r="Q36" i="25"/>
  <c r="Q36" i="24"/>
  <c r="H99" i="24"/>
  <c r="H32" i="24"/>
  <c r="H106" i="23"/>
  <c r="H99" i="23"/>
  <c r="H32" i="23"/>
  <c r="L41" i="23"/>
  <c r="M41" i="23"/>
  <c r="N41" i="23"/>
  <c r="O41" i="23"/>
  <c r="P41" i="23"/>
  <c r="K41" i="23"/>
  <c r="Q48" i="23"/>
  <c r="Q49" i="23"/>
  <c r="Q47" i="23"/>
  <c r="C95" i="23"/>
  <c r="D95" i="23"/>
  <c r="E95" i="23"/>
  <c r="F95" i="23"/>
  <c r="G95" i="23"/>
  <c r="B95" i="23"/>
  <c r="B95" i="22"/>
  <c r="Q35" i="23"/>
  <c r="Q36" i="23"/>
  <c r="H93" i="23"/>
  <c r="H119" i="23"/>
  <c r="H146" i="23"/>
  <c r="H137" i="23"/>
  <c r="H138" i="23"/>
  <c r="H155" i="23"/>
  <c r="H154" i="23"/>
  <c r="H32" i="22"/>
  <c r="C82" i="22"/>
  <c r="D82" i="22"/>
  <c r="E82" i="22"/>
  <c r="F82" i="22"/>
  <c r="G82" i="22"/>
  <c r="B82" i="22"/>
  <c r="H93" i="22"/>
  <c r="B93" i="26"/>
  <c r="C93" i="26"/>
  <c r="D93" i="26"/>
  <c r="E93" i="26"/>
  <c r="F93" i="26"/>
  <c r="G93" i="26"/>
  <c r="C95" i="22"/>
  <c r="D95" i="22"/>
  <c r="E95" i="22"/>
  <c r="F95" i="22"/>
  <c r="G95" i="22"/>
  <c r="H154" i="22"/>
  <c r="H155" i="22"/>
  <c r="H146" i="22"/>
  <c r="H138" i="22"/>
  <c r="H119" i="22"/>
  <c r="H99" i="22"/>
  <c r="H106" i="22"/>
  <c r="K36" i="26"/>
  <c r="L36" i="26"/>
  <c r="M36" i="26"/>
  <c r="N36" i="26"/>
  <c r="O36" i="26"/>
  <c r="P36" i="26"/>
  <c r="Q36" i="22"/>
  <c r="L41" i="22"/>
  <c r="M41" i="22"/>
  <c r="N41" i="22"/>
  <c r="O41" i="22"/>
  <c r="P41" i="22"/>
  <c r="K41" i="22"/>
  <c r="Q47" i="22"/>
  <c r="Q48" i="22"/>
  <c r="Q49" i="22"/>
  <c r="K43" i="26"/>
  <c r="L43" i="26"/>
  <c r="M43" i="26"/>
  <c r="N43" i="26"/>
  <c r="O43" i="26"/>
  <c r="P43" i="26"/>
  <c r="K44" i="26"/>
  <c r="L44" i="26"/>
  <c r="M44" i="26"/>
  <c r="N44" i="26"/>
  <c r="O44" i="26"/>
  <c r="P44" i="26"/>
  <c r="K45" i="26"/>
  <c r="L45" i="26"/>
  <c r="M45" i="26"/>
  <c r="N45" i="26"/>
  <c r="O45" i="26"/>
  <c r="P45" i="26"/>
  <c r="K46" i="26"/>
  <c r="L46" i="26"/>
  <c r="M46" i="26"/>
  <c r="N46" i="26"/>
  <c r="O46" i="26"/>
  <c r="P46" i="26"/>
  <c r="K47" i="26"/>
  <c r="L47" i="26"/>
  <c r="M47" i="26"/>
  <c r="N47" i="26"/>
  <c r="O47" i="26"/>
  <c r="P47" i="26"/>
  <c r="K48" i="26"/>
  <c r="L48" i="26"/>
  <c r="M48" i="26"/>
  <c r="N48" i="26"/>
  <c r="O48" i="26"/>
  <c r="P48" i="26"/>
  <c r="K49" i="26"/>
  <c r="L49" i="26"/>
  <c r="M49" i="26"/>
  <c r="N49" i="26"/>
  <c r="O49" i="26"/>
  <c r="P49" i="26"/>
  <c r="L42" i="26"/>
  <c r="M42" i="26"/>
  <c r="N42" i="26"/>
  <c r="O42" i="26"/>
  <c r="P42" i="26"/>
  <c r="K42" i="26"/>
  <c r="K30" i="26"/>
  <c r="L30" i="26"/>
  <c r="M30" i="26"/>
  <c r="N30" i="26"/>
  <c r="O30" i="26"/>
  <c r="P30" i="26"/>
  <c r="K31" i="26"/>
  <c r="L31" i="26"/>
  <c r="M31" i="26"/>
  <c r="N31" i="26"/>
  <c r="O31" i="26"/>
  <c r="P31" i="26"/>
  <c r="K32" i="26"/>
  <c r="L32" i="26"/>
  <c r="M32" i="26"/>
  <c r="N32" i="26"/>
  <c r="O32" i="26"/>
  <c r="P32" i="26"/>
  <c r="K33" i="26"/>
  <c r="L33" i="26"/>
  <c r="M33" i="26"/>
  <c r="N33" i="26"/>
  <c r="O33" i="26"/>
  <c r="P33" i="26"/>
  <c r="K34" i="26"/>
  <c r="L34" i="26"/>
  <c r="M34" i="26"/>
  <c r="N34" i="26"/>
  <c r="O34" i="26"/>
  <c r="P34" i="26"/>
  <c r="K35" i="26"/>
  <c r="L35" i="26"/>
  <c r="M35" i="26"/>
  <c r="N35" i="26"/>
  <c r="O35" i="26"/>
  <c r="P35" i="26"/>
  <c r="K37" i="26"/>
  <c r="L37" i="26"/>
  <c r="M37" i="26"/>
  <c r="N37" i="26"/>
  <c r="O37" i="26"/>
  <c r="P37" i="26"/>
  <c r="L29" i="26"/>
  <c r="M29" i="26"/>
  <c r="N29" i="26"/>
  <c r="O29" i="26"/>
  <c r="P29" i="26"/>
  <c r="K29" i="26"/>
  <c r="K13" i="26"/>
  <c r="L13" i="26"/>
  <c r="M13" i="26"/>
  <c r="N13" i="26"/>
  <c r="O13" i="26"/>
  <c r="P13" i="26"/>
  <c r="K14" i="26"/>
  <c r="L14" i="26"/>
  <c r="M14" i="26"/>
  <c r="N14" i="26"/>
  <c r="O14" i="26"/>
  <c r="P14" i="26"/>
  <c r="K15" i="26"/>
  <c r="L15" i="26"/>
  <c r="M15" i="26"/>
  <c r="N15" i="26"/>
  <c r="O15" i="26"/>
  <c r="P15" i="26"/>
  <c r="K16" i="26"/>
  <c r="L16" i="26"/>
  <c r="M16" i="26"/>
  <c r="N16" i="26"/>
  <c r="O16" i="26"/>
  <c r="P16" i="26"/>
  <c r="K17" i="26"/>
  <c r="L17" i="26"/>
  <c r="M17" i="26"/>
  <c r="N17" i="26"/>
  <c r="O17" i="26"/>
  <c r="P17" i="26"/>
  <c r="K18" i="26"/>
  <c r="L18" i="26"/>
  <c r="M18" i="26"/>
  <c r="N18" i="26"/>
  <c r="O18" i="26"/>
  <c r="P18" i="26"/>
  <c r="K19" i="26"/>
  <c r="L19" i="26"/>
  <c r="M19" i="26"/>
  <c r="N19" i="26"/>
  <c r="O19" i="26"/>
  <c r="P19" i="26"/>
  <c r="K20" i="26"/>
  <c r="L20" i="26"/>
  <c r="M20" i="26"/>
  <c r="N20" i="26"/>
  <c r="O20" i="26"/>
  <c r="P20" i="26"/>
  <c r="K22" i="26"/>
  <c r="L22" i="26"/>
  <c r="M22" i="26"/>
  <c r="N22" i="26"/>
  <c r="O22" i="26"/>
  <c r="P22" i="26"/>
  <c r="K23" i="26"/>
  <c r="L23" i="26"/>
  <c r="M23" i="26"/>
  <c r="N23" i="26"/>
  <c r="O23" i="26"/>
  <c r="P23" i="26"/>
  <c r="L12" i="26"/>
  <c r="M12" i="26"/>
  <c r="N12" i="26"/>
  <c r="O12" i="26"/>
  <c r="P12" i="26"/>
  <c r="K12" i="26"/>
  <c r="B117" i="26"/>
  <c r="C117" i="26"/>
  <c r="D117" i="26"/>
  <c r="E117" i="26"/>
  <c r="F117" i="26"/>
  <c r="G117" i="26"/>
  <c r="B118" i="26"/>
  <c r="C118" i="26"/>
  <c r="D118" i="26"/>
  <c r="E118" i="26"/>
  <c r="F118" i="26"/>
  <c r="G118" i="26"/>
  <c r="B119" i="26"/>
  <c r="C119" i="26"/>
  <c r="D119" i="26"/>
  <c r="E119" i="26"/>
  <c r="F119" i="26"/>
  <c r="G119" i="26"/>
  <c r="B120" i="26"/>
  <c r="C120" i="26"/>
  <c r="D120" i="26"/>
  <c r="E120" i="26"/>
  <c r="F120" i="26"/>
  <c r="G120" i="26"/>
  <c r="B121" i="26"/>
  <c r="C121" i="26"/>
  <c r="D121" i="26"/>
  <c r="E121" i="26"/>
  <c r="F121" i="26"/>
  <c r="G121" i="26"/>
  <c r="B122" i="26"/>
  <c r="C122" i="26"/>
  <c r="D122" i="26"/>
  <c r="E122" i="26"/>
  <c r="F122" i="26"/>
  <c r="G122" i="26"/>
  <c r="B123" i="26"/>
  <c r="C123" i="26"/>
  <c r="D123" i="26"/>
  <c r="E123" i="26"/>
  <c r="F123" i="26"/>
  <c r="G123" i="26"/>
  <c r="B124" i="26"/>
  <c r="C124" i="26"/>
  <c r="D124" i="26"/>
  <c r="E124" i="26"/>
  <c r="F124" i="26"/>
  <c r="G124" i="26"/>
  <c r="B125" i="26"/>
  <c r="C125" i="26"/>
  <c r="D125" i="26"/>
  <c r="E125" i="26"/>
  <c r="F125" i="26"/>
  <c r="G125" i="26"/>
  <c r="B126" i="26"/>
  <c r="C126" i="26"/>
  <c r="D126" i="26"/>
  <c r="E126" i="26"/>
  <c r="F126" i="26"/>
  <c r="G126" i="26"/>
  <c r="B127" i="26"/>
  <c r="C127" i="26"/>
  <c r="D127" i="26"/>
  <c r="E127" i="26"/>
  <c r="F127" i="26"/>
  <c r="G127" i="26"/>
  <c r="B128" i="26"/>
  <c r="C128" i="26"/>
  <c r="D128" i="26"/>
  <c r="E128" i="26"/>
  <c r="F128" i="26"/>
  <c r="G128" i="26"/>
  <c r="B129" i="26"/>
  <c r="C129" i="26"/>
  <c r="D129" i="26"/>
  <c r="E129" i="26"/>
  <c r="F129" i="26"/>
  <c r="G129" i="26"/>
  <c r="B130" i="26"/>
  <c r="C130" i="26"/>
  <c r="D130" i="26"/>
  <c r="E130" i="26"/>
  <c r="F130" i="26"/>
  <c r="G130" i="26"/>
  <c r="B131" i="26"/>
  <c r="C131" i="26"/>
  <c r="D131" i="26"/>
  <c r="E131" i="26"/>
  <c r="F131" i="26"/>
  <c r="G131" i="26"/>
  <c r="B132" i="26"/>
  <c r="C132" i="26"/>
  <c r="D132" i="26"/>
  <c r="E132" i="26"/>
  <c r="F132" i="26"/>
  <c r="G132" i="26"/>
  <c r="B133" i="26"/>
  <c r="C133" i="26"/>
  <c r="D133" i="26"/>
  <c r="E133" i="26"/>
  <c r="F133" i="26"/>
  <c r="G133" i="26"/>
  <c r="B134" i="26"/>
  <c r="C134" i="26"/>
  <c r="D134" i="26"/>
  <c r="E134" i="26"/>
  <c r="F134" i="26"/>
  <c r="G134" i="26"/>
  <c r="B135" i="26"/>
  <c r="C135" i="26"/>
  <c r="D135" i="26"/>
  <c r="E135" i="26"/>
  <c r="F135" i="26"/>
  <c r="G135" i="26"/>
  <c r="B136" i="26"/>
  <c r="C136" i="26"/>
  <c r="D136" i="26"/>
  <c r="E136" i="26"/>
  <c r="F136" i="26"/>
  <c r="G136" i="26"/>
  <c r="B137" i="26"/>
  <c r="C137" i="26"/>
  <c r="D137" i="26"/>
  <c r="E137" i="26"/>
  <c r="F137" i="26"/>
  <c r="G137" i="26"/>
  <c r="B138" i="26"/>
  <c r="C138" i="26"/>
  <c r="D138" i="26"/>
  <c r="E138" i="26"/>
  <c r="F138" i="26"/>
  <c r="G138" i="26"/>
  <c r="B139" i="26"/>
  <c r="C139" i="26"/>
  <c r="D139" i="26"/>
  <c r="E139" i="26"/>
  <c r="F139" i="26"/>
  <c r="G139" i="26"/>
  <c r="B140" i="26"/>
  <c r="C140" i="26"/>
  <c r="D140" i="26"/>
  <c r="E140" i="26"/>
  <c r="F140" i="26"/>
  <c r="G140" i="26"/>
  <c r="B141" i="26"/>
  <c r="C141" i="26"/>
  <c r="D141" i="26"/>
  <c r="E141" i="26"/>
  <c r="F141" i="26"/>
  <c r="G141" i="26"/>
  <c r="B142" i="26"/>
  <c r="C142" i="26"/>
  <c r="D142" i="26"/>
  <c r="E142" i="26"/>
  <c r="F142" i="26"/>
  <c r="G142" i="26"/>
  <c r="B143" i="26"/>
  <c r="C143" i="26"/>
  <c r="D143" i="26"/>
  <c r="E143" i="26"/>
  <c r="F143" i="26"/>
  <c r="G143" i="26"/>
  <c r="B144" i="26"/>
  <c r="C144" i="26"/>
  <c r="D144" i="26"/>
  <c r="E144" i="26"/>
  <c r="F144" i="26"/>
  <c r="G144" i="26"/>
  <c r="B145" i="26"/>
  <c r="C145" i="26"/>
  <c r="D145" i="26"/>
  <c r="E145" i="26"/>
  <c r="F145" i="26"/>
  <c r="G145" i="26"/>
  <c r="B146" i="26"/>
  <c r="C146" i="26"/>
  <c r="D146" i="26"/>
  <c r="E146" i="26"/>
  <c r="F146" i="26"/>
  <c r="G146" i="26"/>
  <c r="B147" i="26"/>
  <c r="C147" i="26"/>
  <c r="D147" i="26"/>
  <c r="E147" i="26"/>
  <c r="F147" i="26"/>
  <c r="G147" i="26"/>
  <c r="B149" i="26"/>
  <c r="C149" i="26"/>
  <c r="D149" i="26"/>
  <c r="E149" i="26"/>
  <c r="F149" i="26"/>
  <c r="G149" i="26"/>
  <c r="B150" i="26"/>
  <c r="C150" i="26"/>
  <c r="D150" i="26"/>
  <c r="E150" i="26"/>
  <c r="F150" i="26"/>
  <c r="G150" i="26"/>
  <c r="B151" i="26"/>
  <c r="C151" i="26"/>
  <c r="D151" i="26"/>
  <c r="E151" i="26"/>
  <c r="F151" i="26"/>
  <c r="G151" i="26"/>
  <c r="B153" i="26"/>
  <c r="C153" i="26"/>
  <c r="D153" i="26"/>
  <c r="E153" i="26"/>
  <c r="F153" i="26"/>
  <c r="G153" i="26"/>
  <c r="B154" i="26"/>
  <c r="C154" i="26"/>
  <c r="D154" i="26"/>
  <c r="E154" i="26"/>
  <c r="F154" i="26"/>
  <c r="G154" i="26"/>
  <c r="B155" i="26"/>
  <c r="C155" i="26"/>
  <c r="D155" i="26"/>
  <c r="E155" i="26"/>
  <c r="F155" i="26"/>
  <c r="G155" i="26"/>
  <c r="C116" i="26"/>
  <c r="D116" i="26"/>
  <c r="E116" i="26"/>
  <c r="F116" i="26"/>
  <c r="G116" i="26"/>
  <c r="B116" i="26"/>
  <c r="H23" i="26" l="1"/>
  <c r="H100" i="26"/>
  <c r="H105" i="26"/>
  <c r="H101" i="26"/>
  <c r="H102" i="26"/>
  <c r="H148" i="26"/>
  <c r="H93" i="26"/>
  <c r="N11" i="26"/>
  <c r="Q36" i="26"/>
  <c r="P41" i="26"/>
  <c r="O28" i="26"/>
  <c r="O11" i="26"/>
  <c r="O41" i="26"/>
  <c r="N41" i="26"/>
  <c r="L28" i="26"/>
  <c r="P11" i="26"/>
  <c r="M41" i="26"/>
  <c r="L41" i="26"/>
  <c r="P28" i="26"/>
  <c r="N28" i="26"/>
  <c r="M28" i="26"/>
  <c r="L11" i="26"/>
  <c r="M11" i="26"/>
  <c r="B110" i="26"/>
  <c r="C110" i="26"/>
  <c r="D110" i="26"/>
  <c r="E110" i="26"/>
  <c r="F110" i="26"/>
  <c r="G110" i="26"/>
  <c r="B111" i="26"/>
  <c r="C111" i="26"/>
  <c r="D111" i="26"/>
  <c r="E111" i="26"/>
  <c r="F111" i="26"/>
  <c r="G111" i="26"/>
  <c r="B112" i="26"/>
  <c r="C112" i="26"/>
  <c r="D112" i="26"/>
  <c r="E112" i="26"/>
  <c r="F112" i="26"/>
  <c r="G112" i="26"/>
  <c r="B113" i="26"/>
  <c r="C113" i="26"/>
  <c r="D113" i="26"/>
  <c r="E113" i="26"/>
  <c r="F113" i="26"/>
  <c r="G113" i="26"/>
  <c r="B114" i="26"/>
  <c r="C114" i="26"/>
  <c r="D114" i="26"/>
  <c r="E114" i="26"/>
  <c r="F114" i="26"/>
  <c r="G114" i="26"/>
  <c r="C109" i="26"/>
  <c r="D109" i="26"/>
  <c r="E109" i="26"/>
  <c r="F109" i="26"/>
  <c r="G109" i="26"/>
  <c r="B109" i="26"/>
  <c r="B97" i="26"/>
  <c r="C97" i="26"/>
  <c r="D97" i="26"/>
  <c r="E97" i="26"/>
  <c r="F97" i="26"/>
  <c r="G97" i="26"/>
  <c r="B98" i="26"/>
  <c r="C98" i="26"/>
  <c r="D98" i="26"/>
  <c r="E98" i="26"/>
  <c r="F98" i="26"/>
  <c r="G98" i="26"/>
  <c r="B99" i="26"/>
  <c r="C99" i="26"/>
  <c r="D99" i="26"/>
  <c r="E99" i="26"/>
  <c r="F99" i="26"/>
  <c r="G99" i="26"/>
  <c r="B106" i="26"/>
  <c r="C106" i="26"/>
  <c r="D106" i="26"/>
  <c r="E106" i="26"/>
  <c r="F106" i="26"/>
  <c r="G106" i="26"/>
  <c r="B107" i="26"/>
  <c r="C107" i="26"/>
  <c r="D107" i="26"/>
  <c r="E107" i="26"/>
  <c r="F107" i="26"/>
  <c r="G107" i="26"/>
  <c r="C96" i="26"/>
  <c r="D96" i="26"/>
  <c r="E96" i="26"/>
  <c r="F96" i="26"/>
  <c r="G96" i="26"/>
  <c r="B96" i="26"/>
  <c r="B84" i="26"/>
  <c r="C84" i="26"/>
  <c r="D84" i="26"/>
  <c r="E84" i="26"/>
  <c r="F84" i="26"/>
  <c r="G84" i="26"/>
  <c r="B85" i="26"/>
  <c r="C85" i="26"/>
  <c r="D85" i="26"/>
  <c r="E85" i="26"/>
  <c r="F85" i="26"/>
  <c r="G85" i="26"/>
  <c r="B86" i="26"/>
  <c r="C86" i="26"/>
  <c r="D86" i="26"/>
  <c r="E86" i="26"/>
  <c r="F86" i="26"/>
  <c r="G86" i="26"/>
  <c r="B87" i="26"/>
  <c r="C87" i="26"/>
  <c r="D87" i="26"/>
  <c r="E87" i="26"/>
  <c r="F87" i="26"/>
  <c r="G87" i="26"/>
  <c r="B88" i="26"/>
  <c r="C88" i="26"/>
  <c r="D88" i="26"/>
  <c r="E88" i="26"/>
  <c r="F88" i="26"/>
  <c r="G88" i="26"/>
  <c r="B89" i="26"/>
  <c r="C89" i="26"/>
  <c r="D89" i="26"/>
  <c r="E89" i="26"/>
  <c r="F89" i="26"/>
  <c r="G89" i="26"/>
  <c r="B90" i="26"/>
  <c r="C90" i="26"/>
  <c r="D90" i="26"/>
  <c r="E90" i="26"/>
  <c r="F90" i="26"/>
  <c r="G90" i="26"/>
  <c r="B91" i="26"/>
  <c r="C91" i="26"/>
  <c r="D91" i="26"/>
  <c r="E91" i="26"/>
  <c r="F91" i="26"/>
  <c r="G91" i="26"/>
  <c r="B92" i="26"/>
  <c r="C92" i="26"/>
  <c r="D92" i="26"/>
  <c r="E92" i="26"/>
  <c r="F92" i="26"/>
  <c r="G92" i="26"/>
  <c r="B94" i="26"/>
  <c r="C94" i="26"/>
  <c r="D94" i="26"/>
  <c r="E94" i="26"/>
  <c r="F94" i="26"/>
  <c r="G94" i="26"/>
  <c r="C83" i="26"/>
  <c r="D83" i="26"/>
  <c r="E83" i="26"/>
  <c r="F83" i="26"/>
  <c r="G83" i="26"/>
  <c r="B83" i="26"/>
  <c r="B71" i="26"/>
  <c r="C71" i="26"/>
  <c r="D71" i="26"/>
  <c r="E71" i="26"/>
  <c r="F71" i="26"/>
  <c r="G71" i="26"/>
  <c r="B72" i="26"/>
  <c r="C72" i="26"/>
  <c r="D72" i="26"/>
  <c r="E72" i="26"/>
  <c r="F72" i="26"/>
  <c r="G72" i="26"/>
  <c r="B73" i="26"/>
  <c r="C73" i="26"/>
  <c r="D73" i="26"/>
  <c r="E73" i="26"/>
  <c r="F73" i="26"/>
  <c r="G73" i="26"/>
  <c r="B74" i="26"/>
  <c r="C74" i="26"/>
  <c r="D74" i="26"/>
  <c r="E74" i="26"/>
  <c r="F74" i="26"/>
  <c r="G74" i="26"/>
  <c r="B75" i="26"/>
  <c r="C75" i="26"/>
  <c r="D75" i="26"/>
  <c r="E75" i="26"/>
  <c r="F75" i="26"/>
  <c r="G75" i="26"/>
  <c r="B76" i="26"/>
  <c r="C76" i="26"/>
  <c r="D76" i="26"/>
  <c r="E76" i="26"/>
  <c r="F76" i="26"/>
  <c r="G76" i="26"/>
  <c r="B77" i="26"/>
  <c r="C77" i="26"/>
  <c r="D77" i="26"/>
  <c r="E77" i="26"/>
  <c r="F77" i="26"/>
  <c r="G77" i="26"/>
  <c r="B78" i="26"/>
  <c r="C78" i="26"/>
  <c r="D78" i="26"/>
  <c r="E78" i="26"/>
  <c r="F78" i="26"/>
  <c r="G78" i="26"/>
  <c r="B79" i="26"/>
  <c r="C79" i="26"/>
  <c r="D79" i="26"/>
  <c r="E79" i="26"/>
  <c r="F79" i="26"/>
  <c r="G79" i="26"/>
  <c r="B80" i="26"/>
  <c r="C80" i="26"/>
  <c r="D80" i="26"/>
  <c r="E80" i="26"/>
  <c r="F80" i="26"/>
  <c r="G80" i="26"/>
  <c r="B81" i="26"/>
  <c r="C81" i="26"/>
  <c r="D81" i="26"/>
  <c r="E81" i="26"/>
  <c r="F81" i="26"/>
  <c r="G81" i="26"/>
  <c r="C70" i="26"/>
  <c r="D70" i="26"/>
  <c r="E70" i="26"/>
  <c r="F70" i="26"/>
  <c r="G70" i="26"/>
  <c r="B70" i="26"/>
  <c r="B53" i="26"/>
  <c r="C53" i="26"/>
  <c r="D53" i="26"/>
  <c r="E53" i="26"/>
  <c r="F53" i="26"/>
  <c r="G53" i="26"/>
  <c r="B54" i="26"/>
  <c r="C54" i="26"/>
  <c r="D54" i="26"/>
  <c r="E54" i="26"/>
  <c r="F54" i="26"/>
  <c r="G54" i="26"/>
  <c r="B55" i="26"/>
  <c r="C55" i="26"/>
  <c r="D55" i="26"/>
  <c r="E55" i="26"/>
  <c r="F55" i="26"/>
  <c r="G55" i="26"/>
  <c r="B56" i="26"/>
  <c r="C56" i="26"/>
  <c r="D56" i="26"/>
  <c r="E56" i="26"/>
  <c r="F56" i="26"/>
  <c r="G56" i="26"/>
  <c r="B57" i="26"/>
  <c r="C57" i="26"/>
  <c r="D57" i="26"/>
  <c r="E57" i="26"/>
  <c r="F57" i="26"/>
  <c r="G57" i="26"/>
  <c r="B58" i="26"/>
  <c r="C58" i="26"/>
  <c r="D58" i="26"/>
  <c r="E58" i="26"/>
  <c r="F58" i="26"/>
  <c r="G58" i="26"/>
  <c r="B59" i="26"/>
  <c r="C59" i="26"/>
  <c r="D59" i="26"/>
  <c r="E59" i="26"/>
  <c r="F59" i="26"/>
  <c r="G59" i="26"/>
  <c r="B60" i="26"/>
  <c r="C60" i="26"/>
  <c r="D60" i="26"/>
  <c r="E60" i="26"/>
  <c r="F60" i="26"/>
  <c r="G60" i="26"/>
  <c r="B61" i="26"/>
  <c r="C61" i="26"/>
  <c r="D61" i="26"/>
  <c r="E61" i="26"/>
  <c r="F61" i="26"/>
  <c r="G61" i="26"/>
  <c r="B62" i="26"/>
  <c r="C62" i="26"/>
  <c r="D62" i="26"/>
  <c r="E62" i="26"/>
  <c r="F62" i="26"/>
  <c r="G62" i="26"/>
  <c r="B63" i="26"/>
  <c r="C63" i="26"/>
  <c r="D63" i="26"/>
  <c r="E63" i="26"/>
  <c r="F63" i="26"/>
  <c r="G63" i="26"/>
  <c r="B64" i="26"/>
  <c r="C64" i="26"/>
  <c r="D64" i="26"/>
  <c r="E64" i="26"/>
  <c r="F64" i="26"/>
  <c r="G64" i="26"/>
  <c r="B65" i="26"/>
  <c r="C65" i="26"/>
  <c r="D65" i="26"/>
  <c r="E65" i="26"/>
  <c r="F65" i="26"/>
  <c r="G65" i="26"/>
  <c r="B66" i="26"/>
  <c r="C66" i="26"/>
  <c r="D66" i="26"/>
  <c r="E66" i="26"/>
  <c r="F66" i="26"/>
  <c r="G66" i="26"/>
  <c r="B67" i="26"/>
  <c r="C67" i="26"/>
  <c r="D67" i="26"/>
  <c r="E67" i="26"/>
  <c r="F67" i="26"/>
  <c r="G67" i="26"/>
  <c r="B68" i="26"/>
  <c r="C68" i="26"/>
  <c r="D68" i="26"/>
  <c r="E68" i="26"/>
  <c r="F68" i="26"/>
  <c r="G68" i="26"/>
  <c r="C52" i="26"/>
  <c r="D52" i="26"/>
  <c r="E52" i="26"/>
  <c r="F52" i="26"/>
  <c r="G52" i="26"/>
  <c r="B52" i="26"/>
  <c r="B50" i="26"/>
  <c r="C50" i="26"/>
  <c r="D50" i="26"/>
  <c r="E50" i="26"/>
  <c r="F50" i="26"/>
  <c r="G50" i="26"/>
  <c r="B14" i="26"/>
  <c r="C14" i="26"/>
  <c r="D14" i="26"/>
  <c r="E14" i="26"/>
  <c r="F14" i="26"/>
  <c r="G14" i="26"/>
  <c r="B15" i="26"/>
  <c r="C15" i="26"/>
  <c r="D15" i="26"/>
  <c r="E15" i="26"/>
  <c r="F15" i="26"/>
  <c r="G15" i="26"/>
  <c r="B16" i="26"/>
  <c r="C16" i="26"/>
  <c r="D16" i="26"/>
  <c r="E16" i="26"/>
  <c r="F16" i="26"/>
  <c r="G16" i="26"/>
  <c r="B17" i="26"/>
  <c r="C17" i="26"/>
  <c r="D17" i="26"/>
  <c r="E17" i="26"/>
  <c r="F17" i="26"/>
  <c r="G17" i="26"/>
  <c r="B18" i="26"/>
  <c r="C18" i="26"/>
  <c r="D18" i="26"/>
  <c r="E18" i="26"/>
  <c r="F18" i="26"/>
  <c r="G18" i="26"/>
  <c r="B19" i="26"/>
  <c r="C19" i="26"/>
  <c r="D19" i="26"/>
  <c r="E19" i="26"/>
  <c r="F19" i="26"/>
  <c r="G19" i="26"/>
  <c r="B20" i="26"/>
  <c r="C20" i="26"/>
  <c r="D20" i="26"/>
  <c r="E20" i="26"/>
  <c r="F20" i="26"/>
  <c r="G20" i="26"/>
  <c r="B21" i="26"/>
  <c r="C21" i="26"/>
  <c r="D21" i="26"/>
  <c r="E21" i="26"/>
  <c r="F21" i="26"/>
  <c r="G21" i="26"/>
  <c r="B22" i="26"/>
  <c r="C22" i="26"/>
  <c r="D22" i="26"/>
  <c r="E22" i="26"/>
  <c r="F22" i="26"/>
  <c r="G22" i="26"/>
  <c r="B24" i="26"/>
  <c r="C24" i="26"/>
  <c r="D24" i="26"/>
  <c r="E24" i="26"/>
  <c r="F24" i="26"/>
  <c r="G24" i="26"/>
  <c r="B25" i="26"/>
  <c r="C25" i="26"/>
  <c r="D25" i="26"/>
  <c r="E25" i="26"/>
  <c r="F25" i="26"/>
  <c r="G25" i="26"/>
  <c r="B26" i="26"/>
  <c r="C26" i="26"/>
  <c r="D26" i="26"/>
  <c r="E26" i="26"/>
  <c r="F26" i="26"/>
  <c r="G26" i="26"/>
  <c r="B27" i="26"/>
  <c r="C27" i="26"/>
  <c r="D27" i="26"/>
  <c r="E27" i="26"/>
  <c r="F27" i="26"/>
  <c r="G27" i="26"/>
  <c r="B28" i="26"/>
  <c r="C28" i="26"/>
  <c r="D28" i="26"/>
  <c r="E28" i="26"/>
  <c r="F28" i="26"/>
  <c r="G28" i="26"/>
  <c r="B29" i="26"/>
  <c r="C29" i="26"/>
  <c r="D29" i="26"/>
  <c r="E29" i="26"/>
  <c r="F29" i="26"/>
  <c r="G29" i="26"/>
  <c r="B30" i="26"/>
  <c r="C30" i="26"/>
  <c r="D30" i="26"/>
  <c r="E30" i="26"/>
  <c r="F30" i="26"/>
  <c r="G30" i="26"/>
  <c r="B31" i="26"/>
  <c r="C31" i="26"/>
  <c r="D31" i="26"/>
  <c r="E31" i="26"/>
  <c r="F31" i="26"/>
  <c r="G31" i="26"/>
  <c r="B32" i="26"/>
  <c r="C32" i="26"/>
  <c r="D32" i="26"/>
  <c r="E32" i="26"/>
  <c r="F32" i="26"/>
  <c r="G32" i="26"/>
  <c r="B33" i="26"/>
  <c r="C33" i="26"/>
  <c r="D33" i="26"/>
  <c r="E33" i="26"/>
  <c r="F33" i="26"/>
  <c r="G33" i="26"/>
  <c r="B34" i="26"/>
  <c r="C34" i="26"/>
  <c r="D34" i="26"/>
  <c r="E34" i="26"/>
  <c r="F34" i="26"/>
  <c r="G34" i="26"/>
  <c r="B35" i="26"/>
  <c r="C35" i="26"/>
  <c r="D35" i="26"/>
  <c r="E35" i="26"/>
  <c r="F35" i="26"/>
  <c r="G35" i="26"/>
  <c r="B36" i="26"/>
  <c r="C36" i="26"/>
  <c r="D36" i="26"/>
  <c r="E36" i="26"/>
  <c r="F36" i="26"/>
  <c r="G36" i="26"/>
  <c r="B37" i="26"/>
  <c r="C37" i="26"/>
  <c r="D37" i="26"/>
  <c r="E37" i="26"/>
  <c r="F37" i="26"/>
  <c r="G37" i="26"/>
  <c r="B38" i="26"/>
  <c r="C38" i="26"/>
  <c r="D38" i="26"/>
  <c r="E38" i="26"/>
  <c r="F38" i="26"/>
  <c r="G38" i="26"/>
  <c r="B39" i="26"/>
  <c r="C39" i="26"/>
  <c r="D39" i="26"/>
  <c r="E39" i="26"/>
  <c r="F39" i="26"/>
  <c r="G39" i="26"/>
  <c r="B40" i="26"/>
  <c r="C40" i="26"/>
  <c r="D40" i="26"/>
  <c r="E40" i="26"/>
  <c r="F40" i="26"/>
  <c r="G40" i="26"/>
  <c r="B41" i="26"/>
  <c r="C41" i="26"/>
  <c r="D41" i="26"/>
  <c r="E41" i="26"/>
  <c r="F41" i="26"/>
  <c r="G41" i="26"/>
  <c r="B42" i="26"/>
  <c r="C42" i="26"/>
  <c r="D42" i="26"/>
  <c r="E42" i="26"/>
  <c r="F42" i="26"/>
  <c r="G42" i="26"/>
  <c r="B43" i="26"/>
  <c r="C43" i="26"/>
  <c r="D43" i="26"/>
  <c r="E43" i="26"/>
  <c r="F43" i="26"/>
  <c r="G43" i="26"/>
  <c r="B44" i="26"/>
  <c r="C44" i="26"/>
  <c r="D44" i="26"/>
  <c r="E44" i="26"/>
  <c r="F44" i="26"/>
  <c r="G44" i="26"/>
  <c r="B45" i="26"/>
  <c r="C45" i="26"/>
  <c r="D45" i="26"/>
  <c r="E45" i="26"/>
  <c r="F45" i="26"/>
  <c r="G45" i="26"/>
  <c r="B46" i="26"/>
  <c r="C46" i="26"/>
  <c r="D46" i="26"/>
  <c r="E46" i="26"/>
  <c r="F46" i="26"/>
  <c r="G46" i="26"/>
  <c r="B47" i="26"/>
  <c r="C47" i="26"/>
  <c r="D47" i="26"/>
  <c r="E47" i="26"/>
  <c r="F47" i="26"/>
  <c r="G47" i="26"/>
  <c r="B48" i="26"/>
  <c r="C48" i="26"/>
  <c r="D48" i="26"/>
  <c r="E48" i="26"/>
  <c r="F48" i="26"/>
  <c r="G48" i="26"/>
  <c r="B49" i="26"/>
  <c r="C49" i="26"/>
  <c r="D49" i="26"/>
  <c r="E49" i="26"/>
  <c r="F49" i="26"/>
  <c r="G49" i="26"/>
  <c r="C13" i="26"/>
  <c r="D13" i="26"/>
  <c r="E13" i="26"/>
  <c r="F13" i="26"/>
  <c r="G13" i="26"/>
  <c r="B13" i="26"/>
  <c r="H154" i="26"/>
  <c r="H155" i="26"/>
  <c r="H154" i="34"/>
  <c r="H155" i="34"/>
  <c r="H153" i="34"/>
  <c r="H106" i="26" l="1"/>
  <c r="B82" i="26"/>
  <c r="D95" i="26"/>
  <c r="C82" i="26"/>
  <c r="D82" i="26"/>
  <c r="E95" i="26"/>
  <c r="E82" i="26"/>
  <c r="F95" i="26"/>
  <c r="B95" i="26"/>
  <c r="C95" i="26"/>
  <c r="G95" i="26"/>
  <c r="G82" i="26"/>
  <c r="F82" i="26"/>
  <c r="H99" i="26"/>
  <c r="H151" i="34"/>
  <c r="H150" i="34"/>
  <c r="H149" i="34"/>
  <c r="H147" i="34"/>
  <c r="H146" i="34"/>
  <c r="H145" i="34"/>
  <c r="H144" i="34"/>
  <c r="H143" i="34"/>
  <c r="H142" i="34"/>
  <c r="H141" i="34"/>
  <c r="H140" i="34"/>
  <c r="H139" i="34"/>
  <c r="H138" i="34"/>
  <c r="H137" i="34"/>
  <c r="H136" i="34"/>
  <c r="H135" i="34"/>
  <c r="H134" i="34"/>
  <c r="H133" i="34"/>
  <c r="H132" i="34"/>
  <c r="H131" i="34"/>
  <c r="H130" i="34"/>
  <c r="H129" i="34"/>
  <c r="H128" i="34"/>
  <c r="H127" i="34"/>
  <c r="H126" i="34"/>
  <c r="H125" i="34"/>
  <c r="H124" i="34"/>
  <c r="H123" i="34"/>
  <c r="H122" i="34"/>
  <c r="H121" i="34"/>
  <c r="H120" i="34"/>
  <c r="H119" i="34"/>
  <c r="H118" i="34"/>
  <c r="H117" i="34"/>
  <c r="H116" i="34"/>
  <c r="H114" i="34"/>
  <c r="H113" i="34"/>
  <c r="H112" i="34"/>
  <c r="H111" i="34"/>
  <c r="H110" i="34"/>
  <c r="H109" i="34"/>
  <c r="H107" i="34"/>
  <c r="H106" i="34"/>
  <c r="H99" i="34"/>
  <c r="H98" i="34"/>
  <c r="H97" i="34"/>
  <c r="H96" i="34"/>
  <c r="G95" i="34"/>
  <c r="F95" i="34"/>
  <c r="E95" i="34"/>
  <c r="D95" i="34"/>
  <c r="C95" i="34"/>
  <c r="B95" i="34"/>
  <c r="H94" i="34"/>
  <c r="H92" i="34"/>
  <c r="H91" i="34"/>
  <c r="H90" i="34"/>
  <c r="H89" i="34"/>
  <c r="H88" i="34"/>
  <c r="H87" i="34"/>
  <c r="H86" i="34"/>
  <c r="H85" i="34"/>
  <c r="H84" i="34"/>
  <c r="H83" i="34"/>
  <c r="G82" i="34"/>
  <c r="F82" i="34"/>
  <c r="E82" i="34"/>
  <c r="D82" i="34"/>
  <c r="C82" i="34"/>
  <c r="B82" i="34"/>
  <c r="H81" i="34"/>
  <c r="H80" i="34"/>
  <c r="H79" i="34"/>
  <c r="H78" i="34"/>
  <c r="H77" i="34"/>
  <c r="H76" i="34"/>
  <c r="H75" i="34"/>
  <c r="H74" i="34"/>
  <c r="H73" i="34"/>
  <c r="H72" i="34"/>
  <c r="H71" i="34"/>
  <c r="H70" i="34"/>
  <c r="G69" i="34"/>
  <c r="F69" i="34"/>
  <c r="E69" i="34"/>
  <c r="D69" i="34"/>
  <c r="C69" i="34"/>
  <c r="B69" i="34"/>
  <c r="H68" i="34"/>
  <c r="H67" i="34"/>
  <c r="H66" i="34"/>
  <c r="H65" i="34"/>
  <c r="H64" i="34"/>
  <c r="H63" i="34"/>
  <c r="H62" i="34"/>
  <c r="H61" i="34"/>
  <c r="H60" i="34"/>
  <c r="H59" i="34"/>
  <c r="H58" i="34"/>
  <c r="H57" i="34"/>
  <c r="H56" i="34"/>
  <c r="H55" i="34"/>
  <c r="H54" i="34"/>
  <c r="H53" i="34"/>
  <c r="H52" i="34"/>
  <c r="G51" i="34"/>
  <c r="F51" i="34"/>
  <c r="E51" i="34"/>
  <c r="D51" i="34"/>
  <c r="C51" i="34"/>
  <c r="B51" i="34"/>
  <c r="H50" i="34"/>
  <c r="H49" i="34"/>
  <c r="Q49" i="34"/>
  <c r="H48" i="34"/>
  <c r="Q48" i="34"/>
  <c r="H47" i="34"/>
  <c r="Q47" i="34"/>
  <c r="H46" i="34"/>
  <c r="Q46" i="34"/>
  <c r="H45" i="34"/>
  <c r="Q45" i="34"/>
  <c r="H44" i="34"/>
  <c r="Q44" i="34"/>
  <c r="H43" i="34"/>
  <c r="Q43" i="34"/>
  <c r="H42" i="34"/>
  <c r="Q42" i="34"/>
  <c r="H41" i="34"/>
  <c r="P41" i="34"/>
  <c r="O41" i="34"/>
  <c r="N41" i="34"/>
  <c r="M41" i="34"/>
  <c r="L41" i="34"/>
  <c r="K41" i="34"/>
  <c r="H40" i="34"/>
  <c r="H39" i="34"/>
  <c r="H38" i="34"/>
  <c r="H37" i="34"/>
  <c r="Q37" i="34"/>
  <c r="H36" i="34"/>
  <c r="Q35" i="34"/>
  <c r="H35" i="34"/>
  <c r="Q34" i="34"/>
  <c r="H34" i="34"/>
  <c r="Q33" i="34"/>
  <c r="H33" i="34"/>
  <c r="Q32" i="34"/>
  <c r="H32" i="34"/>
  <c r="Q31" i="34"/>
  <c r="H31" i="34"/>
  <c r="Q30" i="34"/>
  <c r="H30" i="34"/>
  <c r="Q29" i="34"/>
  <c r="H29" i="34"/>
  <c r="P28" i="34"/>
  <c r="O28" i="34"/>
  <c r="N28" i="34"/>
  <c r="M28" i="34"/>
  <c r="L28" i="34"/>
  <c r="K28" i="34"/>
  <c r="H28" i="34"/>
  <c r="H27" i="34"/>
  <c r="H26" i="34"/>
  <c r="H25" i="34"/>
  <c r="H24" i="34"/>
  <c r="Q23" i="34"/>
  <c r="H22" i="34"/>
  <c r="Q22" i="34"/>
  <c r="H21" i="34"/>
  <c r="Q20" i="34"/>
  <c r="H20" i="34"/>
  <c r="Q19" i="34"/>
  <c r="H19" i="34"/>
  <c r="Q18" i="34"/>
  <c r="H18" i="34"/>
  <c r="Q17" i="34"/>
  <c r="H17" i="34"/>
  <c r="Q16" i="34"/>
  <c r="H16" i="34"/>
  <c r="Q15" i="34"/>
  <c r="H15" i="34"/>
  <c r="Q14" i="34"/>
  <c r="H14" i="34"/>
  <c r="Q13" i="34"/>
  <c r="H13" i="34"/>
  <c r="Q12" i="34"/>
  <c r="G12" i="34"/>
  <c r="F12" i="34"/>
  <c r="E12" i="34"/>
  <c r="D12" i="34"/>
  <c r="C12" i="34"/>
  <c r="B12" i="34"/>
  <c r="P11" i="34"/>
  <c r="O11" i="34"/>
  <c r="N11" i="34"/>
  <c r="M11" i="34"/>
  <c r="L11" i="34"/>
  <c r="K11" i="34"/>
  <c r="H146" i="26"/>
  <c r="H146" i="33"/>
  <c r="H32" i="33"/>
  <c r="H147" i="33"/>
  <c r="H145" i="33"/>
  <c r="H144" i="33"/>
  <c r="H143" i="33"/>
  <c r="H142" i="33"/>
  <c r="H141" i="33"/>
  <c r="H140" i="33"/>
  <c r="H139" i="33"/>
  <c r="H138" i="33"/>
  <c r="H137" i="33"/>
  <c r="H136" i="33"/>
  <c r="H135" i="33"/>
  <c r="H134" i="33"/>
  <c r="H133" i="33"/>
  <c r="H132" i="33"/>
  <c r="H131" i="33"/>
  <c r="H130" i="33"/>
  <c r="H129" i="33"/>
  <c r="H128" i="33"/>
  <c r="H127" i="33"/>
  <c r="H126" i="33"/>
  <c r="H125" i="33"/>
  <c r="H124" i="33"/>
  <c r="H123" i="33"/>
  <c r="H122" i="33"/>
  <c r="H121" i="33"/>
  <c r="H120" i="33"/>
  <c r="H119" i="33"/>
  <c r="H118" i="33"/>
  <c r="H117" i="33"/>
  <c r="H116" i="33"/>
  <c r="H114" i="33"/>
  <c r="H113" i="33"/>
  <c r="H112" i="33"/>
  <c r="H111" i="33"/>
  <c r="H110" i="33"/>
  <c r="H109" i="33"/>
  <c r="H96" i="33"/>
  <c r="G95" i="33"/>
  <c r="F95" i="33"/>
  <c r="E95" i="33"/>
  <c r="D95" i="33"/>
  <c r="C95" i="33"/>
  <c r="B95" i="33"/>
  <c r="H94" i="33"/>
  <c r="H92" i="33"/>
  <c r="H91" i="33"/>
  <c r="H90" i="33"/>
  <c r="H89" i="33"/>
  <c r="H88" i="33"/>
  <c r="H87" i="33"/>
  <c r="H86" i="33"/>
  <c r="H85" i="33"/>
  <c r="H84" i="33"/>
  <c r="H83" i="33"/>
  <c r="G82" i="33"/>
  <c r="F82" i="33"/>
  <c r="E82" i="33"/>
  <c r="D82" i="33"/>
  <c r="C82" i="33"/>
  <c r="B82" i="33"/>
  <c r="H81" i="33"/>
  <c r="H80" i="33"/>
  <c r="H79" i="33"/>
  <c r="H78" i="33"/>
  <c r="H77" i="33"/>
  <c r="H76" i="33"/>
  <c r="H75" i="33"/>
  <c r="H74" i="33"/>
  <c r="H73" i="33"/>
  <c r="H72" i="33"/>
  <c r="H71" i="33"/>
  <c r="H70" i="33"/>
  <c r="G69" i="33"/>
  <c r="F69" i="33"/>
  <c r="E69" i="33"/>
  <c r="D69" i="33"/>
  <c r="C69" i="33"/>
  <c r="B69" i="33"/>
  <c r="H68" i="33"/>
  <c r="H67" i="33"/>
  <c r="H66" i="33"/>
  <c r="H65" i="33"/>
  <c r="H64" i="33"/>
  <c r="H63" i="33"/>
  <c r="H62" i="33"/>
  <c r="H61" i="33"/>
  <c r="H60" i="33"/>
  <c r="H59" i="33"/>
  <c r="H58" i="33"/>
  <c r="H57" i="33"/>
  <c r="H56" i="33"/>
  <c r="H55" i="33"/>
  <c r="H54" i="33"/>
  <c r="H53" i="33"/>
  <c r="H52" i="33"/>
  <c r="G51" i="33"/>
  <c r="F51" i="33"/>
  <c r="E51" i="33"/>
  <c r="D51" i="33"/>
  <c r="C51" i="33"/>
  <c r="B51" i="33"/>
  <c r="H50" i="33"/>
  <c r="Q49" i="33"/>
  <c r="H49" i="33"/>
  <c r="Q48" i="33"/>
  <c r="H48" i="33"/>
  <c r="Q47" i="33"/>
  <c r="H47" i="33"/>
  <c r="Q46" i="33"/>
  <c r="H46" i="33"/>
  <c r="Q45" i="33"/>
  <c r="H45" i="33"/>
  <c r="Q44" i="33"/>
  <c r="H44" i="33"/>
  <c r="Q43" i="33"/>
  <c r="H43" i="33"/>
  <c r="Q42" i="33"/>
  <c r="H42" i="33"/>
  <c r="P41" i="33"/>
  <c r="O41" i="33"/>
  <c r="N41" i="33"/>
  <c r="M41" i="33"/>
  <c r="L41" i="33"/>
  <c r="K41" i="33"/>
  <c r="H41" i="33"/>
  <c r="H40" i="33"/>
  <c r="H39" i="33"/>
  <c r="H38" i="33"/>
  <c r="Q37" i="33"/>
  <c r="H37" i="33"/>
  <c r="Q35" i="33"/>
  <c r="H36" i="33"/>
  <c r="Q34" i="33"/>
  <c r="H35" i="33"/>
  <c r="Q33" i="33"/>
  <c r="H34" i="33"/>
  <c r="Q32" i="33"/>
  <c r="H33" i="33"/>
  <c r="Q31" i="33"/>
  <c r="H31" i="33"/>
  <c r="Q30" i="33"/>
  <c r="H30" i="33"/>
  <c r="Q29" i="33"/>
  <c r="H29" i="33"/>
  <c r="P28" i="33"/>
  <c r="O28" i="33"/>
  <c r="N28" i="33"/>
  <c r="M28" i="33"/>
  <c r="L28" i="33"/>
  <c r="K28" i="33"/>
  <c r="H28" i="33"/>
  <c r="H27" i="33"/>
  <c r="H26" i="33"/>
  <c r="H25" i="33"/>
  <c r="H24" i="33"/>
  <c r="Q23" i="33"/>
  <c r="H22" i="33"/>
  <c r="Q22" i="33"/>
  <c r="H21" i="33"/>
  <c r="Q20" i="33"/>
  <c r="H20" i="33"/>
  <c r="Q19" i="33"/>
  <c r="H19" i="33"/>
  <c r="Q18" i="33"/>
  <c r="H18" i="33"/>
  <c r="Q17" i="33"/>
  <c r="H17" i="33"/>
  <c r="Q16" i="33"/>
  <c r="H16" i="33"/>
  <c r="Q15" i="33"/>
  <c r="H15" i="33"/>
  <c r="Q14" i="33"/>
  <c r="H14" i="33"/>
  <c r="Q13" i="33"/>
  <c r="H13" i="33"/>
  <c r="Q12" i="33"/>
  <c r="G12" i="33"/>
  <c r="F12" i="33"/>
  <c r="E12" i="33"/>
  <c r="D12" i="33"/>
  <c r="C12" i="33"/>
  <c r="B12" i="33"/>
  <c r="P11" i="33"/>
  <c r="O11" i="33"/>
  <c r="N11" i="33"/>
  <c r="M11" i="33"/>
  <c r="L11" i="33"/>
  <c r="K11" i="33"/>
  <c r="H151" i="28"/>
  <c r="H150" i="28"/>
  <c r="H149" i="28"/>
  <c r="H148" i="28"/>
  <c r="H151" i="27"/>
  <c r="H150" i="27"/>
  <c r="H149" i="27"/>
  <c r="H151" i="25"/>
  <c r="H150" i="25"/>
  <c r="H149" i="25"/>
  <c r="H147" i="25"/>
  <c r="H151" i="24"/>
  <c r="H150" i="24"/>
  <c r="H149" i="24"/>
  <c r="H147" i="24"/>
  <c r="H151" i="23"/>
  <c r="H150" i="23"/>
  <c r="H149" i="23"/>
  <c r="H147" i="23"/>
  <c r="H151" i="22"/>
  <c r="H150" i="22"/>
  <c r="H149" i="22"/>
  <c r="H147" i="22"/>
  <c r="H145" i="32"/>
  <c r="H144" i="32"/>
  <c r="H143" i="32"/>
  <c r="H142" i="32"/>
  <c r="H141" i="32"/>
  <c r="H140" i="32"/>
  <c r="H139" i="32"/>
  <c r="H138" i="32"/>
  <c r="H137" i="32"/>
  <c r="H136" i="32"/>
  <c r="H135" i="32"/>
  <c r="H133" i="32"/>
  <c r="H132" i="32"/>
  <c r="H131" i="32"/>
  <c r="H130" i="32"/>
  <c r="H129" i="32"/>
  <c r="H128" i="32"/>
  <c r="H127" i="32"/>
  <c r="H126" i="32"/>
  <c r="H125" i="32"/>
  <c r="H124" i="32"/>
  <c r="H123" i="32"/>
  <c r="H122" i="32"/>
  <c r="H121" i="32"/>
  <c r="H120" i="32"/>
  <c r="H119" i="32"/>
  <c r="H118" i="32"/>
  <c r="H117" i="32"/>
  <c r="H116" i="32"/>
  <c r="H114" i="32"/>
  <c r="H113" i="32"/>
  <c r="H112" i="32"/>
  <c r="H111" i="32"/>
  <c r="H110" i="32"/>
  <c r="H109" i="32"/>
  <c r="H96" i="32"/>
  <c r="G95" i="32"/>
  <c r="F95" i="32"/>
  <c r="E95" i="32"/>
  <c r="D95" i="32"/>
  <c r="C95" i="32"/>
  <c r="B95" i="32"/>
  <c r="H94" i="32"/>
  <c r="H91" i="32"/>
  <c r="H90" i="32"/>
  <c r="H89" i="32"/>
  <c r="H88" i="32"/>
  <c r="H87" i="32"/>
  <c r="H86" i="32"/>
  <c r="H85" i="32"/>
  <c r="H84" i="32"/>
  <c r="H83" i="32"/>
  <c r="G82" i="32"/>
  <c r="F82" i="32"/>
  <c r="E82" i="32"/>
  <c r="D82" i="32"/>
  <c r="C82" i="32"/>
  <c r="B82" i="32"/>
  <c r="H81" i="32"/>
  <c r="H80" i="32"/>
  <c r="H79" i="32"/>
  <c r="H78" i="32"/>
  <c r="H77" i="32"/>
  <c r="H76" i="32"/>
  <c r="H75" i="32"/>
  <c r="H74" i="32"/>
  <c r="H73" i="32"/>
  <c r="H72" i="32"/>
  <c r="H71" i="32"/>
  <c r="H70" i="32"/>
  <c r="G69" i="32"/>
  <c r="F69" i="32"/>
  <c r="E69" i="32"/>
  <c r="D69" i="32"/>
  <c r="C69" i="32"/>
  <c r="B69" i="32"/>
  <c r="H68" i="32"/>
  <c r="H67" i="32"/>
  <c r="H66" i="32"/>
  <c r="H65" i="32"/>
  <c r="H64" i="32"/>
  <c r="H63" i="32"/>
  <c r="H62" i="32"/>
  <c r="H61" i="32"/>
  <c r="H60" i="32"/>
  <c r="H59" i="32"/>
  <c r="H58" i="32"/>
  <c r="H57" i="32"/>
  <c r="H56" i="32"/>
  <c r="H55" i="32"/>
  <c r="H54" i="32"/>
  <c r="H53" i="32"/>
  <c r="H52" i="32"/>
  <c r="G51" i="32"/>
  <c r="F51" i="32"/>
  <c r="E51" i="32"/>
  <c r="D51" i="32"/>
  <c r="C51" i="32"/>
  <c r="B51" i="32"/>
  <c r="H50" i="32"/>
  <c r="Q49" i="32"/>
  <c r="H49" i="32"/>
  <c r="Q48" i="32"/>
  <c r="H48" i="32"/>
  <c r="Q47" i="32"/>
  <c r="H47" i="32"/>
  <c r="Q46" i="32"/>
  <c r="H46" i="32"/>
  <c r="Q45" i="32"/>
  <c r="H45" i="32"/>
  <c r="Q44" i="32"/>
  <c r="H44" i="32"/>
  <c r="Q43" i="32"/>
  <c r="H43" i="32"/>
  <c r="Q42" i="32"/>
  <c r="H42" i="32"/>
  <c r="P41" i="32"/>
  <c r="O41" i="32"/>
  <c r="N41" i="32"/>
  <c r="M41" i="32"/>
  <c r="L41" i="32"/>
  <c r="K41" i="32"/>
  <c r="H41" i="32"/>
  <c r="H40" i="32"/>
  <c r="H39" i="32"/>
  <c r="H38" i="32"/>
  <c r="Q37" i="32"/>
  <c r="H37" i="32"/>
  <c r="Q35" i="32"/>
  <c r="H36" i="32"/>
  <c r="Q34" i="32"/>
  <c r="H35" i="32"/>
  <c r="Q33" i="32"/>
  <c r="H34" i="32"/>
  <c r="Q32" i="32"/>
  <c r="Q31" i="32"/>
  <c r="Q30" i="32"/>
  <c r="Q29" i="32"/>
  <c r="P28" i="32"/>
  <c r="O28" i="32"/>
  <c r="N28" i="32"/>
  <c r="M28" i="32"/>
  <c r="L28" i="32"/>
  <c r="K28" i="32"/>
  <c r="Q23" i="32"/>
  <c r="H22" i="32"/>
  <c r="Q22" i="32"/>
  <c r="H21" i="32"/>
  <c r="Q20" i="32"/>
  <c r="H20" i="32"/>
  <c r="Q19" i="32"/>
  <c r="H19" i="32"/>
  <c r="Q18" i="32"/>
  <c r="H18" i="32"/>
  <c r="Q17" i="32"/>
  <c r="H17" i="32"/>
  <c r="Q16" i="32"/>
  <c r="H16" i="32"/>
  <c r="Q15" i="32"/>
  <c r="H15" i="32"/>
  <c r="Q14" i="32"/>
  <c r="H14" i="32"/>
  <c r="Q13" i="32"/>
  <c r="H13" i="32"/>
  <c r="Q12" i="32"/>
  <c r="G12" i="32"/>
  <c r="F12" i="32"/>
  <c r="E12" i="32"/>
  <c r="D12" i="32"/>
  <c r="C12" i="32"/>
  <c r="B12" i="32"/>
  <c r="P11" i="32"/>
  <c r="O11" i="32"/>
  <c r="N11" i="32"/>
  <c r="M11" i="32"/>
  <c r="L11" i="32"/>
  <c r="K11" i="32"/>
  <c r="Q20" i="22"/>
  <c r="Q20" i="23"/>
  <c r="Q20" i="24"/>
  <c r="Q20" i="25"/>
  <c r="Q20" i="27"/>
  <c r="Q20" i="28"/>
  <c r="Q20" i="29"/>
  <c r="Q20" i="30"/>
  <c r="Q20" i="31"/>
  <c r="H141" i="31"/>
  <c r="H140" i="31"/>
  <c r="H139" i="31"/>
  <c r="H138" i="31"/>
  <c r="H137" i="31"/>
  <c r="H136" i="31"/>
  <c r="H135" i="31"/>
  <c r="H134" i="31"/>
  <c r="H133" i="31"/>
  <c r="H132" i="31"/>
  <c r="H131" i="31"/>
  <c r="H130" i="31"/>
  <c r="H129" i="31"/>
  <c r="H128" i="31"/>
  <c r="H127" i="31"/>
  <c r="H126" i="31"/>
  <c r="H125" i="31"/>
  <c r="H124" i="31"/>
  <c r="H123" i="31"/>
  <c r="H122" i="31"/>
  <c r="H121" i="31"/>
  <c r="H120" i="31"/>
  <c r="H119" i="31"/>
  <c r="H118" i="31"/>
  <c r="H117" i="31"/>
  <c r="H116" i="31"/>
  <c r="H114" i="31"/>
  <c r="H113" i="31"/>
  <c r="H112" i="31"/>
  <c r="H111" i="31"/>
  <c r="H110" i="31"/>
  <c r="H109" i="31"/>
  <c r="H107" i="31"/>
  <c r="H99" i="31"/>
  <c r="H98" i="31"/>
  <c r="H97" i="31"/>
  <c r="H96" i="31"/>
  <c r="G95" i="31"/>
  <c r="F95" i="31"/>
  <c r="E95" i="31"/>
  <c r="D95" i="31"/>
  <c r="C95" i="31"/>
  <c r="B95" i="31"/>
  <c r="H94" i="31"/>
  <c r="H91" i="31"/>
  <c r="H90" i="31"/>
  <c r="H89" i="31"/>
  <c r="H88" i="31"/>
  <c r="H87" i="31"/>
  <c r="H86" i="31"/>
  <c r="H85" i="31"/>
  <c r="H84" i="31"/>
  <c r="H83" i="31"/>
  <c r="G82" i="31"/>
  <c r="F82" i="31"/>
  <c r="E82" i="31"/>
  <c r="D82" i="31"/>
  <c r="C82" i="31"/>
  <c r="B82" i="31"/>
  <c r="H81" i="31"/>
  <c r="H80" i="31"/>
  <c r="H79" i="31"/>
  <c r="H78" i="31"/>
  <c r="H77" i="31"/>
  <c r="H76" i="31"/>
  <c r="H75" i="31"/>
  <c r="H74" i="31"/>
  <c r="H73" i="31"/>
  <c r="H72" i="31"/>
  <c r="H71" i="31"/>
  <c r="H70" i="31"/>
  <c r="G69" i="31"/>
  <c r="F69" i="31"/>
  <c r="E69" i="31"/>
  <c r="D69" i="31"/>
  <c r="C69" i="31"/>
  <c r="B69" i="31"/>
  <c r="H68" i="31"/>
  <c r="H67" i="31"/>
  <c r="H66" i="31"/>
  <c r="H65" i="31"/>
  <c r="H64" i="31"/>
  <c r="H63" i="31"/>
  <c r="H62" i="31"/>
  <c r="H61" i="31"/>
  <c r="H60" i="31"/>
  <c r="H59" i="31"/>
  <c r="H58" i="31"/>
  <c r="H57" i="31"/>
  <c r="H56" i="31"/>
  <c r="H55" i="31"/>
  <c r="H54" i="31"/>
  <c r="H53" i="31"/>
  <c r="H52" i="31"/>
  <c r="G51" i="31"/>
  <c r="F51" i="31"/>
  <c r="E51" i="31"/>
  <c r="D51" i="31"/>
  <c r="C51" i="31"/>
  <c r="B51" i="31"/>
  <c r="H50" i="31"/>
  <c r="H49" i="31"/>
  <c r="Q49" i="31"/>
  <c r="H48" i="31"/>
  <c r="Q48" i="31"/>
  <c r="H47" i="31"/>
  <c r="Q47" i="31"/>
  <c r="H46" i="31"/>
  <c r="Q46" i="31"/>
  <c r="H45" i="31"/>
  <c r="Q45" i="31"/>
  <c r="H44" i="31"/>
  <c r="Q44" i="31"/>
  <c r="H43" i="31"/>
  <c r="Q43" i="31"/>
  <c r="H42" i="31"/>
  <c r="Q42" i="31"/>
  <c r="H41" i="31"/>
  <c r="P41" i="31"/>
  <c r="O41" i="31"/>
  <c r="N41" i="31"/>
  <c r="M41" i="31"/>
  <c r="L41" i="31"/>
  <c r="K41" i="31"/>
  <c r="H40" i="31"/>
  <c r="H39" i="31"/>
  <c r="H38" i="31"/>
  <c r="H37" i="31"/>
  <c r="Q37" i="31"/>
  <c r="H36" i="31"/>
  <c r="Q35" i="31"/>
  <c r="H35" i="31"/>
  <c r="Q34" i="31"/>
  <c r="H34" i="31"/>
  <c r="Q33" i="31"/>
  <c r="Q32" i="31"/>
  <c r="Q31" i="31"/>
  <c r="Q30" i="31"/>
  <c r="Q29" i="31"/>
  <c r="P28" i="31"/>
  <c r="O28" i="31"/>
  <c r="N28" i="31"/>
  <c r="M28" i="31"/>
  <c r="L28" i="31"/>
  <c r="K28" i="31"/>
  <c r="H22" i="31"/>
  <c r="Q23" i="31"/>
  <c r="H21" i="31"/>
  <c r="Q22" i="31"/>
  <c r="H20" i="31"/>
  <c r="Q19" i="31"/>
  <c r="H19" i="31"/>
  <c r="Q18" i="31"/>
  <c r="H18" i="31"/>
  <c r="Q17" i="31"/>
  <c r="H17" i="31"/>
  <c r="Q16" i="31"/>
  <c r="H16" i="31"/>
  <c r="Q15" i="31"/>
  <c r="H15" i="31"/>
  <c r="Q14" i="31"/>
  <c r="H14" i="31"/>
  <c r="Q13" i="31"/>
  <c r="H13" i="31"/>
  <c r="Q12" i="31"/>
  <c r="G12" i="31"/>
  <c r="F12" i="31"/>
  <c r="E12" i="31"/>
  <c r="D12" i="31"/>
  <c r="C12" i="31"/>
  <c r="B12" i="31"/>
  <c r="P11" i="31"/>
  <c r="O11" i="31"/>
  <c r="N11" i="31"/>
  <c r="M11" i="31"/>
  <c r="L11" i="31"/>
  <c r="K11" i="31"/>
  <c r="Q54" i="26"/>
  <c r="H114" i="30"/>
  <c r="H113" i="30"/>
  <c r="H112" i="30"/>
  <c r="H111" i="30"/>
  <c r="H110" i="30"/>
  <c r="H109" i="30"/>
  <c r="H96" i="30"/>
  <c r="H94" i="30"/>
  <c r="H92" i="30"/>
  <c r="H91" i="30"/>
  <c r="H90" i="30"/>
  <c r="H89" i="30"/>
  <c r="H88" i="30"/>
  <c r="H87" i="30"/>
  <c r="H86" i="30"/>
  <c r="H85" i="30"/>
  <c r="H84" i="30"/>
  <c r="H83" i="30"/>
  <c r="H81" i="30"/>
  <c r="H80" i="30"/>
  <c r="H79" i="30"/>
  <c r="H78" i="30"/>
  <c r="H77" i="30"/>
  <c r="H76" i="30"/>
  <c r="H75" i="30"/>
  <c r="H74" i="30"/>
  <c r="H73" i="30"/>
  <c r="H72" i="30"/>
  <c r="H71" i="30"/>
  <c r="H70" i="30"/>
  <c r="G69" i="30"/>
  <c r="F69" i="30"/>
  <c r="E69" i="30"/>
  <c r="D69" i="30"/>
  <c r="C69" i="30"/>
  <c r="B69" i="30"/>
  <c r="H68" i="30"/>
  <c r="H67" i="30"/>
  <c r="H66" i="30"/>
  <c r="H65" i="30"/>
  <c r="H64" i="30"/>
  <c r="H63" i="30"/>
  <c r="H62" i="30"/>
  <c r="H61" i="30"/>
  <c r="H60" i="30"/>
  <c r="H59" i="30"/>
  <c r="H58" i="30"/>
  <c r="H57" i="30"/>
  <c r="H56" i="30"/>
  <c r="H55" i="30"/>
  <c r="H54" i="30"/>
  <c r="H53" i="30"/>
  <c r="H52" i="30"/>
  <c r="G51" i="30"/>
  <c r="F51" i="30"/>
  <c r="E51" i="30"/>
  <c r="D51" i="30"/>
  <c r="C51" i="30"/>
  <c r="B51" i="30"/>
  <c r="H50" i="30"/>
  <c r="H49" i="30"/>
  <c r="Q49" i="30"/>
  <c r="H48" i="30"/>
  <c r="Q48" i="30"/>
  <c r="H47" i="30"/>
  <c r="Q47" i="30"/>
  <c r="H46" i="30"/>
  <c r="Q46" i="30"/>
  <c r="H45" i="30"/>
  <c r="Q45" i="30"/>
  <c r="H44" i="30"/>
  <c r="Q44" i="30"/>
  <c r="H43" i="30"/>
  <c r="Q43" i="30"/>
  <c r="H42" i="30"/>
  <c r="Q42" i="30"/>
  <c r="H41" i="30"/>
  <c r="P41" i="30"/>
  <c r="O41" i="30"/>
  <c r="N41" i="30"/>
  <c r="M41" i="30"/>
  <c r="L41" i="30"/>
  <c r="K41" i="30"/>
  <c r="H40" i="30"/>
  <c r="H39" i="30"/>
  <c r="H38" i="30"/>
  <c r="H37" i="30"/>
  <c r="Q37" i="30"/>
  <c r="H36" i="30"/>
  <c r="Q35" i="30"/>
  <c r="Q34" i="30"/>
  <c r="Q33" i="30"/>
  <c r="Q32" i="30"/>
  <c r="Q31" i="30"/>
  <c r="Q30" i="30"/>
  <c r="Q29" i="30"/>
  <c r="P28" i="30"/>
  <c r="O28" i="30"/>
  <c r="N28" i="30"/>
  <c r="M28" i="30"/>
  <c r="L28" i="30"/>
  <c r="K28" i="30"/>
  <c r="H22" i="30"/>
  <c r="Q23" i="30"/>
  <c r="H21" i="30"/>
  <c r="Q22" i="30"/>
  <c r="H20" i="30"/>
  <c r="Q19" i="30"/>
  <c r="H19" i="30"/>
  <c r="Q18" i="30"/>
  <c r="H18" i="30"/>
  <c r="Q17" i="30"/>
  <c r="H17" i="30"/>
  <c r="Q16" i="30"/>
  <c r="H16" i="30"/>
  <c r="Q15" i="30"/>
  <c r="H15" i="30"/>
  <c r="Q14" i="30"/>
  <c r="H14" i="30"/>
  <c r="Q13" i="30"/>
  <c r="H13" i="30"/>
  <c r="Q12" i="30"/>
  <c r="G12" i="30"/>
  <c r="F12" i="30"/>
  <c r="E12" i="30"/>
  <c r="D12" i="30"/>
  <c r="C12" i="30"/>
  <c r="B12" i="30"/>
  <c r="P11" i="30"/>
  <c r="O11" i="30"/>
  <c r="N11" i="30"/>
  <c r="M11" i="30"/>
  <c r="L11" i="30"/>
  <c r="K11" i="30"/>
  <c r="Q41" i="34" l="1"/>
  <c r="Q62" i="34" s="1"/>
  <c r="M24" i="36" s="1"/>
  <c r="Q28" i="34"/>
  <c r="Q61" i="34" s="1"/>
  <c r="M23" i="36" s="1"/>
  <c r="H51" i="34"/>
  <c r="Q56" i="34" s="1"/>
  <c r="M18" i="36" s="1"/>
  <c r="G11" i="34"/>
  <c r="H95" i="34"/>
  <c r="Q59" i="34" s="1"/>
  <c r="M21" i="36" s="1"/>
  <c r="H82" i="34"/>
  <c r="Q58" i="34" s="1"/>
  <c r="M20" i="36" s="1"/>
  <c r="Q11" i="34"/>
  <c r="Q60" i="34" s="1"/>
  <c r="M22" i="36" s="1"/>
  <c r="H69" i="34"/>
  <c r="Q57" i="34" s="1"/>
  <c r="M19" i="36" s="1"/>
  <c r="H12" i="34"/>
  <c r="Q55" i="34" s="1"/>
  <c r="M17" i="36" s="1"/>
  <c r="E11" i="34"/>
  <c r="F11" i="34"/>
  <c r="C11" i="34"/>
  <c r="D11" i="34"/>
  <c r="B11" i="34"/>
  <c r="H32" i="26"/>
  <c r="Q11" i="33"/>
  <c r="Q60" i="33" s="1"/>
  <c r="L22" i="36" s="1"/>
  <c r="H69" i="33"/>
  <c r="Q57" i="33" s="1"/>
  <c r="L19" i="36" s="1"/>
  <c r="H95" i="33"/>
  <c r="Q59" i="33" s="1"/>
  <c r="L21" i="36" s="1"/>
  <c r="Q28" i="33"/>
  <c r="Q61" i="33" s="1"/>
  <c r="L23" i="36" s="1"/>
  <c r="D11" i="33"/>
  <c r="H82" i="33"/>
  <c r="Q58" i="33" s="1"/>
  <c r="L20" i="36" s="1"/>
  <c r="E11" i="33"/>
  <c r="F11" i="33"/>
  <c r="G11" i="33"/>
  <c r="H51" i="33"/>
  <c r="Q56" i="33" s="1"/>
  <c r="L18" i="36" s="1"/>
  <c r="Q41" i="33"/>
  <c r="Q62" i="33" s="1"/>
  <c r="L24" i="36" s="1"/>
  <c r="H12" i="33"/>
  <c r="Q55" i="33" s="1"/>
  <c r="L17" i="36" s="1"/>
  <c r="B11" i="33"/>
  <c r="C11" i="33"/>
  <c r="Q20" i="26"/>
  <c r="H151" i="26"/>
  <c r="H150" i="26"/>
  <c r="H149" i="26"/>
  <c r="H147" i="26"/>
  <c r="Q11" i="32"/>
  <c r="Q60" i="32" s="1"/>
  <c r="K22" i="36" s="1"/>
  <c r="H82" i="32"/>
  <c r="Q58" i="32" s="1"/>
  <c r="K20" i="36" s="1"/>
  <c r="H95" i="32"/>
  <c r="Q59" i="32" s="1"/>
  <c r="K21" i="36" s="1"/>
  <c r="H51" i="32"/>
  <c r="Q56" i="32" s="1"/>
  <c r="K18" i="36" s="1"/>
  <c r="Q41" i="32"/>
  <c r="Q62" i="32" s="1"/>
  <c r="K24" i="36" s="1"/>
  <c r="Q28" i="32"/>
  <c r="Q61" i="32" s="1"/>
  <c r="K23" i="36" s="1"/>
  <c r="C11" i="32"/>
  <c r="D11" i="32"/>
  <c r="E11" i="32"/>
  <c r="B11" i="32"/>
  <c r="F11" i="32"/>
  <c r="G11" i="32"/>
  <c r="H69" i="32"/>
  <c r="Q57" i="32" s="1"/>
  <c r="K19" i="36" s="1"/>
  <c r="H12" i="32"/>
  <c r="Q55" i="32" s="1"/>
  <c r="K17" i="36" s="1"/>
  <c r="Q41" i="31"/>
  <c r="Q62" i="31" s="1"/>
  <c r="H69" i="31"/>
  <c r="Q57" i="31" s="1"/>
  <c r="J19" i="36" s="1"/>
  <c r="H82" i="31"/>
  <c r="Q58" i="31" s="1"/>
  <c r="J20" i="36" s="1"/>
  <c r="H51" i="31"/>
  <c r="Q56" i="31" s="1"/>
  <c r="J18" i="36" s="1"/>
  <c r="Q28" i="31"/>
  <c r="Q61" i="31" s="1"/>
  <c r="Q11" i="31"/>
  <c r="Q60" i="31" s="1"/>
  <c r="H95" i="31"/>
  <c r="Q59" i="31" s="1"/>
  <c r="J21" i="36" s="1"/>
  <c r="E11" i="31"/>
  <c r="C11" i="31"/>
  <c r="D11" i="31"/>
  <c r="B11" i="31"/>
  <c r="H12" i="31"/>
  <c r="Q55" i="31" s="1"/>
  <c r="J17" i="36" s="1"/>
  <c r="F11" i="31"/>
  <c r="G11" i="31"/>
  <c r="Q41" i="30"/>
  <c r="Q62" i="30" s="1"/>
  <c r="H82" i="30"/>
  <c r="Q58" i="30" s="1"/>
  <c r="H69" i="30"/>
  <c r="Q57" i="30" s="1"/>
  <c r="Q11" i="30"/>
  <c r="Q60" i="30" s="1"/>
  <c r="Q28" i="30"/>
  <c r="Q61" i="30" s="1"/>
  <c r="B11" i="30"/>
  <c r="H51" i="30"/>
  <c r="Q56" i="30" s="1"/>
  <c r="C11" i="30"/>
  <c r="H95" i="30"/>
  <c r="Q59" i="30" s="1"/>
  <c r="D11" i="30"/>
  <c r="E11" i="30"/>
  <c r="F11" i="30"/>
  <c r="G11" i="30"/>
  <c r="H12" i="30"/>
  <c r="Q55" i="30" s="1"/>
  <c r="F12" i="29"/>
  <c r="H116" i="29"/>
  <c r="H114" i="29"/>
  <c r="H113" i="29"/>
  <c r="H112" i="29"/>
  <c r="H111" i="29"/>
  <c r="H110" i="29"/>
  <c r="H109" i="29"/>
  <c r="H96" i="29"/>
  <c r="H94" i="29"/>
  <c r="H90" i="29"/>
  <c r="H89" i="29"/>
  <c r="H88" i="29"/>
  <c r="H87" i="29"/>
  <c r="H86" i="29"/>
  <c r="H85" i="29"/>
  <c r="H84" i="29"/>
  <c r="H83" i="29"/>
  <c r="H81" i="29"/>
  <c r="H80" i="29"/>
  <c r="H79" i="29"/>
  <c r="H78" i="29"/>
  <c r="H77" i="29"/>
  <c r="H76" i="29"/>
  <c r="H75" i="29"/>
  <c r="H74" i="29"/>
  <c r="H73" i="29"/>
  <c r="H72" i="29"/>
  <c r="H71" i="29"/>
  <c r="H70" i="29"/>
  <c r="G69" i="29"/>
  <c r="F69" i="29"/>
  <c r="E69" i="29"/>
  <c r="D69" i="29"/>
  <c r="C69" i="29"/>
  <c r="B69" i="29"/>
  <c r="H68" i="29"/>
  <c r="H67" i="29"/>
  <c r="H66" i="29"/>
  <c r="H65" i="29"/>
  <c r="H64" i="29"/>
  <c r="H63" i="29"/>
  <c r="H62" i="29"/>
  <c r="H61" i="29"/>
  <c r="H60" i="29"/>
  <c r="H59" i="29"/>
  <c r="H58" i="29"/>
  <c r="H57" i="29"/>
  <c r="H56" i="29"/>
  <c r="H55" i="29"/>
  <c r="H54" i="29"/>
  <c r="H53" i="29"/>
  <c r="H52" i="29"/>
  <c r="G51" i="29"/>
  <c r="F51" i="29"/>
  <c r="E51" i="29"/>
  <c r="D51" i="29"/>
  <c r="C51" i="29"/>
  <c r="B51" i="29"/>
  <c r="H50" i="29"/>
  <c r="H49" i="29"/>
  <c r="Q49" i="29"/>
  <c r="H48" i="29"/>
  <c r="Q48" i="29"/>
  <c r="H47" i="29"/>
  <c r="Q47" i="29"/>
  <c r="H46" i="29"/>
  <c r="Q46" i="29"/>
  <c r="H45" i="29"/>
  <c r="Q45" i="29"/>
  <c r="H44" i="29"/>
  <c r="Q44" i="29"/>
  <c r="H43" i="29"/>
  <c r="Q43" i="29"/>
  <c r="H42" i="29"/>
  <c r="Q42" i="29"/>
  <c r="H41" i="29"/>
  <c r="P41" i="29"/>
  <c r="O41" i="29"/>
  <c r="N41" i="29"/>
  <c r="M41" i="29"/>
  <c r="L41" i="29"/>
  <c r="K41" i="29"/>
  <c r="H40" i="29"/>
  <c r="H39" i="29"/>
  <c r="H38" i="29"/>
  <c r="H37" i="29"/>
  <c r="Q37" i="29"/>
  <c r="H36" i="29"/>
  <c r="Q35" i="29"/>
  <c r="H35" i="29"/>
  <c r="Q34" i="29"/>
  <c r="H34" i="29"/>
  <c r="Q33" i="29"/>
  <c r="H33" i="29"/>
  <c r="Q32" i="29"/>
  <c r="Q31" i="29"/>
  <c r="Q30" i="29"/>
  <c r="Q29" i="29"/>
  <c r="P28" i="29"/>
  <c r="O28" i="29"/>
  <c r="N28" i="29"/>
  <c r="M28" i="29"/>
  <c r="L28" i="29"/>
  <c r="K28" i="29"/>
  <c r="H22" i="29"/>
  <c r="Q23" i="29"/>
  <c r="H21" i="29"/>
  <c r="Q22" i="29"/>
  <c r="H20" i="29"/>
  <c r="Q19" i="29"/>
  <c r="H19" i="29"/>
  <c r="Q18" i="29"/>
  <c r="H18" i="29"/>
  <c r="Q17" i="29"/>
  <c r="H17" i="29"/>
  <c r="Q16" i="29"/>
  <c r="H16" i="29"/>
  <c r="Q15" i="29"/>
  <c r="H15" i="29"/>
  <c r="Q14" i="29"/>
  <c r="H14" i="29"/>
  <c r="Q13" i="29"/>
  <c r="H13" i="29"/>
  <c r="Q12" i="29"/>
  <c r="G12" i="29"/>
  <c r="E12" i="29"/>
  <c r="D12" i="29"/>
  <c r="C12" i="29"/>
  <c r="B12" i="29"/>
  <c r="P11" i="29"/>
  <c r="O11" i="29"/>
  <c r="N11" i="29"/>
  <c r="M11" i="29"/>
  <c r="L11" i="29"/>
  <c r="K11" i="29"/>
  <c r="H153" i="28"/>
  <c r="H145" i="28"/>
  <c r="H144" i="28"/>
  <c r="H143" i="28"/>
  <c r="H142" i="28"/>
  <c r="H141" i="28"/>
  <c r="H140" i="28"/>
  <c r="H139" i="28"/>
  <c r="H138" i="28"/>
  <c r="H137" i="28"/>
  <c r="H136" i="28"/>
  <c r="H135" i="28"/>
  <c r="H134" i="28"/>
  <c r="H133" i="28"/>
  <c r="H132" i="28"/>
  <c r="H131" i="28"/>
  <c r="H130" i="28"/>
  <c r="H129" i="28"/>
  <c r="H128" i="28"/>
  <c r="H127" i="28"/>
  <c r="H126" i="28"/>
  <c r="H125" i="28"/>
  <c r="H124" i="28"/>
  <c r="H123" i="28"/>
  <c r="H122" i="28"/>
  <c r="H121" i="28"/>
  <c r="H120" i="28"/>
  <c r="H119" i="28"/>
  <c r="H118" i="28"/>
  <c r="H117" i="28"/>
  <c r="H116" i="28"/>
  <c r="H114" i="28"/>
  <c r="H113" i="28"/>
  <c r="H112" i="28"/>
  <c r="H111" i="28"/>
  <c r="H110" i="28"/>
  <c r="H109" i="28"/>
  <c r="H107" i="28"/>
  <c r="H106" i="28"/>
  <c r="H98" i="28"/>
  <c r="H97" i="28"/>
  <c r="H96" i="28"/>
  <c r="H94" i="28"/>
  <c r="H92" i="28"/>
  <c r="H91" i="28"/>
  <c r="H90" i="28"/>
  <c r="H89" i="28"/>
  <c r="H88" i="28"/>
  <c r="H87" i="28"/>
  <c r="H86" i="28"/>
  <c r="H85" i="28"/>
  <c r="H84" i="28"/>
  <c r="H83" i="28"/>
  <c r="H81" i="28"/>
  <c r="H80" i="28"/>
  <c r="H79" i="28"/>
  <c r="H78" i="28"/>
  <c r="H77" i="28"/>
  <c r="H76" i="28"/>
  <c r="H75" i="28"/>
  <c r="H74" i="28"/>
  <c r="H73" i="28"/>
  <c r="H72" i="28"/>
  <c r="H71" i="28"/>
  <c r="H70" i="28"/>
  <c r="G69" i="28"/>
  <c r="F69" i="28"/>
  <c r="E69" i="28"/>
  <c r="D69" i="28"/>
  <c r="C69" i="28"/>
  <c r="B69" i="28"/>
  <c r="H68" i="28"/>
  <c r="H67" i="28"/>
  <c r="H66" i="28"/>
  <c r="H65" i="28"/>
  <c r="H64" i="28"/>
  <c r="H63" i="28"/>
  <c r="H62" i="28"/>
  <c r="H61" i="28"/>
  <c r="H60" i="28"/>
  <c r="H59" i="28"/>
  <c r="H58" i="28"/>
  <c r="H57" i="28"/>
  <c r="H56" i="28"/>
  <c r="H55" i="28"/>
  <c r="H54" i="28"/>
  <c r="H53" i="28"/>
  <c r="H52" i="28"/>
  <c r="G51" i="28"/>
  <c r="F51" i="28"/>
  <c r="E51" i="28"/>
  <c r="D51" i="28"/>
  <c r="C51" i="28"/>
  <c r="B51" i="28"/>
  <c r="H50" i="28"/>
  <c r="H49" i="28"/>
  <c r="Q49" i="28"/>
  <c r="H48" i="28"/>
  <c r="Q48" i="28"/>
  <c r="H47" i="28"/>
  <c r="Q47" i="28"/>
  <c r="H46" i="28"/>
  <c r="Q46" i="28"/>
  <c r="H45" i="28"/>
  <c r="Q45" i="28"/>
  <c r="H44" i="28"/>
  <c r="Q44" i="28"/>
  <c r="H43" i="28"/>
  <c r="Q43" i="28"/>
  <c r="H42" i="28"/>
  <c r="Q42" i="28"/>
  <c r="H41" i="28"/>
  <c r="P41" i="28"/>
  <c r="O41" i="28"/>
  <c r="N41" i="28"/>
  <c r="M41" i="28"/>
  <c r="L41" i="28"/>
  <c r="K41" i="28"/>
  <c r="H40" i="28"/>
  <c r="H39" i="28"/>
  <c r="H38" i="28"/>
  <c r="H37" i="28"/>
  <c r="Q37" i="28"/>
  <c r="H36" i="28"/>
  <c r="Q35" i="28"/>
  <c r="H35" i="28"/>
  <c r="Q34" i="28"/>
  <c r="H34" i="28"/>
  <c r="Q33" i="28"/>
  <c r="H33" i="28"/>
  <c r="Q32" i="28"/>
  <c r="Q31" i="28"/>
  <c r="Q30" i="28"/>
  <c r="Q29" i="28"/>
  <c r="P28" i="28"/>
  <c r="O28" i="28"/>
  <c r="N28" i="28"/>
  <c r="M28" i="28"/>
  <c r="L28" i="28"/>
  <c r="K28" i="28"/>
  <c r="H22" i="28"/>
  <c r="Q23" i="28"/>
  <c r="H21" i="28"/>
  <c r="Q22" i="28"/>
  <c r="H20" i="28"/>
  <c r="Q19" i="28"/>
  <c r="H19" i="28"/>
  <c r="Q18" i="28"/>
  <c r="H18" i="28"/>
  <c r="Q17" i="28"/>
  <c r="H17" i="28"/>
  <c r="Q16" i="28"/>
  <c r="H16" i="28"/>
  <c r="Q15" i="28"/>
  <c r="H15" i="28"/>
  <c r="Q14" i="28"/>
  <c r="H14" i="28"/>
  <c r="Q13" i="28"/>
  <c r="H13" i="28"/>
  <c r="Q12" i="28"/>
  <c r="G12" i="28"/>
  <c r="F12" i="28"/>
  <c r="E12" i="28"/>
  <c r="D12" i="28"/>
  <c r="C12" i="28"/>
  <c r="B12" i="28"/>
  <c r="P11" i="28"/>
  <c r="O11" i="28"/>
  <c r="N11" i="28"/>
  <c r="M11" i="28"/>
  <c r="L11" i="28"/>
  <c r="K11" i="28"/>
  <c r="H138" i="24"/>
  <c r="H119" i="24"/>
  <c r="H119" i="25"/>
  <c r="H138" i="25"/>
  <c r="Q12" i="27"/>
  <c r="H138" i="27"/>
  <c r="H18" i="22"/>
  <c r="H18" i="23"/>
  <c r="H18" i="24"/>
  <c r="H18" i="25"/>
  <c r="H18" i="27"/>
  <c r="H119" i="27"/>
  <c r="H17" i="25"/>
  <c r="H17" i="24"/>
  <c r="H17" i="23"/>
  <c r="H17" i="22"/>
  <c r="F69" i="24"/>
  <c r="H17" i="27"/>
  <c r="Q63" i="34" l="1"/>
  <c r="B16" i="35" s="1"/>
  <c r="H11" i="34"/>
  <c r="Q63" i="33"/>
  <c r="B15" i="35" s="1"/>
  <c r="H11" i="33"/>
  <c r="Q63" i="32"/>
  <c r="B14" i="35" s="1"/>
  <c r="H11" i="32"/>
  <c r="Q63" i="31"/>
  <c r="B13" i="35" s="1"/>
  <c r="H11" i="31"/>
  <c r="Q63" i="30"/>
  <c r="H11" i="30"/>
  <c r="H138" i="26"/>
  <c r="H119" i="26"/>
  <c r="H51" i="29"/>
  <c r="Q56" i="29" s="1"/>
  <c r="Q11" i="29"/>
  <c r="Q60" i="29" s="1"/>
  <c r="H82" i="29"/>
  <c r="Q58" i="29" s="1"/>
  <c r="Q41" i="29"/>
  <c r="Q62" i="29" s="1"/>
  <c r="Q28" i="29"/>
  <c r="Q61" i="29" s="1"/>
  <c r="H95" i="29"/>
  <c r="Q59" i="29" s="1"/>
  <c r="G11" i="29"/>
  <c r="H69" i="29"/>
  <c r="Q57" i="29" s="1"/>
  <c r="C11" i="29"/>
  <c r="E11" i="29"/>
  <c r="F11" i="29"/>
  <c r="D11" i="29"/>
  <c r="H12" i="29"/>
  <c r="Q55" i="29" s="1"/>
  <c r="B11" i="29"/>
  <c r="H95" i="28"/>
  <c r="Q59" i="28" s="1"/>
  <c r="H51" i="28"/>
  <c r="Q56" i="28" s="1"/>
  <c r="H69" i="28"/>
  <c r="Q57" i="28" s="1"/>
  <c r="Q28" i="28"/>
  <c r="Q61" i="28" s="1"/>
  <c r="Q11" i="28"/>
  <c r="Q60" i="28" s="1"/>
  <c r="Q41" i="28"/>
  <c r="Q62" i="28" s="1"/>
  <c r="G11" i="28"/>
  <c r="H82" i="28"/>
  <c r="Q58" i="28" s="1"/>
  <c r="D11" i="28"/>
  <c r="C11" i="28"/>
  <c r="E11" i="28"/>
  <c r="F11" i="28"/>
  <c r="H12" i="28"/>
  <c r="Q55" i="28" s="1"/>
  <c r="B11" i="28"/>
  <c r="H18" i="26"/>
  <c r="H17" i="26"/>
  <c r="H153" i="27"/>
  <c r="H144" i="27"/>
  <c r="H143" i="27"/>
  <c r="H142" i="27"/>
  <c r="H141" i="27"/>
  <c r="H140" i="27"/>
  <c r="H139" i="27"/>
  <c r="H137" i="27"/>
  <c r="H136" i="27"/>
  <c r="H135" i="27"/>
  <c r="H134" i="27"/>
  <c r="H133" i="27"/>
  <c r="H132" i="27"/>
  <c r="H131" i="27"/>
  <c r="H130" i="27"/>
  <c r="H129" i="27"/>
  <c r="H128" i="27"/>
  <c r="H127" i="27"/>
  <c r="H126" i="27"/>
  <c r="H125" i="27"/>
  <c r="H124" i="27"/>
  <c r="H123" i="27"/>
  <c r="H122" i="27"/>
  <c r="H121" i="27"/>
  <c r="H120" i="27"/>
  <c r="H118" i="27"/>
  <c r="H117" i="27"/>
  <c r="H116" i="27"/>
  <c r="H114" i="27"/>
  <c r="H113" i="27"/>
  <c r="H112" i="27"/>
  <c r="H111" i="27"/>
  <c r="H110" i="27"/>
  <c r="H109" i="27"/>
  <c r="H107" i="27"/>
  <c r="H106" i="27"/>
  <c r="H97" i="27"/>
  <c r="H96" i="27"/>
  <c r="H94" i="27"/>
  <c r="H92" i="27"/>
  <c r="H91" i="27"/>
  <c r="H90" i="27"/>
  <c r="H89" i="27"/>
  <c r="H88" i="27"/>
  <c r="H87" i="27"/>
  <c r="H86" i="27"/>
  <c r="H85" i="27"/>
  <c r="H84" i="27"/>
  <c r="H83" i="27"/>
  <c r="H81" i="27"/>
  <c r="H80" i="27"/>
  <c r="H79" i="27"/>
  <c r="H78" i="27"/>
  <c r="H77" i="27"/>
  <c r="H76" i="27"/>
  <c r="H75" i="27"/>
  <c r="H74" i="27"/>
  <c r="H73" i="27"/>
  <c r="H72" i="27"/>
  <c r="H71" i="27"/>
  <c r="H70" i="27"/>
  <c r="G69" i="27"/>
  <c r="F69" i="27"/>
  <c r="E69" i="27"/>
  <c r="D69" i="27"/>
  <c r="C69" i="27"/>
  <c r="B69" i="27"/>
  <c r="H68" i="27"/>
  <c r="H67" i="27"/>
  <c r="H66" i="27"/>
  <c r="H65" i="27"/>
  <c r="H64" i="27"/>
  <c r="H63" i="27"/>
  <c r="H62" i="27"/>
  <c r="H61" i="27"/>
  <c r="H60" i="27"/>
  <c r="H59" i="27"/>
  <c r="H58" i="27"/>
  <c r="H57" i="27"/>
  <c r="H56" i="27"/>
  <c r="H55" i="27"/>
  <c r="H54" i="27"/>
  <c r="H53" i="27"/>
  <c r="H52" i="27"/>
  <c r="G51" i="27"/>
  <c r="F51" i="27"/>
  <c r="E51" i="27"/>
  <c r="D51" i="27"/>
  <c r="C51" i="27"/>
  <c r="B51" i="27"/>
  <c r="Q49" i="27"/>
  <c r="H50" i="27"/>
  <c r="Q48" i="27"/>
  <c r="H49" i="27"/>
  <c r="Q47" i="27"/>
  <c r="H48" i="27"/>
  <c r="Q46" i="27"/>
  <c r="H47" i="27"/>
  <c r="Q45" i="27"/>
  <c r="H46" i="27"/>
  <c r="Q44" i="27"/>
  <c r="H45" i="27"/>
  <c r="Q43" i="27"/>
  <c r="H44" i="27"/>
  <c r="Q42" i="27"/>
  <c r="H43" i="27"/>
  <c r="P41" i="27"/>
  <c r="O41" i="27"/>
  <c r="N41" i="27"/>
  <c r="M41" i="27"/>
  <c r="L41" i="27"/>
  <c r="K41" i="27"/>
  <c r="H42" i="27"/>
  <c r="H41" i="27"/>
  <c r="H40" i="27"/>
  <c r="H39" i="27"/>
  <c r="Q37" i="27"/>
  <c r="H38" i="27"/>
  <c r="Q35" i="27"/>
  <c r="H37" i="27"/>
  <c r="Q34" i="27"/>
  <c r="H36" i="27"/>
  <c r="Q33" i="27"/>
  <c r="H35" i="27"/>
  <c r="Q32" i="27"/>
  <c r="H34" i="27"/>
  <c r="Q31" i="27"/>
  <c r="H33" i="27"/>
  <c r="Q30" i="27"/>
  <c r="Q29" i="27"/>
  <c r="P28" i="27"/>
  <c r="O28" i="27"/>
  <c r="N28" i="27"/>
  <c r="M28" i="27"/>
  <c r="L28" i="27"/>
  <c r="K28" i="27"/>
  <c r="Q23" i="27"/>
  <c r="Q22" i="27"/>
  <c r="H22" i="27"/>
  <c r="Q19" i="27"/>
  <c r="H21" i="27"/>
  <c r="Q18" i="27"/>
  <c r="H20" i="27"/>
  <c r="Q17" i="27"/>
  <c r="H19" i="27"/>
  <c r="Q16" i="27"/>
  <c r="H16" i="27"/>
  <c r="Q15" i="27"/>
  <c r="H15" i="27"/>
  <c r="Q14" i="27"/>
  <c r="H14" i="27"/>
  <c r="Q13" i="27"/>
  <c r="H13" i="27"/>
  <c r="G12" i="27"/>
  <c r="F12" i="27"/>
  <c r="E12" i="27"/>
  <c r="D12" i="27"/>
  <c r="C12" i="27"/>
  <c r="B12" i="27"/>
  <c r="P11" i="27"/>
  <c r="O11" i="27"/>
  <c r="N11" i="27"/>
  <c r="M11" i="27"/>
  <c r="L11" i="27"/>
  <c r="K11" i="27"/>
  <c r="F82" i="23"/>
  <c r="F69" i="22"/>
  <c r="F69" i="23"/>
  <c r="F69" i="25"/>
  <c r="H94" i="25"/>
  <c r="H94" i="22"/>
  <c r="H94" i="24"/>
  <c r="H94" i="23"/>
  <c r="H153" i="25"/>
  <c r="H145" i="25"/>
  <c r="H144" i="25"/>
  <c r="H143" i="25"/>
  <c r="H142" i="25"/>
  <c r="H141" i="25"/>
  <c r="H140" i="25"/>
  <c r="H139" i="25"/>
  <c r="H137" i="25"/>
  <c r="H136" i="25"/>
  <c r="H135" i="25"/>
  <c r="H134" i="25"/>
  <c r="H133" i="25"/>
  <c r="H132" i="25"/>
  <c r="H131" i="25"/>
  <c r="H130" i="25"/>
  <c r="H129" i="25"/>
  <c r="H128" i="25"/>
  <c r="H127" i="25"/>
  <c r="H126" i="25"/>
  <c r="H125" i="25"/>
  <c r="H124" i="25"/>
  <c r="H123" i="25"/>
  <c r="H122" i="25"/>
  <c r="H121" i="25"/>
  <c r="H120" i="25"/>
  <c r="H118" i="25"/>
  <c r="H117" i="25"/>
  <c r="H116" i="25"/>
  <c r="H114" i="25"/>
  <c r="H113" i="25"/>
  <c r="H112" i="25"/>
  <c r="H111" i="25"/>
  <c r="H110" i="25"/>
  <c r="H109" i="25"/>
  <c r="H107" i="25"/>
  <c r="H106" i="25"/>
  <c r="H98" i="25"/>
  <c r="H97" i="25"/>
  <c r="H96" i="25"/>
  <c r="H92" i="25"/>
  <c r="H91" i="25"/>
  <c r="H90" i="25"/>
  <c r="H89" i="25"/>
  <c r="H88" i="25"/>
  <c r="H87" i="25"/>
  <c r="H86" i="25"/>
  <c r="H85" i="25"/>
  <c r="H84" i="25"/>
  <c r="H83" i="25"/>
  <c r="H81" i="25"/>
  <c r="H80" i="25"/>
  <c r="H79" i="25"/>
  <c r="H78" i="25"/>
  <c r="H77" i="25"/>
  <c r="H76" i="25"/>
  <c r="H75" i="25"/>
  <c r="H74" i="25"/>
  <c r="H73" i="25"/>
  <c r="H72" i="25"/>
  <c r="H71" i="25"/>
  <c r="H70" i="25"/>
  <c r="G69" i="25"/>
  <c r="E69" i="25"/>
  <c r="D69" i="25"/>
  <c r="C69" i="25"/>
  <c r="B69" i="25"/>
  <c r="H68" i="25"/>
  <c r="H67" i="25"/>
  <c r="H66" i="25"/>
  <c r="H65" i="25"/>
  <c r="H64" i="25"/>
  <c r="H63" i="25"/>
  <c r="H62" i="25"/>
  <c r="H61" i="25"/>
  <c r="H60" i="25"/>
  <c r="H59" i="25"/>
  <c r="H58" i="25"/>
  <c r="H57" i="25"/>
  <c r="H56" i="25"/>
  <c r="H55" i="25"/>
  <c r="H54" i="25"/>
  <c r="H53" i="25"/>
  <c r="H52" i="25"/>
  <c r="G51" i="25"/>
  <c r="F51" i="25"/>
  <c r="E51" i="25"/>
  <c r="D51" i="25"/>
  <c r="C51" i="25"/>
  <c r="B51" i="25"/>
  <c r="Q49" i="25"/>
  <c r="H50" i="25"/>
  <c r="Q48" i="25"/>
  <c r="H49" i="25"/>
  <c r="Q47" i="25"/>
  <c r="H48" i="25"/>
  <c r="Q46" i="25"/>
  <c r="H47" i="25"/>
  <c r="Q45" i="25"/>
  <c r="H46" i="25"/>
  <c r="Q44" i="25"/>
  <c r="H45" i="25"/>
  <c r="Q43" i="25"/>
  <c r="H44" i="25"/>
  <c r="Q42" i="25"/>
  <c r="H43" i="25"/>
  <c r="P41" i="25"/>
  <c r="O41" i="25"/>
  <c r="N41" i="25"/>
  <c r="M41" i="25"/>
  <c r="L41" i="25"/>
  <c r="K41" i="25"/>
  <c r="H42" i="25"/>
  <c r="H41" i="25"/>
  <c r="H40" i="25"/>
  <c r="H39" i="25"/>
  <c r="Q37" i="25"/>
  <c r="H38" i="25"/>
  <c r="Q35" i="25"/>
  <c r="H37" i="25"/>
  <c r="Q34" i="25"/>
  <c r="H36" i="25"/>
  <c r="Q33" i="25"/>
  <c r="H35" i="25"/>
  <c r="Q32" i="25"/>
  <c r="H34" i="25"/>
  <c r="Q31" i="25"/>
  <c r="H33" i="25"/>
  <c r="Q30" i="25"/>
  <c r="H31" i="25"/>
  <c r="Q29" i="25"/>
  <c r="H30" i="25"/>
  <c r="P28" i="25"/>
  <c r="O28" i="25"/>
  <c r="N28" i="25"/>
  <c r="M28" i="25"/>
  <c r="L28" i="25"/>
  <c r="K28" i="25"/>
  <c r="H29" i="25"/>
  <c r="H28" i="25"/>
  <c r="H27" i="25"/>
  <c r="H26" i="25"/>
  <c r="H25" i="25"/>
  <c r="Q23" i="25"/>
  <c r="H24" i="25"/>
  <c r="Q22" i="25"/>
  <c r="H22" i="25"/>
  <c r="Q19" i="25"/>
  <c r="H21" i="25"/>
  <c r="Q18" i="25"/>
  <c r="H20" i="25"/>
  <c r="Q17" i="25"/>
  <c r="H19" i="25"/>
  <c r="Q16" i="25"/>
  <c r="H16" i="25"/>
  <c r="Q15" i="25"/>
  <c r="H15" i="25"/>
  <c r="Q14" i="25"/>
  <c r="H14" i="25"/>
  <c r="Q13" i="25"/>
  <c r="H13" i="25"/>
  <c r="Q12" i="25"/>
  <c r="G12" i="25"/>
  <c r="F12" i="25"/>
  <c r="E12" i="25"/>
  <c r="D12" i="25"/>
  <c r="C12" i="25"/>
  <c r="B12" i="25"/>
  <c r="P11" i="25"/>
  <c r="O11" i="25"/>
  <c r="N11" i="25"/>
  <c r="M11" i="25"/>
  <c r="L11" i="25"/>
  <c r="K11" i="25"/>
  <c r="Q47" i="24"/>
  <c r="Q48" i="24"/>
  <c r="Q49" i="24"/>
  <c r="Q45" i="24"/>
  <c r="Q46" i="24"/>
  <c r="H106" i="24"/>
  <c r="H153" i="24"/>
  <c r="H145" i="24"/>
  <c r="H144" i="24"/>
  <c r="H143" i="24"/>
  <c r="H142" i="24"/>
  <c r="H141" i="24"/>
  <c r="H140" i="24"/>
  <c r="H139" i="24"/>
  <c r="H137" i="24"/>
  <c r="H136" i="24"/>
  <c r="H135" i="24"/>
  <c r="H134" i="24"/>
  <c r="H133" i="24"/>
  <c r="H132" i="24"/>
  <c r="H131" i="24"/>
  <c r="H130" i="24"/>
  <c r="H129" i="24"/>
  <c r="H128" i="24"/>
  <c r="H127" i="24"/>
  <c r="H126" i="24"/>
  <c r="H125" i="24"/>
  <c r="H124" i="24"/>
  <c r="H123" i="24"/>
  <c r="H122" i="24"/>
  <c r="H121" i="24"/>
  <c r="H120" i="24"/>
  <c r="H118" i="24"/>
  <c r="H117" i="24"/>
  <c r="H116" i="24"/>
  <c r="H114" i="24"/>
  <c r="H113" i="24"/>
  <c r="H112" i="24"/>
  <c r="H111" i="24"/>
  <c r="H110" i="24"/>
  <c r="H109" i="24"/>
  <c r="H107" i="24"/>
  <c r="H98" i="24"/>
  <c r="H97" i="24"/>
  <c r="H96" i="24"/>
  <c r="H92" i="24"/>
  <c r="H91" i="24"/>
  <c r="H90" i="24"/>
  <c r="H89" i="24"/>
  <c r="H88" i="24"/>
  <c r="H87" i="24"/>
  <c r="H86" i="24"/>
  <c r="H85" i="24"/>
  <c r="H84" i="24"/>
  <c r="H83" i="24"/>
  <c r="H81" i="24"/>
  <c r="H80" i="24"/>
  <c r="H79" i="24"/>
  <c r="H78" i="24"/>
  <c r="H77" i="24"/>
  <c r="H76" i="24"/>
  <c r="H75" i="24"/>
  <c r="H74" i="24"/>
  <c r="H73" i="24"/>
  <c r="H72" i="24"/>
  <c r="H71" i="24"/>
  <c r="H70" i="24"/>
  <c r="G69" i="24"/>
  <c r="E69" i="24"/>
  <c r="D69" i="24"/>
  <c r="C69" i="24"/>
  <c r="B69" i="24"/>
  <c r="H68" i="24"/>
  <c r="H67" i="24"/>
  <c r="H66" i="24"/>
  <c r="H65" i="24"/>
  <c r="H64" i="24"/>
  <c r="H63" i="24"/>
  <c r="H62" i="24"/>
  <c r="H61" i="24"/>
  <c r="H60" i="24"/>
  <c r="H59" i="24"/>
  <c r="H58" i="24"/>
  <c r="H57" i="24"/>
  <c r="H56" i="24"/>
  <c r="H55" i="24"/>
  <c r="H54" i="24"/>
  <c r="H53" i="24"/>
  <c r="H52" i="24"/>
  <c r="G51" i="24"/>
  <c r="F51" i="24"/>
  <c r="E51" i="24"/>
  <c r="D51" i="24"/>
  <c r="C51" i="24"/>
  <c r="B51" i="24"/>
  <c r="H50" i="24"/>
  <c r="H49" i="24"/>
  <c r="H48" i="24"/>
  <c r="H47" i="24"/>
  <c r="H46" i="24"/>
  <c r="Q44" i="24"/>
  <c r="H45" i="24"/>
  <c r="Q43" i="24"/>
  <c r="H44" i="24"/>
  <c r="Q42" i="24"/>
  <c r="H43" i="24"/>
  <c r="P41" i="24"/>
  <c r="O41" i="24"/>
  <c r="N41" i="24"/>
  <c r="M41" i="24"/>
  <c r="L41" i="24"/>
  <c r="K41" i="24"/>
  <c r="H42" i="24"/>
  <c r="H41" i="24"/>
  <c r="H40" i="24"/>
  <c r="H39" i="24"/>
  <c r="Q37" i="24"/>
  <c r="H38" i="24"/>
  <c r="Q35" i="24"/>
  <c r="H37" i="24"/>
  <c r="Q34" i="24"/>
  <c r="H36" i="24"/>
  <c r="Q33" i="24"/>
  <c r="H35" i="24"/>
  <c r="Q32" i="24"/>
  <c r="H34" i="24"/>
  <c r="Q31" i="24"/>
  <c r="H33" i="24"/>
  <c r="Q30" i="24"/>
  <c r="H31" i="24"/>
  <c r="Q29" i="24"/>
  <c r="H30" i="24"/>
  <c r="P28" i="24"/>
  <c r="O28" i="24"/>
  <c r="N28" i="24"/>
  <c r="M28" i="24"/>
  <c r="L28" i="24"/>
  <c r="K28" i="24"/>
  <c r="H29" i="24"/>
  <c r="H28" i="24"/>
  <c r="H27" i="24"/>
  <c r="H26" i="24"/>
  <c r="H25" i="24"/>
  <c r="Q23" i="24"/>
  <c r="H24" i="24"/>
  <c r="Q22" i="24"/>
  <c r="H22" i="24"/>
  <c r="Q19" i="24"/>
  <c r="H21" i="24"/>
  <c r="Q18" i="24"/>
  <c r="H20" i="24"/>
  <c r="Q17" i="24"/>
  <c r="H19" i="24"/>
  <c r="Q16" i="24"/>
  <c r="H16" i="24"/>
  <c r="Q15" i="24"/>
  <c r="H15" i="24"/>
  <c r="Q14" i="24"/>
  <c r="H14" i="24"/>
  <c r="Q13" i="24"/>
  <c r="H13" i="24"/>
  <c r="Q12" i="24"/>
  <c r="G12" i="24"/>
  <c r="F12" i="24"/>
  <c r="E12" i="24"/>
  <c r="D12" i="24"/>
  <c r="C12" i="24"/>
  <c r="B12" i="24"/>
  <c r="P11" i="24"/>
  <c r="O11" i="24"/>
  <c r="N11" i="24"/>
  <c r="M11" i="24"/>
  <c r="L11" i="24"/>
  <c r="K11" i="24"/>
  <c r="Q63" i="29" l="1"/>
  <c r="H11" i="29"/>
  <c r="Q63" i="28"/>
  <c r="H11" i="28"/>
  <c r="F69" i="26"/>
  <c r="D12" i="26"/>
  <c r="Q11" i="27"/>
  <c r="Q60" i="27" s="1"/>
  <c r="H95" i="27"/>
  <c r="Q59" i="27" s="1"/>
  <c r="H53" i="26"/>
  <c r="K28" i="26"/>
  <c r="H22" i="26"/>
  <c r="B51" i="26"/>
  <c r="E51" i="26"/>
  <c r="H61" i="26"/>
  <c r="H59" i="26"/>
  <c r="H77" i="26"/>
  <c r="H75" i="26"/>
  <c r="H71" i="26"/>
  <c r="C12" i="26"/>
  <c r="C51" i="26"/>
  <c r="H79" i="26"/>
  <c r="H143" i="26"/>
  <c r="H139" i="26"/>
  <c r="H130" i="26"/>
  <c r="H126" i="26"/>
  <c r="H117" i="26"/>
  <c r="Q37" i="26"/>
  <c r="H50" i="26"/>
  <c r="H42" i="26"/>
  <c r="H34" i="26"/>
  <c r="H29" i="26"/>
  <c r="H27" i="26"/>
  <c r="H25" i="26"/>
  <c r="H14" i="26"/>
  <c r="H97" i="26"/>
  <c r="H144" i="26"/>
  <c r="H140" i="26"/>
  <c r="H127" i="26"/>
  <c r="H118" i="26"/>
  <c r="H135" i="26"/>
  <c r="H123" i="26"/>
  <c r="H90" i="26"/>
  <c r="H88" i="26"/>
  <c r="H142" i="26"/>
  <c r="H137" i="26"/>
  <c r="H133" i="26"/>
  <c r="H129" i="26"/>
  <c r="H125" i="26"/>
  <c r="H121" i="26"/>
  <c r="Q44" i="26"/>
  <c r="F12" i="26"/>
  <c r="H92" i="26"/>
  <c r="H84" i="26"/>
  <c r="Q14" i="26"/>
  <c r="G69" i="26"/>
  <c r="H107" i="26"/>
  <c r="H98" i="26"/>
  <c r="H116" i="26"/>
  <c r="H145" i="26"/>
  <c r="H141" i="26"/>
  <c r="H136" i="26"/>
  <c r="H134" i="26"/>
  <c r="H132" i="26"/>
  <c r="H128" i="26"/>
  <c r="H124" i="26"/>
  <c r="H122" i="26"/>
  <c r="H120" i="26"/>
  <c r="Q34" i="26"/>
  <c r="Q32" i="26"/>
  <c r="Q30" i="26"/>
  <c r="Q49" i="26"/>
  <c r="Q47" i="26"/>
  <c r="Q45" i="26"/>
  <c r="Q43" i="26"/>
  <c r="Q16" i="26"/>
  <c r="H91" i="26"/>
  <c r="H85" i="26"/>
  <c r="Q22" i="26"/>
  <c r="E12" i="26"/>
  <c r="Q18" i="26"/>
  <c r="Q19" i="26"/>
  <c r="H46" i="26"/>
  <c r="H44" i="26"/>
  <c r="H36" i="26"/>
  <c r="H31" i="26"/>
  <c r="H20" i="26"/>
  <c r="H16" i="26"/>
  <c r="H64" i="26"/>
  <c r="D69" i="26"/>
  <c r="H131" i="26"/>
  <c r="Q48" i="26"/>
  <c r="H48" i="26"/>
  <c r="H40" i="26"/>
  <c r="H38" i="26"/>
  <c r="H153" i="26"/>
  <c r="H49" i="26"/>
  <c r="H47" i="26"/>
  <c r="H45" i="26"/>
  <c r="H43" i="26"/>
  <c r="H41" i="26"/>
  <c r="H39" i="26"/>
  <c r="H37" i="26"/>
  <c r="H35" i="26"/>
  <c r="H33" i="26"/>
  <c r="H30" i="26"/>
  <c r="H28" i="26"/>
  <c r="H26" i="26"/>
  <c r="H24" i="26"/>
  <c r="H21" i="26"/>
  <c r="H19" i="26"/>
  <c r="H15" i="26"/>
  <c r="G51" i="26"/>
  <c r="H55" i="26"/>
  <c r="H81" i="26"/>
  <c r="H73" i="26"/>
  <c r="H65" i="26"/>
  <c r="H57" i="26"/>
  <c r="Q15" i="26"/>
  <c r="H68" i="26"/>
  <c r="H66" i="26"/>
  <c r="H62" i="26"/>
  <c r="H60" i="26"/>
  <c r="H58" i="26"/>
  <c r="H56" i="26"/>
  <c r="H54" i="26"/>
  <c r="H74" i="26"/>
  <c r="H80" i="26"/>
  <c r="H78" i="26"/>
  <c r="H76" i="26"/>
  <c r="H109" i="26"/>
  <c r="H113" i="26"/>
  <c r="H111" i="26"/>
  <c r="K41" i="26"/>
  <c r="C69" i="26"/>
  <c r="Q35" i="26"/>
  <c r="Q33" i="26"/>
  <c r="Q31" i="26"/>
  <c r="H94" i="26"/>
  <c r="Q46" i="26"/>
  <c r="Q29" i="26"/>
  <c r="Q42" i="26"/>
  <c r="Q23" i="26"/>
  <c r="H96" i="26"/>
  <c r="Q13" i="26"/>
  <c r="H83" i="26"/>
  <c r="H110" i="26"/>
  <c r="Q17" i="26"/>
  <c r="D51" i="26"/>
  <c r="H63" i="26"/>
  <c r="H86" i="26"/>
  <c r="H114" i="26"/>
  <c r="H112" i="26"/>
  <c r="B12" i="26"/>
  <c r="H89" i="26"/>
  <c r="H87" i="26"/>
  <c r="H69" i="27"/>
  <c r="Q57" i="27" s="1"/>
  <c r="Q28" i="27"/>
  <c r="Q61" i="27" s="1"/>
  <c r="D11" i="27"/>
  <c r="Q41" i="27"/>
  <c r="Q62" i="27" s="1"/>
  <c r="B11" i="27"/>
  <c r="G11" i="27"/>
  <c r="F11" i="27"/>
  <c r="C11" i="27"/>
  <c r="H82" i="27"/>
  <c r="Q58" i="27" s="1"/>
  <c r="E11" i="27"/>
  <c r="H12" i="27"/>
  <c r="Q55" i="27" s="1"/>
  <c r="H51" i="27"/>
  <c r="Q56" i="27" s="1"/>
  <c r="E69" i="26"/>
  <c r="H72" i="26"/>
  <c r="H70" i="26"/>
  <c r="B69" i="26"/>
  <c r="H67" i="26"/>
  <c r="F51" i="26"/>
  <c r="H52" i="26"/>
  <c r="G12" i="26"/>
  <c r="H13" i="26"/>
  <c r="Q12" i="26"/>
  <c r="K11" i="26"/>
  <c r="H95" i="24"/>
  <c r="Q59" i="24" s="1"/>
  <c r="E11" i="25"/>
  <c r="H69" i="25"/>
  <c r="Q57" i="25" s="1"/>
  <c r="Q28" i="25"/>
  <c r="Q61" i="25" s="1"/>
  <c r="Q41" i="25"/>
  <c r="Q62" i="25" s="1"/>
  <c r="Q11" i="25"/>
  <c r="Q60" i="25" s="1"/>
  <c r="H95" i="25"/>
  <c r="Q59" i="25" s="1"/>
  <c r="B11" i="25"/>
  <c r="D11" i="25"/>
  <c r="H82" i="25"/>
  <c r="Q58" i="25" s="1"/>
  <c r="C11" i="25"/>
  <c r="F11" i="25"/>
  <c r="G11" i="25"/>
  <c r="H51" i="25"/>
  <c r="Q56" i="25" s="1"/>
  <c r="H12" i="25"/>
  <c r="Q55" i="25" s="1"/>
  <c r="Q11" i="24"/>
  <c r="Q60" i="24" s="1"/>
  <c r="C11" i="24"/>
  <c r="Q41" i="24"/>
  <c r="Q62" i="24" s="1"/>
  <c r="Q28" i="24"/>
  <c r="Q61" i="24" s="1"/>
  <c r="B11" i="24"/>
  <c r="H82" i="24"/>
  <c r="Q58" i="24" s="1"/>
  <c r="G11" i="24"/>
  <c r="H69" i="24"/>
  <c r="Q57" i="24" s="1"/>
  <c r="E11" i="24"/>
  <c r="F11" i="24"/>
  <c r="D11" i="24"/>
  <c r="H51" i="24"/>
  <c r="Q56" i="24" s="1"/>
  <c r="H12" i="24"/>
  <c r="Q55" i="24" s="1"/>
  <c r="Q31" i="23"/>
  <c r="Q31" i="22"/>
  <c r="Q30" i="22"/>
  <c r="Q30" i="23"/>
  <c r="H153" i="23"/>
  <c r="H145" i="23"/>
  <c r="H144" i="23"/>
  <c r="H143" i="23"/>
  <c r="H142" i="23"/>
  <c r="H141" i="23"/>
  <c r="H140" i="23"/>
  <c r="H139" i="23"/>
  <c r="H136" i="23"/>
  <c r="H135" i="23"/>
  <c r="H134" i="23"/>
  <c r="H133" i="23"/>
  <c r="H132" i="23"/>
  <c r="H131" i="23"/>
  <c r="H130" i="23"/>
  <c r="H129" i="23"/>
  <c r="H128" i="23"/>
  <c r="H127" i="23"/>
  <c r="H126" i="23"/>
  <c r="H125" i="23"/>
  <c r="H124" i="23"/>
  <c r="H123" i="23"/>
  <c r="H122" i="23"/>
  <c r="H121" i="23"/>
  <c r="H120" i="23"/>
  <c r="H118" i="23"/>
  <c r="H117" i="23"/>
  <c r="H116" i="23"/>
  <c r="H114" i="23"/>
  <c r="H113" i="23"/>
  <c r="H112" i="23"/>
  <c r="H111" i="23"/>
  <c r="H110" i="23"/>
  <c r="H109" i="23"/>
  <c r="H107" i="23"/>
  <c r="H98" i="23"/>
  <c r="H97" i="23"/>
  <c r="H96" i="23"/>
  <c r="H92" i="23"/>
  <c r="H91" i="23"/>
  <c r="H90" i="23"/>
  <c r="H89" i="23"/>
  <c r="H88" i="23"/>
  <c r="H87" i="23"/>
  <c r="H86" i="23"/>
  <c r="H85" i="23"/>
  <c r="H84" i="23"/>
  <c r="H83" i="23"/>
  <c r="G82" i="23"/>
  <c r="E82" i="23"/>
  <c r="D82" i="23"/>
  <c r="C82" i="23"/>
  <c r="B82" i="23"/>
  <c r="H81" i="23"/>
  <c r="H80" i="23"/>
  <c r="H79" i="23"/>
  <c r="H78" i="23"/>
  <c r="H77" i="23"/>
  <c r="H76" i="23"/>
  <c r="H75" i="23"/>
  <c r="H74" i="23"/>
  <c r="H73" i="23"/>
  <c r="H72" i="23"/>
  <c r="H71" i="23"/>
  <c r="H70" i="23"/>
  <c r="G69" i="23"/>
  <c r="E69" i="23"/>
  <c r="D69" i="23"/>
  <c r="C69" i="23"/>
  <c r="B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G51" i="23"/>
  <c r="F51" i="23"/>
  <c r="E51" i="23"/>
  <c r="D51" i="23"/>
  <c r="C51" i="23"/>
  <c r="B51" i="23"/>
  <c r="H50" i="23"/>
  <c r="H49" i="23"/>
  <c r="H48" i="23"/>
  <c r="H47" i="23"/>
  <c r="H46" i="23"/>
  <c r="Q46" i="23"/>
  <c r="H45" i="23"/>
  <c r="Q45" i="23"/>
  <c r="H44" i="23"/>
  <c r="Q44" i="23"/>
  <c r="H43" i="23"/>
  <c r="Q43" i="23"/>
  <c r="H42" i="23"/>
  <c r="Q42" i="23"/>
  <c r="H41" i="23"/>
  <c r="H40" i="23"/>
  <c r="H39" i="23"/>
  <c r="H38" i="23"/>
  <c r="H37" i="23"/>
  <c r="Q37" i="23"/>
  <c r="H36" i="23"/>
  <c r="H35" i="23"/>
  <c r="Q34" i="23"/>
  <c r="H34" i="23"/>
  <c r="Q33" i="23"/>
  <c r="H33" i="23"/>
  <c r="Q32" i="23"/>
  <c r="H31" i="23"/>
  <c r="Q29" i="23"/>
  <c r="H30" i="23"/>
  <c r="P28" i="23"/>
  <c r="O28" i="23"/>
  <c r="N28" i="23"/>
  <c r="M28" i="23"/>
  <c r="L28" i="23"/>
  <c r="K28" i="23"/>
  <c r="H29" i="23"/>
  <c r="H28" i="23"/>
  <c r="H27" i="23"/>
  <c r="H26" i="23"/>
  <c r="H25" i="23"/>
  <c r="Q23" i="23"/>
  <c r="H24" i="23"/>
  <c r="Q22" i="23"/>
  <c r="H22" i="23"/>
  <c r="Q19" i="23"/>
  <c r="H21" i="23"/>
  <c r="Q18" i="23"/>
  <c r="H20" i="23"/>
  <c r="Q17" i="23"/>
  <c r="H19" i="23"/>
  <c r="Q16" i="23"/>
  <c r="H16" i="23"/>
  <c r="Q15" i="23"/>
  <c r="H15" i="23"/>
  <c r="Q14" i="23"/>
  <c r="H14" i="23"/>
  <c r="Q13" i="23"/>
  <c r="H13" i="23"/>
  <c r="Q12" i="23"/>
  <c r="G12" i="23"/>
  <c r="F12" i="23"/>
  <c r="E12" i="23"/>
  <c r="D12" i="23"/>
  <c r="C12" i="23"/>
  <c r="B12" i="23"/>
  <c r="P11" i="23"/>
  <c r="O11" i="23"/>
  <c r="N11" i="23"/>
  <c r="M11" i="23"/>
  <c r="L11" i="23"/>
  <c r="K11" i="23"/>
  <c r="G11" i="26" l="1"/>
  <c r="E11" i="26"/>
  <c r="C11" i="26"/>
  <c r="D11" i="26"/>
  <c r="F11" i="26"/>
  <c r="H51" i="26"/>
  <c r="Q56" i="26" s="1"/>
  <c r="H12" i="26"/>
  <c r="Q55" i="26" s="1"/>
  <c r="Q41" i="26"/>
  <c r="Q62" i="26" s="1"/>
  <c r="Q28" i="26"/>
  <c r="Q61" i="26" s="1"/>
  <c r="H82" i="26"/>
  <c r="Q58" i="26" s="1"/>
  <c r="Q11" i="26"/>
  <c r="Q60" i="26" s="1"/>
  <c r="B11" i="26"/>
  <c r="H11" i="27"/>
  <c r="Q63" i="27"/>
  <c r="H95" i="26"/>
  <c r="Q59" i="26" s="1"/>
  <c r="H69" i="26"/>
  <c r="Q57" i="26" s="1"/>
  <c r="H11" i="25"/>
  <c r="Q63" i="25"/>
  <c r="H11" i="24"/>
  <c r="Q63" i="24"/>
  <c r="F11" i="23"/>
  <c r="H95" i="23"/>
  <c r="Q59" i="23" s="1"/>
  <c r="H12" i="23"/>
  <c r="Q55" i="23" s="1"/>
  <c r="Q41" i="23"/>
  <c r="Q62" i="23" s="1"/>
  <c r="Q28" i="23"/>
  <c r="Q61" i="23" s="1"/>
  <c r="Q11" i="23"/>
  <c r="Q60" i="23" s="1"/>
  <c r="H82" i="23"/>
  <c r="Q58" i="23" s="1"/>
  <c r="C11" i="23"/>
  <c r="H69" i="23"/>
  <c r="Q57" i="23" s="1"/>
  <c r="B11" i="23"/>
  <c r="G11" i="23"/>
  <c r="E11" i="23"/>
  <c r="H51" i="23"/>
  <c r="Q56" i="23" s="1"/>
  <c r="D11" i="23"/>
  <c r="Q42" i="22"/>
  <c r="Q43" i="22"/>
  <c r="Q44" i="22"/>
  <c r="Q45" i="22"/>
  <c r="Q46" i="22"/>
  <c r="H11" i="26" l="1"/>
  <c r="Q63" i="26"/>
  <c r="Q63" i="23"/>
  <c r="H11" i="23"/>
  <c r="Q19" i="22"/>
  <c r="Q34" i="22"/>
  <c r="Q35" i="22"/>
  <c r="Q37" i="22"/>
  <c r="N28" i="22"/>
  <c r="O28" i="22"/>
  <c r="N11" i="22"/>
  <c r="O11" i="22"/>
  <c r="F12" i="22"/>
  <c r="F51" i="22"/>
  <c r="Q32" i="22"/>
  <c r="Q33" i="22"/>
  <c r="Q29" i="22"/>
  <c r="P28" i="22"/>
  <c r="K28" i="22"/>
  <c r="L28" i="22"/>
  <c r="M28" i="22"/>
  <c r="C12" i="22"/>
  <c r="D12" i="22"/>
  <c r="E12" i="22"/>
  <c r="G12" i="22"/>
  <c r="B12" i="22"/>
  <c r="Q14" i="22"/>
  <c r="L11" i="22"/>
  <c r="M11" i="22"/>
  <c r="P11" i="22"/>
  <c r="K11" i="22"/>
  <c r="F11" i="22" l="1"/>
  <c r="Q41" i="22"/>
  <c r="Q62" i="22" s="1"/>
  <c r="Q28" i="22"/>
  <c r="Q61" i="22" s="1"/>
  <c r="Q17" i="22" l="1"/>
  <c r="Q18" i="22"/>
  <c r="Q22" i="22"/>
  <c r="Q23" i="22"/>
  <c r="H98" i="22"/>
  <c r="H107" i="22"/>
  <c r="H50" i="22" l="1"/>
  <c r="H49" i="22"/>
  <c r="H145" i="22"/>
  <c r="H144" i="22"/>
  <c r="H143" i="22"/>
  <c r="H142" i="22"/>
  <c r="H141" i="22"/>
  <c r="H140" i="22"/>
  <c r="H139" i="22"/>
  <c r="H120" i="22"/>
  <c r="H118" i="22"/>
  <c r="H117" i="22"/>
  <c r="H116" i="22"/>
  <c r="H137" i="22"/>
  <c r="H136" i="22"/>
  <c r="H135" i="22"/>
  <c r="H134" i="22"/>
  <c r="H133" i="22"/>
  <c r="H132" i="22"/>
  <c r="H131" i="22"/>
  <c r="H130" i="22"/>
  <c r="H114" i="22"/>
  <c r="H129" i="22"/>
  <c r="H128" i="22"/>
  <c r="H127" i="22"/>
  <c r="H126" i="22"/>
  <c r="H125" i="22"/>
  <c r="H124" i="22"/>
  <c r="H122" i="22"/>
  <c r="H121" i="22"/>
  <c r="H153" i="22"/>
  <c r="H113" i="22"/>
  <c r="H112" i="22"/>
  <c r="H111" i="22"/>
  <c r="H110" i="22"/>
  <c r="H109" i="22"/>
  <c r="H97" i="22"/>
  <c r="H96" i="22"/>
  <c r="H123" i="22"/>
  <c r="H89" i="22"/>
  <c r="H92" i="22"/>
  <c r="H91" i="22"/>
  <c r="H90" i="22"/>
  <c r="H88" i="22"/>
  <c r="H87" i="22"/>
  <c r="H86" i="22"/>
  <c r="H85" i="22"/>
  <c r="H84" i="22"/>
  <c r="H83" i="22"/>
  <c r="H81" i="22"/>
  <c r="H80" i="22"/>
  <c r="H79" i="22"/>
  <c r="H78" i="22"/>
  <c r="H77" i="22"/>
  <c r="H76" i="22"/>
  <c r="H75" i="22"/>
  <c r="H74" i="22"/>
  <c r="H73" i="22"/>
  <c r="H72" i="22"/>
  <c r="H71" i="22"/>
  <c r="H70" i="22"/>
  <c r="G69" i="22"/>
  <c r="E69" i="22"/>
  <c r="D69" i="22"/>
  <c r="C69" i="22"/>
  <c r="B69" i="22"/>
  <c r="H63" i="22"/>
  <c r="H62" i="22"/>
  <c r="H68" i="22"/>
  <c r="H67" i="22"/>
  <c r="H66" i="22"/>
  <c r="H65" i="22"/>
  <c r="H64" i="22"/>
  <c r="H61" i="22"/>
  <c r="H60" i="22"/>
  <c r="H59" i="22"/>
  <c r="H58" i="22"/>
  <c r="H57" i="22"/>
  <c r="H56" i="22"/>
  <c r="H55" i="22"/>
  <c r="H54" i="22"/>
  <c r="H53" i="22"/>
  <c r="H52" i="22"/>
  <c r="G51" i="22"/>
  <c r="E51" i="22"/>
  <c r="D51" i="22"/>
  <c r="C51" i="22"/>
  <c r="B51" i="22"/>
  <c r="H48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1" i="22"/>
  <c r="H30" i="22"/>
  <c r="H29" i="22"/>
  <c r="H28" i="22"/>
  <c r="H27" i="22"/>
  <c r="H26" i="22"/>
  <c r="H25" i="22"/>
  <c r="H24" i="22"/>
  <c r="H22" i="22"/>
  <c r="H21" i="22"/>
  <c r="H20" i="22"/>
  <c r="H19" i="22"/>
  <c r="Q16" i="22"/>
  <c r="H16" i="22"/>
  <c r="Q15" i="22"/>
  <c r="H15" i="22"/>
  <c r="H14" i="22"/>
  <c r="Q13" i="22"/>
  <c r="H13" i="22"/>
  <c r="Q12" i="22"/>
  <c r="Q11" i="22" l="1"/>
  <c r="Q60" i="22" s="1"/>
  <c r="H95" i="22"/>
  <c r="Q59" i="22" s="1"/>
  <c r="G11" i="22"/>
  <c r="C11" i="22"/>
  <c r="E11" i="22"/>
  <c r="H82" i="22"/>
  <c r="Q58" i="22" s="1"/>
  <c r="D11" i="22"/>
  <c r="H69" i="22"/>
  <c r="Q57" i="22" s="1"/>
  <c r="H51" i="22"/>
  <c r="Q56" i="22" s="1"/>
  <c r="H12" i="22"/>
  <c r="Q55" i="22" s="1"/>
  <c r="B11" i="22"/>
  <c r="Q63" i="22" l="1"/>
  <c r="H11" i="22"/>
</calcChain>
</file>

<file path=xl/sharedStrings.xml><?xml version="1.0" encoding="utf-8"?>
<sst xmlns="http://schemas.openxmlformats.org/spreadsheetml/2006/main" count="3034" uniqueCount="238">
  <si>
    <t>TOTAL DE EXAMENES LABORATORIO</t>
  </si>
  <si>
    <t>TOTAL EXAMENES BIOQUÍMICOS</t>
  </si>
  <si>
    <t>VSG</t>
  </si>
  <si>
    <t>TOTAL EXAMENES INMUNO SEROLÓGICOS</t>
  </si>
  <si>
    <t>TOTAL EXAMENES CITOLÓGICOS (PAP)</t>
  </si>
  <si>
    <t>TOTAL EXAMENES HISTOPATOLÓGICOS (Biopsia)</t>
  </si>
  <si>
    <t>TOTAL AUTOPSIA MÉDICO LEGAL</t>
  </si>
  <si>
    <t>TOTAL AUTOPSIA CLÍNICA</t>
  </si>
  <si>
    <t>Hospitaliz</t>
  </si>
  <si>
    <t>Emergenc</t>
  </si>
  <si>
    <t>C. Externa</t>
  </si>
  <si>
    <t>TOTAL</t>
  </si>
  <si>
    <t>Establecimiento de Salud informante:</t>
  </si>
  <si>
    <t xml:space="preserve">Año: </t>
  </si>
  <si>
    <t xml:space="preserve">Mes: </t>
  </si>
  <si>
    <t xml:space="preserve">Código Renaes: </t>
  </si>
  <si>
    <t>HOSPITAL REGIONAL DE LORETO</t>
  </si>
  <si>
    <t>ACIDO URICO</t>
  </si>
  <si>
    <t>CALCIO</t>
  </si>
  <si>
    <t>AMILASA</t>
  </si>
  <si>
    <t>CREATININA</t>
  </si>
  <si>
    <t>UREA</t>
  </si>
  <si>
    <t>TGO</t>
  </si>
  <si>
    <t>TGP</t>
  </si>
  <si>
    <t>PROTEINURIA 24 HORAS</t>
  </si>
  <si>
    <t>DEPURACION DE CREATININA</t>
  </si>
  <si>
    <t>PROTEINA C REACTIVA (CUANTITATIVO)</t>
  </si>
  <si>
    <t>GLUCOSA</t>
  </si>
  <si>
    <t>HEMOGLOBINA GLICOSILADA</t>
  </si>
  <si>
    <t>TOLERANCIA A LA GLUCOSA</t>
  </si>
  <si>
    <t>CPK TOTAL</t>
  </si>
  <si>
    <t>CPK MB</t>
  </si>
  <si>
    <t>HEMOGRAMA AUTOMATIZADO</t>
  </si>
  <si>
    <t>TC &amp; TS</t>
  </si>
  <si>
    <t>PLAQUETAS</t>
  </si>
  <si>
    <t>GRUPO Y FACTOR</t>
  </si>
  <si>
    <t>LAMINA PERIFERICA</t>
  </si>
  <si>
    <t>TIEMPO DE TROMBOPLASTINA</t>
  </si>
  <si>
    <t>TIEMPO DE PROTROMBINA</t>
  </si>
  <si>
    <t>FIBRINOGENO</t>
  </si>
  <si>
    <t>DIMERO D</t>
  </si>
  <si>
    <t>AGLUTINACIONES</t>
  </si>
  <si>
    <t>ASO</t>
  </si>
  <si>
    <t>FACTOR REUMATOIDEO</t>
  </si>
  <si>
    <t>PSA TOTAL</t>
  </si>
  <si>
    <t>B HCG CUANTITATIVO</t>
  </si>
  <si>
    <t>PROLACTINA</t>
  </si>
  <si>
    <t>PROGESTERONA</t>
  </si>
  <si>
    <t>B HCG CUALITATIVO</t>
  </si>
  <si>
    <t>TSH</t>
  </si>
  <si>
    <t>TROPONINA I</t>
  </si>
  <si>
    <t>TOXOPLASMA Ig M/Ig g</t>
  </si>
  <si>
    <t>CMV Ig M/Ig G</t>
  </si>
  <si>
    <t>TESTOSTERONA</t>
  </si>
  <si>
    <t>TOTAL EXAMENES MICROBIOLOGIA</t>
  </si>
  <si>
    <t>UROCULTIVO</t>
  </si>
  <si>
    <t>HEMOCULTIVO</t>
  </si>
  <si>
    <t>COPROCULTIVO</t>
  </si>
  <si>
    <t>CULTIVO DE CATETER</t>
  </si>
  <si>
    <t>KOH -HONGOS</t>
  </si>
  <si>
    <t>CULTIVO DE HONGOS</t>
  </si>
  <si>
    <t>RX INFLAMATORIA</t>
  </si>
  <si>
    <t>THEVENON HECES</t>
  </si>
  <si>
    <t>TEST GRAHAM</t>
  </si>
  <si>
    <t>TUBERCULOSIS</t>
  </si>
  <si>
    <t>MALARIA</t>
  </si>
  <si>
    <t>COLESTEROL</t>
  </si>
  <si>
    <t>TRIGLICERIDOS</t>
  </si>
  <si>
    <t>CULTIVO DE SECRECION</t>
  </si>
  <si>
    <t>CITOQUIMICO</t>
  </si>
  <si>
    <t>TOTAL EXAMENES URO -PARASITOLÓGICOS</t>
  </si>
  <si>
    <t>PROGRAMACION, SEGUIMIENTO Y EVALUACION DE ACTIVIDADES</t>
  </si>
  <si>
    <t>PROGRAMAS DE SALUD OPORTUNOS PARA LA POBLACION</t>
  </si>
  <si>
    <t>INR</t>
  </si>
  <si>
    <t>ALBUMINA</t>
  </si>
  <si>
    <t>BILIRRUBINA DIRECTA</t>
  </si>
  <si>
    <t>PROTEINAS TOTAL</t>
  </si>
  <si>
    <t>HDLc</t>
  </si>
  <si>
    <t>LDLc</t>
  </si>
  <si>
    <t>BILIRRUBINA TOTAL</t>
  </si>
  <si>
    <t>TOTAL PIEZA QUIRURGICA (HISTOLOGIA)</t>
  </si>
  <si>
    <t xml:space="preserve">TOTAL BAAF </t>
  </si>
  <si>
    <t>FOSFATASA ALCALINA</t>
  </si>
  <si>
    <t xml:space="preserve">   TOTAL CITOLOGIA ESPECIAL</t>
  </si>
  <si>
    <t>HECES SERIADO</t>
  </si>
  <si>
    <t>TOTAL EXAMENES ANATOMIA PATOLOGICA</t>
  </si>
  <si>
    <t xml:space="preserve">GASES ARTERIALES </t>
  </si>
  <si>
    <t>ELECTROLITOS</t>
  </si>
  <si>
    <t>TEST COOMBS DIRECTO</t>
  </si>
  <si>
    <t>TEST DE COOMBS INDIRECTO</t>
  </si>
  <si>
    <t>HEMATOCRITO</t>
  </si>
  <si>
    <t>HEMOGLOBINA</t>
  </si>
  <si>
    <t>PSA LIBRE</t>
  </si>
  <si>
    <t>SUDAN</t>
  </si>
  <si>
    <t>BENEDICT</t>
  </si>
  <si>
    <t>LIPASA</t>
  </si>
  <si>
    <t>TRANSFERRINA</t>
  </si>
  <si>
    <t xml:space="preserve">COMPLEMENTO C3 </t>
  </si>
  <si>
    <t xml:space="preserve">   COMPLEMENTO C4</t>
  </si>
  <si>
    <t>PROCALCITONINA</t>
  </si>
  <si>
    <t>INSULINA</t>
  </si>
  <si>
    <t>HIERRO</t>
  </si>
  <si>
    <t>FERRITINA</t>
  </si>
  <si>
    <t>VITAMINA B12</t>
  </si>
  <si>
    <t>RUBEOLA IgM/IgG</t>
  </si>
  <si>
    <t>ANA/ENA</t>
  </si>
  <si>
    <t>TINTA CHINA</t>
  </si>
  <si>
    <t>EXAMEN DIRECTO DE HECES</t>
  </si>
  <si>
    <t>EXÁMEN COMPLETO DE ORINA</t>
  </si>
  <si>
    <t xml:space="preserve">PRUEBAS RAPIDAS </t>
  </si>
  <si>
    <t>PRUEBAS QUIMIOLUMINISCENCIA</t>
  </si>
  <si>
    <t>HIV Ag/Ab COMBO</t>
  </si>
  <si>
    <t>VDRL</t>
  </si>
  <si>
    <t>RPR</t>
  </si>
  <si>
    <t>COPROPARASITOLOGICO FUNCIONAL</t>
  </si>
  <si>
    <t>VHS I Ig M/Ig G</t>
  </si>
  <si>
    <t>VHS II Ig M/Ig G</t>
  </si>
  <si>
    <t>ENERO</t>
  </si>
  <si>
    <t>RETICULOCITOS</t>
  </si>
  <si>
    <t>CONSTANTES CORPUSCULARES</t>
  </si>
  <si>
    <t>ANTI VHC - Ab (HEPATITIS C)</t>
  </si>
  <si>
    <t>ANTICORE VHB (HEPATITIS B CORE)</t>
  </si>
  <si>
    <t>ANTIGENO SUPERFICIE VHB (HEPATITIS B)</t>
  </si>
  <si>
    <t>VIH (I - II Ab)</t>
  </si>
  <si>
    <t>ANTI VHA - IgM (HEPATITIS A)</t>
  </si>
  <si>
    <t>AFP (ALFA FETO PROTEINA)</t>
  </si>
  <si>
    <t>CEA (ANTIGENO CARCINOEMBRIONARIO)</t>
  </si>
  <si>
    <t>CA 19.9</t>
  </si>
  <si>
    <t>CA 15.3</t>
  </si>
  <si>
    <t>CA 125</t>
  </si>
  <si>
    <t>METAXENICAS (REFERENCIAL)</t>
  </si>
  <si>
    <t>CULTIVO DE TB (REFERENCIAL)</t>
  </si>
  <si>
    <t>PH LÍQUIDOS CORPORALES</t>
  </si>
  <si>
    <t>BACILOSCOPIA DE LÍQUIDOS CORPORALES</t>
  </si>
  <si>
    <t>T3 LIBRE</t>
  </si>
  <si>
    <t>T4 LIBRE</t>
  </si>
  <si>
    <t>BANCO DE SANGRE</t>
  </si>
  <si>
    <t>EXAMEN DE PROCEDIMIENTO BIOQUÍMICO</t>
  </si>
  <si>
    <t>EXAMEN DE PROCEDIMIENTO HEMATOLÓGICO - HEMOSTASICOS</t>
  </si>
  <si>
    <t>TOTAL EXAMENES HEMATOLÓGICOS -HEMOSTASICOS</t>
  </si>
  <si>
    <t>EXAMEN DE PROCEDIMIENTOS MICROBIOLÓGICOS</t>
  </si>
  <si>
    <t>EXAMEN DE PROCEDIMIENTOS INMUNOLÓGICOS</t>
  </si>
  <si>
    <t>COLORACIÓN GRAM (Secrec.Vaginal y Otros)</t>
  </si>
  <si>
    <t>EXAMEN DE PROCEDIMIENTO ANATOMO PATOLÓGICO</t>
  </si>
  <si>
    <t>EXAMEN DE PROCEDIMIENTOS UROPARASITOLÓGICOS</t>
  </si>
  <si>
    <t>EXAMEN DE PROGRAMAS</t>
  </si>
  <si>
    <t xml:space="preserve">TOTAL DE EXAMENES </t>
  </si>
  <si>
    <t>Insolvencia</t>
  </si>
  <si>
    <t>PATOLOGÍA CLÍNICA</t>
  </si>
  <si>
    <t>ANATOMÍA PATOLÓGICA</t>
  </si>
  <si>
    <t>TOTAL DE UNIDADES ENTREGADAS</t>
  </si>
  <si>
    <t>UNIDADES DE BANCO DE SANGRE</t>
  </si>
  <si>
    <t>TOTAL DE ATENCIONES EN EL DEPARTAMENTO DE PATOLOGIA CLÍNICA Y ANATOMIA PATOLOGICA</t>
  </si>
  <si>
    <t>METODO DE CONCENTRACIÓN (BAERMANN)</t>
  </si>
  <si>
    <t>Privado</t>
  </si>
  <si>
    <t>Convenio</t>
  </si>
  <si>
    <t>ANTI HVC (HEPATITIS C)</t>
  </si>
  <si>
    <t>ANTI HBc (HEPATITIS B CORE)</t>
  </si>
  <si>
    <t>HBsAg (ANTIGENO DE SUPERFICIE)</t>
  </si>
  <si>
    <t>LACTATO DESHIDROGENASA (DHL)</t>
  </si>
  <si>
    <t>PRUEBA RAPIDA DE DENGUE</t>
  </si>
  <si>
    <t>PRUEBA RAPIDA DE COVID</t>
  </si>
  <si>
    <t>TOTAL DE TEJIDOS INCLUIDOS</t>
  </si>
  <si>
    <t>TOTAL DE CORTES DE TEJIDOS</t>
  </si>
  <si>
    <t>TOTAL DE LÁMINAS MONTADAS</t>
  </si>
  <si>
    <t>SANGRE TOTAL</t>
  </si>
  <si>
    <t>GLOBULOS ROJOS</t>
  </si>
  <si>
    <t>PLASMA FRESCO CONGELADO</t>
  </si>
  <si>
    <t>CRIOPRECIPITADO</t>
  </si>
  <si>
    <t>PROGRAMAS / METAXENICAS</t>
  </si>
  <si>
    <t>LEISHMANIA</t>
  </si>
  <si>
    <t>PROGRAMA LEPRAE</t>
  </si>
  <si>
    <t>FEBRERO</t>
  </si>
  <si>
    <t>MARZO</t>
  </si>
  <si>
    <t>HELICOBACTER PILORY IGM</t>
  </si>
  <si>
    <t>HELICOBACTER PILORY IGG</t>
  </si>
  <si>
    <t>Programa</t>
  </si>
  <si>
    <t>PRUEBA CRUZADA MAYOR</t>
  </si>
  <si>
    <t>PRUEBA CRUZADA MENOR</t>
  </si>
  <si>
    <t>GRUPO SANGUINEO ABO EN GEL</t>
  </si>
  <si>
    <t>ABRIL</t>
  </si>
  <si>
    <t>T COAGULACIÓN &amp; T SANGRÍA</t>
  </si>
  <si>
    <t>ADENOVIRUS &amp; ROTAVIRUS</t>
  </si>
  <si>
    <t>GRUPO SANGUINEO Y FACTOR RH</t>
  </si>
  <si>
    <t>VELOCIDAD DE SEDIMENTACIÓN GLOBULAR</t>
  </si>
  <si>
    <t>MAYO</t>
  </si>
  <si>
    <t>GLUCOSA POST PRANDIAL</t>
  </si>
  <si>
    <t>ANTI VHA-IGM (HEPATITIS A)</t>
  </si>
  <si>
    <t>FOSFORO</t>
  </si>
  <si>
    <t>PARATOHORMONA</t>
  </si>
  <si>
    <t>JUNIO</t>
  </si>
  <si>
    <t>JULIO</t>
  </si>
  <si>
    <t>ROSA DE BENGALA</t>
  </si>
  <si>
    <t>AGOSTO</t>
  </si>
  <si>
    <t>TOTAL DE HISTOQUIMICA</t>
  </si>
  <si>
    <t>SETIEMBRE</t>
  </si>
  <si>
    <t>OCTUBRE</t>
  </si>
  <si>
    <t>CORTISOL</t>
  </si>
  <si>
    <t>HORMONA LUTEINIZANTE</t>
  </si>
  <si>
    <t>HORMONA FSH</t>
  </si>
  <si>
    <t>PEPTIDO CICLICLO (ANTICCP)</t>
  </si>
  <si>
    <t>NOVIEMBRE</t>
  </si>
  <si>
    <t>GGTP</t>
  </si>
  <si>
    <t>ACIDO FOLICO</t>
  </si>
  <si>
    <t xml:space="preserve">Código Renipress: </t>
  </si>
  <si>
    <t>DICIEMBRE</t>
  </si>
  <si>
    <t xml:space="preserve">ACTH </t>
  </si>
  <si>
    <t xml:space="preserve">   ANCA</t>
  </si>
  <si>
    <t>ENERO A DICIEMBRE</t>
  </si>
  <si>
    <t>PRUEBA RÁPIDA DE LEPTOSPIRA</t>
  </si>
  <si>
    <t>ANTIGENO H. PYLORI EN HECES</t>
  </si>
  <si>
    <t>PRUEBA RAPIDA DE LEPTOSPIRA</t>
  </si>
  <si>
    <t>PRUEBA RAPIDA DE COVID + INFLUENZA</t>
  </si>
  <si>
    <t>ANTI MIELOPEROXIDASA (MPO)</t>
  </si>
  <si>
    <t>ANTI PROTEINASA 3 (PR3)</t>
  </si>
  <si>
    <t>ANTI CARDIOLIPINA</t>
  </si>
  <si>
    <t>ANA (ELISA)</t>
  </si>
  <si>
    <t>ESTRADIOL</t>
  </si>
  <si>
    <t>MICROALBUMINURIA</t>
  </si>
  <si>
    <t>ANTI B2-GLICOPROTEINA</t>
  </si>
  <si>
    <t>ANTI M2-3E (AMA)</t>
  </si>
  <si>
    <t>TOTAL DE INMUNOHISTOQUIMICA</t>
  </si>
  <si>
    <t>ANTI CARDIOLIPINA IGG/IGM</t>
  </si>
  <si>
    <t>B2 MICROGLOBULINA</t>
  </si>
  <si>
    <t>MES</t>
  </si>
  <si>
    <t>GRAFICA DE PRODUCCIÓN TOTAL DEL DEPARTAMENTO DE PATOLOGÍA CLÍNICA Y ANATOMIA PATOLÓGICA: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</si>
  <si>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</si>
  <si>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</si>
  <si>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</si>
  <si>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</si>
  <si>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</si>
  <si>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</si>
  <si>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</si>
  <si>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</si>
  <si>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</si>
  <si>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</si>
  <si>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ENE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</si>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</sst>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5" borderId="14" applyNumberFormat="0" applyAlignment="0" applyProtection="0"/>
  </cellStyleXfs>
  <cellXfs count="218">
    <xf numFmtId="0" fontId="0" fillId="0" borderId="0" xfId="0"/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 indent="1"/>
    </xf>
    <xf numFmtId="3" fontId="0" fillId="2" borderId="2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left" vertical="center" indent="1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left" vertical="center" indent="1"/>
    </xf>
    <xf numFmtId="0" fontId="0" fillId="0" borderId="9" xfId="0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3" fontId="1" fillId="2" borderId="6" xfId="0" applyNumberFormat="1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 vertical="center"/>
    </xf>
    <xf numFmtId="3" fontId="1" fillId="2" borderId="3" xfId="0" applyNumberFormat="1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left" vertical="center" indent="1"/>
    </xf>
    <xf numFmtId="3" fontId="1" fillId="2" borderId="8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7" fillId="5" borderId="0" xfId="2" applyBorder="1" applyAlignment="1">
      <alignment horizontal="center" vertical="center"/>
    </xf>
    <xf numFmtId="0" fontId="0" fillId="0" borderId="13" xfId="0" applyBorder="1" applyAlignment="1">
      <alignment vertical="center"/>
    </xf>
    <xf numFmtId="3" fontId="0" fillId="0" borderId="10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0" xfId="0" applyFont="1"/>
    <xf numFmtId="0" fontId="1" fillId="2" borderId="24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5" xfId="0" applyFont="1" applyBorder="1" applyAlignment="1">
      <alignment horizontal="left" vertical="center" indent="1"/>
    </xf>
    <xf numFmtId="0" fontId="1" fillId="2" borderId="25" xfId="0" applyFont="1" applyFill="1" applyBorder="1" applyAlignment="1">
      <alignment horizontal="center" vertical="center"/>
    </xf>
    <xf numFmtId="0" fontId="7" fillId="5" borderId="24" xfId="2" applyBorder="1" applyAlignment="1">
      <alignment horizontal="center" vertical="center"/>
    </xf>
    <xf numFmtId="3" fontId="7" fillId="5" borderId="24" xfId="2" applyNumberFormat="1" applyBorder="1" applyAlignment="1">
      <alignment horizontal="center" vertical="center"/>
    </xf>
    <xf numFmtId="0" fontId="1" fillId="0" borderId="15" xfId="0" applyFont="1" applyBorder="1" applyAlignment="1">
      <alignment horizontal="left" vertical="center" wrapText="1" indent="1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 applyAlignment="1">
      <alignment horizontal="left" vertical="top" indent="1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center"/>
    </xf>
    <xf numFmtId="0" fontId="1" fillId="0" borderId="24" xfId="0" applyFont="1" applyBorder="1" applyAlignment="1">
      <alignment horizontal="center" vertical="center"/>
    </xf>
    <xf numFmtId="0" fontId="1" fillId="3" borderId="15" xfId="0" applyFont="1" applyFill="1" applyBorder="1" applyAlignment="1">
      <alignment horizontal="left" vertical="center" indent="1"/>
    </xf>
    <xf numFmtId="0" fontId="2" fillId="3" borderId="15" xfId="0" applyFont="1" applyFill="1" applyBorder="1" applyAlignment="1">
      <alignment horizontal="left" vertical="center" indent="1"/>
    </xf>
    <xf numFmtId="0" fontId="1" fillId="0" borderId="15" xfId="0" applyFont="1" applyBorder="1" applyAlignment="1">
      <alignment horizontal="left"/>
    </xf>
    <xf numFmtId="0" fontId="6" fillId="4" borderId="15" xfId="1" applyBorder="1" applyAlignment="1">
      <alignment horizontal="left" vertical="center" indent="1"/>
    </xf>
    <xf numFmtId="0" fontId="6" fillId="4" borderId="16" xfId="1" applyBorder="1" applyAlignment="1">
      <alignment horizontal="left" vertical="center" indent="1"/>
    </xf>
    <xf numFmtId="0" fontId="1" fillId="0" borderId="1" xfId="0" applyFont="1" applyBorder="1" applyAlignment="1">
      <alignment vertical="center"/>
    </xf>
    <xf numFmtId="0" fontId="0" fillId="0" borderId="27" xfId="0" applyBorder="1" applyAlignment="1">
      <alignment horizontal="center"/>
    </xf>
    <xf numFmtId="0" fontId="1" fillId="0" borderId="24" xfId="0" applyFont="1" applyBorder="1" applyAlignment="1">
      <alignment horizontal="center"/>
    </xf>
    <xf numFmtId="3" fontId="0" fillId="0" borderId="24" xfId="0" applyNumberFormat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28" xfId="0" applyFont="1" applyBorder="1" applyAlignment="1">
      <alignment horizontal="left" inden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7" xfId="0" applyBorder="1" applyAlignment="1">
      <alignment horizontal="center" vertical="top"/>
    </xf>
    <xf numFmtId="0" fontId="0" fillId="0" borderId="17" xfId="0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 indent="1"/>
    </xf>
    <xf numFmtId="0" fontId="1" fillId="7" borderId="1" xfId="0" applyFont="1" applyFill="1" applyBorder="1" applyAlignment="1">
      <alignment horizontal="center" vertical="center"/>
    </xf>
    <xf numFmtId="3" fontId="1" fillId="7" borderId="1" xfId="0" applyNumberFormat="1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3" fontId="1" fillId="7" borderId="4" xfId="0" applyNumberFormat="1" applyFont="1" applyFill="1" applyBorder="1" applyAlignment="1">
      <alignment horizontal="center" vertical="center"/>
    </xf>
    <xf numFmtId="3" fontId="1" fillId="7" borderId="8" xfId="0" applyNumberFormat="1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left" vertical="center" indent="1"/>
    </xf>
    <xf numFmtId="0" fontId="1" fillId="7" borderId="24" xfId="0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left" vertical="center" indent="1"/>
    </xf>
    <xf numFmtId="0" fontId="7" fillId="0" borderId="1" xfId="2" applyFill="1" applyBorder="1" applyAlignment="1">
      <alignment horizontal="center" vertical="center"/>
    </xf>
    <xf numFmtId="3" fontId="7" fillId="0" borderId="1" xfId="2" applyNumberFormat="1" applyFill="1" applyBorder="1" applyAlignment="1">
      <alignment horizontal="center" vertical="center"/>
    </xf>
    <xf numFmtId="3" fontId="7" fillId="2" borderId="1" xfId="2" applyNumberFormat="1" applyFill="1" applyBorder="1" applyAlignment="1">
      <alignment horizontal="center" vertical="center"/>
    </xf>
    <xf numFmtId="0" fontId="7" fillId="0" borderId="6" xfId="2" applyFill="1" applyBorder="1" applyAlignment="1">
      <alignment horizontal="center" vertical="center"/>
    </xf>
    <xf numFmtId="0" fontId="0" fillId="0" borderId="15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17" xfId="0" applyFill="1" applyBorder="1" applyAlignment="1">
      <alignment horizontal="center" vertical="center"/>
    </xf>
    <xf numFmtId="0" fontId="1" fillId="7" borderId="28" xfId="0" applyFont="1" applyFill="1" applyBorder="1" applyAlignment="1">
      <alignment horizontal="left" vertical="center" indent="1"/>
    </xf>
    <xf numFmtId="0" fontId="1" fillId="7" borderId="29" xfId="0" applyFont="1" applyFill="1" applyBorder="1" applyAlignment="1">
      <alignment horizontal="center" vertical="center"/>
    </xf>
    <xf numFmtId="0" fontId="0" fillId="0" borderId="21" xfId="0" applyBorder="1" applyAlignment="1">
      <alignment horizontal="left" vertical="top"/>
    </xf>
    <xf numFmtId="0" fontId="0" fillId="0" borderId="22" xfId="0" applyBorder="1" applyAlignment="1">
      <alignment horizontal="center" vertical="top"/>
    </xf>
    <xf numFmtId="0" fontId="1" fillId="2" borderId="23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8" fillId="0" borderId="4" xfId="2" applyFont="1" applyFill="1" applyBorder="1" applyAlignment="1">
      <alignment horizontal="left" vertical="center" indent="1"/>
    </xf>
    <xf numFmtId="3" fontId="7" fillId="2" borderId="6" xfId="2" applyNumberFormat="1" applyFill="1" applyBorder="1" applyAlignment="1">
      <alignment horizontal="center" vertical="center"/>
    </xf>
    <xf numFmtId="0" fontId="0" fillId="0" borderId="8" xfId="0" applyBorder="1" applyAlignment="1">
      <alignment horizontal="left" indent="1"/>
    </xf>
    <xf numFmtId="0" fontId="0" fillId="0" borderId="10" xfId="0" applyBorder="1" applyAlignment="1">
      <alignment horizontal="left" indent="1"/>
    </xf>
    <xf numFmtId="0" fontId="0" fillId="0" borderId="12" xfId="0" applyBorder="1" applyAlignment="1">
      <alignment horizontal="left" indent="1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3" fontId="1" fillId="2" borderId="12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3" fontId="1" fillId="7" borderId="6" xfId="0" applyNumberFormat="1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left" vertical="center" indent="1"/>
    </xf>
    <xf numFmtId="0" fontId="1" fillId="7" borderId="3" xfId="0" applyFont="1" applyFill="1" applyBorder="1" applyAlignment="1">
      <alignment horizontal="left" vertical="center" indent="1"/>
    </xf>
    <xf numFmtId="0" fontId="0" fillId="0" borderId="30" xfId="0" applyBorder="1" applyAlignment="1">
      <alignment horizontal="center" vertical="top"/>
    </xf>
    <xf numFmtId="0" fontId="0" fillId="0" borderId="20" xfId="0" applyBorder="1" applyAlignment="1">
      <alignment vertical="center"/>
    </xf>
    <xf numFmtId="0" fontId="0" fillId="0" borderId="20" xfId="0" applyBorder="1" applyAlignment="1">
      <alignment horizontal="center"/>
    </xf>
    <xf numFmtId="0" fontId="0" fillId="0" borderId="10" xfId="0" applyBorder="1" applyAlignment="1">
      <alignment horizontal="left" vertical="center" indent="1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0" xfId="0" applyFont="1" applyAlignment="1">
      <alignment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24" xfId="0" applyBorder="1" applyAlignment="1">
      <alignment vertical="center"/>
    </xf>
    <xf numFmtId="0" fontId="7" fillId="0" borderId="1" xfId="2" applyFill="1" applyBorder="1" applyAlignment="1">
      <alignment vertical="center"/>
    </xf>
    <xf numFmtId="0" fontId="0" fillId="0" borderId="21" xfId="0" applyBorder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/>
    <xf numFmtId="0" fontId="5" fillId="0" borderId="2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0" borderId="15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6" borderId="19" xfId="0" applyFont="1" applyFill="1" applyBorder="1" applyAlignment="1">
      <alignment horizontal="left" vertical="center" indent="1"/>
    </xf>
    <xf numFmtId="0" fontId="1" fillId="6" borderId="7" xfId="0" applyFont="1" applyFill="1" applyBorder="1" applyAlignment="1">
      <alignment horizontal="left" vertical="center" indent="1"/>
    </xf>
    <xf numFmtId="0" fontId="1" fillId="6" borderId="6" xfId="0" applyFont="1" applyFill="1" applyBorder="1" applyAlignment="1">
      <alignment horizontal="left" vertical="center" indent="1"/>
    </xf>
    <xf numFmtId="0" fontId="1" fillId="6" borderId="1" xfId="0" applyFont="1" applyFill="1" applyBorder="1" applyAlignment="1">
      <alignment horizontal="left" vertical="center" indent="1"/>
    </xf>
    <xf numFmtId="0" fontId="0" fillId="0" borderId="16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0" fillId="0" borderId="0" xfId="0" applyAlignment="1">
      <alignment horizontal="left" vertical="top"/>
    </xf>
    <xf numFmtId="0" fontId="1" fillId="0" borderId="21" xfId="0" applyFont="1" applyBorder="1" applyAlignment="1">
      <alignment horizontal="center" vertical="top"/>
    </xf>
    <xf numFmtId="0" fontId="1" fillId="0" borderId="22" xfId="0" applyFont="1" applyBorder="1" applyAlignment="1">
      <alignment horizontal="center" vertical="top"/>
    </xf>
    <xf numFmtId="0" fontId="1" fillId="0" borderId="23" xfId="0" applyFont="1" applyBorder="1" applyAlignment="1">
      <alignment horizontal="center" vertical="top"/>
    </xf>
    <xf numFmtId="0" fontId="1" fillId="6" borderId="4" xfId="0" applyFont="1" applyFill="1" applyBorder="1" applyAlignment="1">
      <alignment horizontal="left" vertical="center" indent="1"/>
    </xf>
    <xf numFmtId="0" fontId="1" fillId="6" borderId="5" xfId="0" applyFont="1" applyFill="1" applyBorder="1" applyAlignment="1">
      <alignment horizontal="left" vertical="center" indent="1"/>
    </xf>
    <xf numFmtId="0" fontId="1" fillId="0" borderId="31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1" xfId="2" applyFill="1" applyBorder="1" applyAlignment="1">
      <alignment horizontal="center" vertical="center"/>
    </xf>
    <xf numFmtId="3" fontId="7" fillId="0" borderId="1" xfId="2" applyNumberFormat="1" applyFill="1" applyBorder="1" applyAlignment="1">
      <alignment horizontal="center" vertical="center"/>
    </xf>
    <xf numFmtId="0" fontId="7" fillId="0" borderId="6" xfId="2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7" xfId="0" applyBorder="1" applyAlignment="1">
      <alignment horizontal="center" vertical="top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22" xfId="0" applyBorder="1" applyAlignment="1">
      <alignment horizontal="center" vertical="top"/>
    </xf>
  </cellXfs>
  <cellStyles count="3">
    <cellStyle name="Incorrecto" xfId="1" builtinId="27"/>
    <cellStyle name="Normal" xfId="0" builtinId="0"/>
    <cellStyle name="Salida" xfId="2" builtinId="21"/>
  </cellStyles>
  <dxfs count="0"/>
  <tableStyles count="0" defaultTableStyle="TableStyleMedium2" defaultPivotStyle="PivotStyleLight16"/>
  <colors>
    <mruColors>
      <color rgb="FFFFFF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PRODUCCIÓN DEL DPTO.</a:t>
            </a:r>
            <a:r>
              <a:rPr lang="en-US" baseline="0"/>
              <a:t> PATOLOGIA CLINICA Y ANATOMÍA PATOLÓGICA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Hoja1!$B$4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5.527777777777778E-2"/>
                  <c:y val="-4.16666666666666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C51-4CC6-8D04-4FFBB15ABA6D}"/>
                </c:ext>
              </c:extLst>
            </c:dLbl>
            <c:dLbl>
              <c:idx val="1"/>
              <c:layout>
                <c:manualLayout>
                  <c:x val="-5.2499999999999998E-2"/>
                  <c:y val="4.6296296296296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C51-4CC6-8D04-4FFBB15ABA6D}"/>
                </c:ext>
              </c:extLst>
            </c:dLbl>
            <c:dLbl>
              <c:idx val="2"/>
              <c:layout>
                <c:manualLayout>
                  <c:x val="-5.5277728646538835E-2"/>
                  <c:y val="-4.01615432745829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C51-4CC6-8D04-4FFBB15ABA6D}"/>
                </c:ext>
              </c:extLst>
            </c:dLbl>
            <c:dLbl>
              <c:idx val="3"/>
              <c:layout>
                <c:manualLayout>
                  <c:x val="-6.361111111111116E-2"/>
                  <c:y val="4.6296296296296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C51-4CC6-8D04-4FFBB15ABA6D}"/>
                </c:ext>
              </c:extLst>
            </c:dLbl>
            <c:dLbl>
              <c:idx val="4"/>
              <c:layout>
                <c:manualLayout>
                  <c:x val="-5.5277777777777877E-2"/>
                  <c:y val="3.70370370370370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C51-4CC6-8D04-4FFBB15ABA6D}"/>
                </c:ext>
              </c:extLst>
            </c:dLbl>
            <c:dLbl>
              <c:idx val="5"/>
              <c:layout>
                <c:manualLayout>
                  <c:x val="-5.527777777777778E-2"/>
                  <c:y val="3.70370370370370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C51-4CC6-8D04-4FFBB15ABA6D}"/>
                </c:ext>
              </c:extLst>
            </c:dLbl>
            <c:dLbl>
              <c:idx val="6"/>
              <c:layout>
                <c:manualLayout>
                  <c:x val="-4.5638678078762283E-2"/>
                  <c:y val="-3.55320445625412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C51-4CC6-8D04-4FFBB15ABA6D}"/>
                </c:ext>
              </c:extLst>
            </c:dLbl>
            <c:dLbl>
              <c:idx val="7"/>
              <c:layout>
                <c:manualLayout>
                  <c:x val="-5.0458303065277599E-2"/>
                  <c:y val="4.01615432745829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C51-4CC6-8D04-4FFBB15ABA6D}"/>
                </c:ext>
              </c:extLst>
            </c:dLbl>
            <c:dLbl>
              <c:idx val="8"/>
              <c:layout>
                <c:manualLayout>
                  <c:x val="-3.8603455818022846E-2"/>
                  <c:y val="-2.77777777777778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51-4CC6-8D04-4FFBB15ABA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Hoja1!$A$5:$A$16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Hoja1!$B$5:$B$16</c:f>
              <c:numCache>
                <c:formatCode>General</c:formatCode>
                <c:ptCount val="12"/>
                <c:pt idx="0">
                  <c:v>50965</c:v>
                </c:pt>
                <c:pt idx="1">
                  <c:v>48964</c:v>
                </c:pt>
                <c:pt idx="2">
                  <c:v>51580</c:v>
                </c:pt>
                <c:pt idx="3">
                  <c:v>50161</c:v>
                </c:pt>
                <c:pt idx="4">
                  <c:v>49459</c:v>
                </c:pt>
                <c:pt idx="5">
                  <c:v>49279</c:v>
                </c:pt>
                <c:pt idx="6">
                  <c:v>51388</c:v>
                </c:pt>
                <c:pt idx="7">
                  <c:v>50531</c:v>
                </c:pt>
                <c:pt idx="8">
                  <c:v>56567</c:v>
                </c:pt>
                <c:pt idx="9">
                  <c:v>55934</c:v>
                </c:pt>
                <c:pt idx="10">
                  <c:v>49063</c:v>
                </c:pt>
                <c:pt idx="11">
                  <c:v>40954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51-4CC6-8D04-4FFBB15ABA6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92125248"/>
        <c:axId val="2092126912"/>
      </c:lineChart>
      <c:catAx>
        <c:axId val="209212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92126912"/>
        <c:crosses val="autoZero"/>
        <c:auto val="1"/>
        <c:lblAlgn val="ctr"/>
        <c:lblOffset val="100"/>
        <c:noMultiLvlLbl val="0"/>
      </c:catAx>
      <c:valAx>
        <c:axId val="209212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9212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DISTRUBUCIÓN DE ATENCIONES POR SERVICIOS 2025.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'Hoja1 (2)'!$A$17</c:f>
              <c:strCache>
                <c:ptCount val="1"/>
                <c:pt idx="0">
                  <c:v>EXAMEN DE PROCEDIMIENTO BIOQUÍMICO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elete val="1"/>
          </c:dLbls>
          <c:cat>
            <c:strRef>
              <c:f>'Hoja1 (2)'!$B$16:$M$16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'Hoja1 (2)'!$B$17:$M$17</c:f>
              <c:numCache>
                <c:formatCode>General</c:formatCode>
                <c:ptCount val="12"/>
                <c:pt idx="0">
                  <c:v>28372</c:v>
                </c:pt>
                <c:pt idx="1">
                  <c:v>27315</c:v>
                </c:pt>
                <c:pt idx="2">
                  <c:v>29058</c:v>
                </c:pt>
                <c:pt idx="3">
                  <c:v>29153</c:v>
                </c:pt>
                <c:pt idx="4">
                  <c:v>29153</c:v>
                </c:pt>
                <c:pt idx="5">
                  <c:v>28498</c:v>
                </c:pt>
                <c:pt idx="6">
                  <c:v>31508</c:v>
                </c:pt>
                <c:pt idx="7">
                  <c:v>29130</c:v>
                </c:pt>
                <c:pt idx="8">
                  <c:v>32924</c:v>
                </c:pt>
                <c:pt idx="9">
                  <c:v>30626</c:v>
                </c:pt>
                <c:pt idx="10">
                  <c:v>27741</c:v>
                </c:pt>
                <c:pt idx="11">
                  <c:v>23578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E6-4A91-91E0-70E9FBC9BBE7}"/>
            </c:ext>
          </c:extLst>
        </c:ser>
        <c:ser>
          <c:idx val="1"/>
          <c:order val="1"/>
          <c:tx>
            <c:strRef>
              <c:f>'Hoja1 (2)'!$A$18</c:f>
              <c:strCache>
                <c:ptCount val="1"/>
                <c:pt idx="0">
                  <c:v>EXAMEN DE PROCEDIMIENTO HEMATOLÓGICO - HEMOSTASICOS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elete val="1"/>
          </c:dLbls>
          <c:cat>
            <c:strRef>
              <c:f>'Hoja1 (2)'!$B$16:$M$16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'Hoja1 (2)'!$B$18:$M$18</c:f>
              <c:numCache>
                <c:formatCode>General</c:formatCode>
                <c:ptCount val="12"/>
                <c:pt idx="0">
                  <c:v>12761</c:v>
                </c:pt>
                <c:pt idx="1">
                  <c:v>12280</c:v>
                </c:pt>
                <c:pt idx="2">
                  <c:v>12371</c:v>
                </c:pt>
                <c:pt idx="3">
                  <c:v>10087</c:v>
                </c:pt>
                <c:pt idx="4">
                  <c:v>10087</c:v>
                </c:pt>
                <c:pt idx="5">
                  <c:v>10377</c:v>
                </c:pt>
                <c:pt idx="6">
                  <c:v>9787</c:v>
                </c:pt>
                <c:pt idx="7">
                  <c:v>10631</c:v>
                </c:pt>
                <c:pt idx="8">
                  <c:v>11860</c:v>
                </c:pt>
                <c:pt idx="9">
                  <c:v>11882</c:v>
                </c:pt>
                <c:pt idx="10">
                  <c:v>10263</c:v>
                </c:pt>
                <c:pt idx="11">
                  <c:v>9512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E6-4A91-91E0-70E9FBC9BBE7}"/>
            </c:ext>
          </c:extLst>
        </c:ser>
        <c:ser>
          <c:idx val="2"/>
          <c:order val="2"/>
          <c:tx>
            <c:strRef>
              <c:f>'Hoja1 (2)'!$A$19</c:f>
              <c:strCache>
                <c:ptCount val="1"/>
                <c:pt idx="0">
                  <c:v>EXAMEN DE PROCEDIMIENTOS MICROBIOLÓGICOS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elete val="1"/>
          </c:dLbls>
          <c:cat>
            <c:strRef>
              <c:f>'Hoja1 (2)'!$B$16:$M$16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'Hoja1 (2)'!$B$19:$M$19</c:f>
              <c:numCache>
                <c:formatCode>General</c:formatCode>
                <c:ptCount val="12"/>
                <c:pt idx="0">
                  <c:v>734</c:v>
                </c:pt>
                <c:pt idx="1">
                  <c:v>684</c:v>
                </c:pt>
                <c:pt idx="2">
                  <c:v>785</c:v>
                </c:pt>
                <c:pt idx="3">
                  <c:v>711</c:v>
                </c:pt>
                <c:pt idx="4">
                  <c:v>711</c:v>
                </c:pt>
                <c:pt idx="5">
                  <c:v>625</c:v>
                </c:pt>
                <c:pt idx="6">
                  <c:v>627</c:v>
                </c:pt>
                <c:pt idx="7">
                  <c:v>799</c:v>
                </c:pt>
                <c:pt idx="8">
                  <c:v>923</c:v>
                </c:pt>
                <c:pt idx="9">
                  <c:v>969</c:v>
                </c:pt>
                <c:pt idx="10">
                  <c:v>892</c:v>
                </c:pt>
                <c:pt idx="11">
                  <c:v>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E6-4A91-91E0-70E9FBC9BBE7}"/>
            </c:ext>
          </c:extLst>
        </c:ser>
        <c:ser>
          <c:idx val="3"/>
          <c:order val="3"/>
          <c:tx>
            <c:strRef>
              <c:f>'Hoja1 (2)'!$A$20</c:f>
              <c:strCache>
                <c:ptCount val="1"/>
                <c:pt idx="0">
                  <c:v>EXAMEN DE PROCEDIMIENTOS UROPARASITOLÓGICOS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elete val="1"/>
          </c:dLbls>
          <c:cat>
            <c:strRef>
              <c:f>'Hoja1 (2)'!$B$16:$M$16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'Hoja1 (2)'!$B$20:$M$20</c:f>
              <c:numCache>
                <c:formatCode>General</c:formatCode>
                <c:ptCount val="12"/>
                <c:pt idx="0">
                  <c:v>1914</c:v>
                </c:pt>
                <c:pt idx="1">
                  <c:v>1684</c:v>
                </c:pt>
                <c:pt idx="2">
                  <c:v>1661</c:v>
                </c:pt>
                <c:pt idx="3">
                  <c:v>1983</c:v>
                </c:pt>
                <c:pt idx="4">
                  <c:v>1983</c:v>
                </c:pt>
                <c:pt idx="5">
                  <c:v>1813</c:v>
                </c:pt>
                <c:pt idx="6">
                  <c:v>2222</c:v>
                </c:pt>
                <c:pt idx="7">
                  <c:v>1935</c:v>
                </c:pt>
                <c:pt idx="8">
                  <c:v>1892</c:v>
                </c:pt>
                <c:pt idx="9">
                  <c:v>1917</c:v>
                </c:pt>
                <c:pt idx="10">
                  <c:v>1347</c:v>
                </c:pt>
                <c:pt idx="11">
                  <c:v>1399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E6-4A91-91E0-70E9FBC9BBE7}"/>
            </c:ext>
          </c:extLst>
        </c:ser>
        <c:ser>
          <c:idx val="4"/>
          <c:order val="4"/>
          <c:tx>
            <c:strRef>
              <c:f>'Hoja1 (2)'!$A$21</c:f>
              <c:strCache>
                <c:ptCount val="1"/>
                <c:pt idx="0">
                  <c:v>EXAMEN DE PROCEDIMIENTOS INMUNOLÓGICOS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elete val="1"/>
          </c:dLbls>
          <c:cat>
            <c:strRef>
              <c:f>'Hoja1 (2)'!$B$16:$M$16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'Hoja1 (2)'!$B$21:$M$21</c:f>
              <c:numCache>
                <c:formatCode>General</c:formatCode>
                <c:ptCount val="12"/>
                <c:pt idx="0">
                  <c:v>4458</c:v>
                </c:pt>
                <c:pt idx="1">
                  <c:v>4069</c:v>
                </c:pt>
                <c:pt idx="2">
                  <c:v>4546</c:v>
                </c:pt>
                <c:pt idx="3">
                  <c:v>4197</c:v>
                </c:pt>
                <c:pt idx="4">
                  <c:v>4197</c:v>
                </c:pt>
                <c:pt idx="5">
                  <c:v>4611</c:v>
                </c:pt>
                <c:pt idx="6">
                  <c:v>3965</c:v>
                </c:pt>
                <c:pt idx="7">
                  <c:v>4779</c:v>
                </c:pt>
                <c:pt idx="8">
                  <c:v>4839</c:v>
                </c:pt>
                <c:pt idx="9">
                  <c:v>5199</c:v>
                </c:pt>
                <c:pt idx="10">
                  <c:v>5014</c:v>
                </c:pt>
                <c:pt idx="11">
                  <c:v>1994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E6-4A91-91E0-70E9FBC9BBE7}"/>
            </c:ext>
          </c:extLst>
        </c:ser>
        <c:ser>
          <c:idx val="5"/>
          <c:order val="5"/>
          <c:tx>
            <c:strRef>
              <c:f>'Hoja1 (2)'!$A$22</c:f>
              <c:strCache>
                <c:ptCount val="1"/>
                <c:pt idx="0">
                  <c:v>EXAMEN DE PROCEDIMIENTO ANATOMO PATOLÓGICO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elete val="1"/>
          </c:dLbls>
          <c:cat>
            <c:strRef>
              <c:f>'Hoja1 (2)'!$B$16:$M$16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'Hoja1 (2)'!$B$22:$M$22</c:f>
              <c:numCache>
                <c:formatCode>General</c:formatCode>
                <c:ptCount val="12"/>
                <c:pt idx="0">
                  <c:v>1017</c:v>
                </c:pt>
                <c:pt idx="1">
                  <c:v>1011</c:v>
                </c:pt>
                <c:pt idx="2">
                  <c:v>1467</c:v>
                </c:pt>
                <c:pt idx="3">
                  <c:v>2028</c:v>
                </c:pt>
                <c:pt idx="4">
                  <c:v>2028</c:v>
                </c:pt>
                <c:pt idx="5">
                  <c:v>1849</c:v>
                </c:pt>
                <c:pt idx="6">
                  <c:v>1716</c:v>
                </c:pt>
                <c:pt idx="7">
                  <c:v>1681</c:v>
                </c:pt>
                <c:pt idx="8">
                  <c:v>2265</c:v>
                </c:pt>
                <c:pt idx="9">
                  <c:v>3666</c:v>
                </c:pt>
                <c:pt idx="10">
                  <c:v>2281</c:v>
                </c:pt>
                <c:pt idx="11">
                  <c:v>2260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9E6-4A91-91E0-70E9FBC9BBE7}"/>
            </c:ext>
          </c:extLst>
        </c:ser>
        <c:ser>
          <c:idx val="6"/>
          <c:order val="6"/>
          <c:tx>
            <c:strRef>
              <c:f>'Hoja1 (2)'!$A$23</c:f>
              <c:strCache>
                <c:ptCount val="1"/>
                <c:pt idx="0">
                  <c:v>EXAMEN DE PROGRAMAS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elete val="1"/>
          </c:dLbls>
          <c:cat>
            <c:strRef>
              <c:f>'Hoja1 (2)'!$B$16:$M$16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'Hoja1 (2)'!$B$23:$M$23</c:f>
              <c:numCache>
                <c:formatCode>General</c:formatCode>
                <c:ptCount val="12"/>
                <c:pt idx="0">
                  <c:v>937</c:v>
                </c:pt>
                <c:pt idx="1">
                  <c:v>850</c:v>
                </c:pt>
                <c:pt idx="2">
                  <c:v>866</c:v>
                </c:pt>
                <c:pt idx="3">
                  <c:v>1097</c:v>
                </c:pt>
                <c:pt idx="4">
                  <c:v>1097</c:v>
                </c:pt>
                <c:pt idx="5">
                  <c:v>599</c:v>
                </c:pt>
                <c:pt idx="6">
                  <c:v>564</c:v>
                </c:pt>
                <c:pt idx="7">
                  <c:v>629</c:v>
                </c:pt>
                <c:pt idx="8">
                  <c:v>611</c:v>
                </c:pt>
                <c:pt idx="9">
                  <c:v>574</c:v>
                </c:pt>
                <c:pt idx="10">
                  <c:v>479</c:v>
                </c:pt>
                <c:pt idx="11">
                  <c:v>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E6-4A91-91E0-70E9FBC9BBE7}"/>
            </c:ext>
          </c:extLst>
        </c:ser>
        <c:ser>
          <c:idx val="7"/>
          <c:order val="7"/>
          <c:tx>
            <c:strRef>
              <c:f>'Hoja1 (2)'!$A$24</c:f>
              <c:strCache>
                <c:ptCount val="1"/>
                <c:pt idx="0">
                  <c:v>UNIDADES DE BANCO DE SANGRE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hade val="51000"/>
                    <a:satMod val="130000"/>
                  </a:schemeClr>
                </a:gs>
                <a:gs pos="80000">
                  <a:schemeClr val="accent2">
                    <a:lumMod val="60000"/>
                    <a:shade val="93000"/>
                    <a:satMod val="130000"/>
                  </a:schemeClr>
                </a:gs>
                <a:gs pos="100000">
                  <a:schemeClr val="accent2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elete val="1"/>
          </c:dLbls>
          <c:cat>
            <c:strRef>
              <c:f>'Hoja1 (2)'!$B$16:$M$16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'Hoja1 (2)'!$B$24:$M$24</c:f>
              <c:numCache>
                <c:formatCode>General</c:formatCode>
                <c:ptCount val="12"/>
                <c:pt idx="0">
                  <c:v>769</c:v>
                </c:pt>
                <c:pt idx="1">
                  <c:v>1067</c:v>
                </c:pt>
                <c:pt idx="2">
                  <c:v>822</c:v>
                </c:pt>
                <c:pt idx="3">
                  <c:v>901</c:v>
                </c:pt>
                <c:pt idx="4">
                  <c:v>901</c:v>
                </c:pt>
                <c:pt idx="5">
                  <c:v>904</c:v>
                </c:pt>
                <c:pt idx="6">
                  <c:v>995</c:v>
                </c:pt>
                <c:pt idx="7">
                  <c:v>943</c:v>
                </c:pt>
                <c:pt idx="8">
                  <c:v>1249</c:v>
                </c:pt>
                <c:pt idx="9">
                  <c:v>1098</c:v>
                </c:pt>
                <c:pt idx="10">
                  <c:v>1043</c:v>
                </c:pt>
                <c:pt idx="11">
                  <c:v>1033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9E6-4A91-91E0-70E9FBC9BBE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4845056"/>
        <c:axId val="24833408"/>
      </c:barChart>
      <c:catAx>
        <c:axId val="2484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4833408"/>
        <c:crosses val="autoZero"/>
        <c:auto val="1"/>
        <c:lblAlgn val="ctr"/>
        <c:lblOffset val="100"/>
        <c:noMultiLvlLbl val="0"/>
      </c:catAx>
      <c:valAx>
        <c:axId val="2483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484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63500</xdr:rowOff>
    </xdr:from>
    <xdr:to>
      <xdr:col>2</xdr:col>
      <xdr:colOff>377296</xdr:colOff>
      <xdr:row>2</xdr:row>
      <xdr:rowOff>63500</xdr:rowOff>
    </xdr:to>
    <xdr:pic>
      <xdr:nvPicPr>
        <xdr:cNvPr id="2" name="Picture 6" descr="OGE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2833" y="63500"/>
          <a:ext cx="4364038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63500</xdr:rowOff>
    </xdr:from>
    <xdr:to>
      <xdr:col>2</xdr:col>
      <xdr:colOff>377296</xdr:colOff>
      <xdr:row>2</xdr:row>
      <xdr:rowOff>63500</xdr:rowOff>
    </xdr:to>
    <xdr:pic>
      <xdr:nvPicPr>
        <xdr:cNvPr id="2" name="Picture 6" descr="OGEI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63500"/>
          <a:ext cx="4358746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63500</xdr:rowOff>
    </xdr:from>
    <xdr:to>
      <xdr:col>2</xdr:col>
      <xdr:colOff>377296</xdr:colOff>
      <xdr:row>2</xdr:row>
      <xdr:rowOff>63500</xdr:rowOff>
    </xdr:to>
    <xdr:pic>
      <xdr:nvPicPr>
        <xdr:cNvPr id="2" name="Picture 6" descr="OGEI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63500"/>
          <a:ext cx="4358746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63500</xdr:rowOff>
    </xdr:from>
    <xdr:to>
      <xdr:col>2</xdr:col>
      <xdr:colOff>377296</xdr:colOff>
      <xdr:row>2</xdr:row>
      <xdr:rowOff>63500</xdr:rowOff>
    </xdr:to>
    <xdr:pic>
      <xdr:nvPicPr>
        <xdr:cNvPr id="2" name="Picture 6" descr="OGEI">
          <a:extLst>
            <a:ext uri="{FF2B5EF4-FFF2-40B4-BE49-F238E27FC236}">
              <a16:creationId xmlns:a16="http://schemas.microsoft.com/office/drawing/2014/main" id="{A2F8AA70-200C-49D2-9FE9-59064497D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63500"/>
          <a:ext cx="4358746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63500</xdr:rowOff>
    </xdr:from>
    <xdr:to>
      <xdr:col>2</xdr:col>
      <xdr:colOff>377296</xdr:colOff>
      <xdr:row>2</xdr:row>
      <xdr:rowOff>63500</xdr:rowOff>
    </xdr:to>
    <xdr:pic>
      <xdr:nvPicPr>
        <xdr:cNvPr id="2" name="Picture 6" descr="OGEI">
          <a:extLst>
            <a:ext uri="{FF2B5EF4-FFF2-40B4-BE49-F238E27FC236}">
              <a16:creationId xmlns:a16="http://schemas.microsoft.com/office/drawing/2014/main" id="{AB70CBF8-6F64-4662-8251-81A948713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63500"/>
          <a:ext cx="4358746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63500</xdr:rowOff>
    </xdr:from>
    <xdr:to>
      <xdr:col>2</xdr:col>
      <xdr:colOff>377296</xdr:colOff>
      <xdr:row>2</xdr:row>
      <xdr:rowOff>63500</xdr:rowOff>
    </xdr:to>
    <xdr:pic>
      <xdr:nvPicPr>
        <xdr:cNvPr id="2" name="Picture 6" descr="OGEI">
          <a:extLst>
            <a:ext uri="{FF2B5EF4-FFF2-40B4-BE49-F238E27FC236}">
              <a16:creationId xmlns:a16="http://schemas.microsoft.com/office/drawing/2014/main" id="{60CB202E-53F4-4BFA-8298-2A13CC711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63500"/>
          <a:ext cx="4358746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63500</xdr:rowOff>
    </xdr:from>
    <xdr:to>
      <xdr:col>2</xdr:col>
      <xdr:colOff>377296</xdr:colOff>
      <xdr:row>2</xdr:row>
      <xdr:rowOff>63500</xdr:rowOff>
    </xdr:to>
    <xdr:pic>
      <xdr:nvPicPr>
        <xdr:cNvPr id="2" name="Picture 6" descr="OGEI">
          <a:extLst>
            <a:ext uri="{FF2B5EF4-FFF2-40B4-BE49-F238E27FC236}">
              <a16:creationId xmlns:a16="http://schemas.microsoft.com/office/drawing/2014/main" id="{F8768206-D651-4FCD-A614-0897000EA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63500"/>
          <a:ext cx="4358746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63500</xdr:rowOff>
    </xdr:from>
    <xdr:to>
      <xdr:col>2</xdr:col>
      <xdr:colOff>377296</xdr:colOff>
      <xdr:row>2</xdr:row>
      <xdr:rowOff>63500</xdr:rowOff>
    </xdr:to>
    <xdr:pic>
      <xdr:nvPicPr>
        <xdr:cNvPr id="2" name="Picture 6" descr="OGEI">
          <a:extLst>
            <a:ext uri="{FF2B5EF4-FFF2-40B4-BE49-F238E27FC236}">
              <a16:creationId xmlns:a16="http://schemas.microsoft.com/office/drawing/2014/main" id="{247699D1-47AC-4C1C-9626-199AF4E46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63500"/>
          <a:ext cx="4358746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63500</xdr:rowOff>
    </xdr:from>
    <xdr:to>
      <xdr:col>2</xdr:col>
      <xdr:colOff>377296</xdr:colOff>
      <xdr:row>2</xdr:row>
      <xdr:rowOff>63500</xdr:rowOff>
    </xdr:to>
    <xdr:pic>
      <xdr:nvPicPr>
        <xdr:cNvPr id="2" name="Picture 6" descr="OGEI">
          <a:extLst>
            <a:ext uri="{FF2B5EF4-FFF2-40B4-BE49-F238E27FC236}">
              <a16:creationId xmlns:a16="http://schemas.microsoft.com/office/drawing/2014/main" id="{F9CCDA66-42C8-4A61-B87B-1455979F4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63500"/>
          <a:ext cx="4358746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63500</xdr:rowOff>
    </xdr:from>
    <xdr:to>
      <xdr:col>2</xdr:col>
      <xdr:colOff>377296</xdr:colOff>
      <xdr:row>2</xdr:row>
      <xdr:rowOff>63500</xdr:rowOff>
    </xdr:to>
    <xdr:pic>
      <xdr:nvPicPr>
        <xdr:cNvPr id="2" name="Picture 6" descr="OGEI">
          <a:extLst>
            <a:ext uri="{FF2B5EF4-FFF2-40B4-BE49-F238E27FC236}">
              <a16:creationId xmlns:a16="http://schemas.microsoft.com/office/drawing/2014/main" id="{682BED45-BC0E-4AA5-8954-C17BB11E7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63500"/>
          <a:ext cx="4358746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63500</xdr:rowOff>
    </xdr:from>
    <xdr:to>
      <xdr:col>2</xdr:col>
      <xdr:colOff>377296</xdr:colOff>
      <xdr:row>2</xdr:row>
      <xdr:rowOff>63500</xdr:rowOff>
    </xdr:to>
    <xdr:pic>
      <xdr:nvPicPr>
        <xdr:cNvPr id="2" name="Picture 6" descr="OGEI">
          <a:extLst>
            <a:ext uri="{FF2B5EF4-FFF2-40B4-BE49-F238E27FC236}">
              <a16:creationId xmlns:a16="http://schemas.microsoft.com/office/drawing/2014/main" id="{00019B46-61AD-441B-B9F7-2D40D9416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63500"/>
          <a:ext cx="4358746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63500</xdr:rowOff>
    </xdr:from>
    <xdr:to>
      <xdr:col>2</xdr:col>
      <xdr:colOff>377296</xdr:colOff>
      <xdr:row>2</xdr:row>
      <xdr:rowOff>63500</xdr:rowOff>
    </xdr:to>
    <xdr:pic>
      <xdr:nvPicPr>
        <xdr:cNvPr id="2" name="Picture 6" descr="OGEI">
          <a:extLst>
            <a:ext uri="{FF2B5EF4-FFF2-40B4-BE49-F238E27FC236}">
              <a16:creationId xmlns:a16="http://schemas.microsoft.com/office/drawing/2014/main" id="{1AB15DBE-CD1F-49BF-9A18-A57CDBFC0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63500"/>
          <a:ext cx="4358746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63500</xdr:rowOff>
    </xdr:from>
    <xdr:to>
      <xdr:col>2</xdr:col>
      <xdr:colOff>377296</xdr:colOff>
      <xdr:row>2</xdr:row>
      <xdr:rowOff>63500</xdr:rowOff>
    </xdr:to>
    <xdr:pic>
      <xdr:nvPicPr>
        <xdr:cNvPr id="2" name="Picture 6" descr="OGEI">
          <a:extLst>
            <a:ext uri="{FF2B5EF4-FFF2-40B4-BE49-F238E27FC236}">
              <a16:creationId xmlns:a16="http://schemas.microsoft.com/office/drawing/2014/main" id="{44F172F8-BB42-4782-9B44-671FF4421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63500"/>
          <a:ext cx="4358746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500061</xdr:colOff>
      <xdr:row>4</xdr:row>
      <xdr:rowOff>171449</xdr:rowOff>
    </xdr:from>
    <xdr:to>
      <xdr:col>15</xdr:col>
      <xdr:colOff>314324</xdr:colOff>
      <xdr:row>21</xdr:row>
      <xdr:rowOff>9524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E250137-4B12-466E-8BC4-BE85B99D23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3714750</xdr:colOff>
      <xdr:row>25</xdr:row>
      <xdr:rowOff>142874</xdr:rowOff>
    </xdr:from>
    <xdr:to>
      <xdr:col>15</xdr:col>
      <xdr:colOff>19050</xdr:colOff>
      <xdr:row>56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3E841E1-D72F-4629-9291-3B65C35C4F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S169"/>
  <sheetViews>
    <sheetView topLeftCell="F37" zoomScale="80" zoomScaleNormal="80" workbookViewId="0">
      <selection activeCell="A159" sqref="A159"/>
    </sheetView>
  </sheetViews>
  <sheetFormatPr baseColWidth="10" defaultRowHeight="15" x14ac:dyDescent="0.25"/>
  <cols>
    <col min="1" max="1" width="49.85546875" customWidth="1"/>
    <col min="2" max="6" width="9.85546875" customWidth="1"/>
    <col min="7" max="7" width="13.5703125" customWidth="1"/>
    <col min="8" max="8" width="9.28515625" customWidth="1"/>
    <col min="9" max="9" width="9.42578125" customWidth="1"/>
    <col min="10" max="10" width="43.7109375" customWidth="1"/>
    <col min="11" max="15" width="9.28515625" customWidth="1"/>
    <col min="16" max="16" width="10.42578125" customWidth="1"/>
    <col min="17" max="17" width="10" customWidth="1"/>
    <col min="18" max="18" width="2.85546875" customWidth="1"/>
  </cols>
  <sheetData>
    <row r="3" spans="1:19" ht="26.25" x14ac:dyDescent="0.25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"/>
    </row>
    <row r="4" spans="1:19" ht="15.75" x14ac:dyDescent="0.25">
      <c r="A4" s="1" t="s">
        <v>12</v>
      </c>
      <c r="B4" s="155" t="s">
        <v>16</v>
      </c>
      <c r="C4" s="156"/>
      <c r="D4" s="156"/>
      <c r="E4" s="156"/>
      <c r="F4" s="156"/>
      <c r="G4" s="156"/>
      <c r="H4" s="156"/>
      <c r="I4" s="156"/>
      <c r="J4" s="157"/>
      <c r="K4" s="9" t="s">
        <v>14</v>
      </c>
      <c r="L4" s="147" t="s">
        <v>117</v>
      </c>
      <c r="M4" s="148"/>
      <c r="N4" s="148"/>
      <c r="O4" s="148"/>
      <c r="P4" s="148"/>
      <c r="Q4" s="148"/>
      <c r="R4" s="149"/>
      <c r="S4" s="1"/>
    </row>
    <row r="5" spans="1:19" x14ac:dyDescent="0.25">
      <c r="A5" s="1"/>
      <c r="B5" s="1"/>
      <c r="C5" s="1"/>
      <c r="D5" s="10"/>
      <c r="E5" s="1"/>
      <c r="F5" s="1"/>
      <c r="G5" s="1"/>
      <c r="H5" s="1"/>
      <c r="I5" s="1"/>
      <c r="J5" s="1"/>
      <c r="K5" s="9"/>
      <c r="L5" s="10"/>
      <c r="M5" s="10"/>
      <c r="N5" s="10"/>
      <c r="O5" s="10"/>
      <c r="P5" s="10"/>
      <c r="Q5" s="10"/>
      <c r="R5" s="10"/>
      <c r="S5" s="1"/>
    </row>
    <row r="6" spans="1:19" x14ac:dyDescent="0.25">
      <c r="A6" s="1" t="s">
        <v>15</v>
      </c>
      <c r="B6" s="30">
        <v>3</v>
      </c>
      <c r="C6" s="1"/>
      <c r="D6" s="10"/>
      <c r="E6" s="1"/>
      <c r="F6" s="1"/>
      <c r="G6" s="1"/>
      <c r="H6" s="1"/>
      <c r="I6" s="1"/>
      <c r="J6" s="1"/>
      <c r="K6" s="9" t="s">
        <v>13</v>
      </c>
      <c r="L6" s="30">
        <v>2025</v>
      </c>
      <c r="M6" s="1"/>
      <c r="N6" s="1"/>
      <c r="O6" s="1"/>
      <c r="P6" s="1"/>
      <c r="Q6" s="1"/>
      <c r="R6" s="1"/>
      <c r="S6" s="1"/>
    </row>
    <row r="7" spans="1:19" x14ac:dyDescent="0.25">
      <c r="A7" s="1"/>
      <c r="B7" s="1"/>
      <c r="C7" s="1"/>
      <c r="D7" s="10"/>
      <c r="E7" s="1"/>
      <c r="F7" s="1"/>
      <c r="G7" s="1"/>
      <c r="H7" s="1"/>
      <c r="I7" s="1"/>
      <c r="J7" s="1"/>
      <c r="K7" s="1"/>
      <c r="L7" s="44"/>
      <c r="M7" s="1"/>
      <c r="N7" s="1"/>
      <c r="O7" s="1"/>
      <c r="P7" s="1"/>
      <c r="Q7" s="1"/>
      <c r="R7" s="1"/>
      <c r="S7" s="1"/>
    </row>
    <row r="8" spans="1:19" ht="15.75" thickBot="1" x14ac:dyDescent="0.3">
      <c r="A8" s="2"/>
      <c r="B8" s="2"/>
      <c r="C8" s="2"/>
      <c r="D8" s="20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3"/>
      <c r="S8" s="1"/>
    </row>
    <row r="9" spans="1:19" x14ac:dyDescent="0.25">
      <c r="A9" s="150" t="s">
        <v>148</v>
      </c>
      <c r="B9" s="152" t="s">
        <v>11</v>
      </c>
      <c r="C9" s="152"/>
      <c r="D9" s="152"/>
      <c r="E9" s="152"/>
      <c r="F9" s="152"/>
      <c r="G9" s="152"/>
      <c r="H9" s="152"/>
      <c r="I9" s="1"/>
      <c r="J9" s="153" t="s">
        <v>149</v>
      </c>
      <c r="K9" s="136" t="s">
        <v>11</v>
      </c>
      <c r="L9" s="136"/>
      <c r="M9" s="136"/>
      <c r="N9" s="136"/>
      <c r="O9" s="136"/>
      <c r="P9" s="136"/>
      <c r="Q9" s="137"/>
      <c r="R9" s="4"/>
      <c r="S9" s="1"/>
    </row>
    <row r="10" spans="1:19" x14ac:dyDescent="0.25">
      <c r="A10" s="151"/>
      <c r="B10" s="30" t="s">
        <v>8</v>
      </c>
      <c r="C10" s="30" t="s">
        <v>9</v>
      </c>
      <c r="D10" s="30" t="s">
        <v>10</v>
      </c>
      <c r="E10" s="30" t="s">
        <v>154</v>
      </c>
      <c r="F10" s="30" t="s">
        <v>155</v>
      </c>
      <c r="G10" s="30" t="s">
        <v>147</v>
      </c>
      <c r="H10" s="30" t="s">
        <v>11</v>
      </c>
      <c r="I10" s="1"/>
      <c r="J10" s="154"/>
      <c r="K10" s="30" t="s">
        <v>8</v>
      </c>
      <c r="L10" s="30" t="s">
        <v>9</v>
      </c>
      <c r="M10" s="30" t="s">
        <v>10</v>
      </c>
      <c r="N10" s="30" t="s">
        <v>154</v>
      </c>
      <c r="O10" s="30" t="s">
        <v>155</v>
      </c>
      <c r="P10" s="30" t="s">
        <v>147</v>
      </c>
      <c r="Q10" s="54" t="s">
        <v>11</v>
      </c>
      <c r="R10" s="4"/>
      <c r="S10" s="1"/>
    </row>
    <row r="11" spans="1:19" x14ac:dyDescent="0.25">
      <c r="A11" s="15" t="s">
        <v>0</v>
      </c>
      <c r="B11" s="16">
        <f t="shared" ref="B11:G11" si="0">B12+B51+B69+B82+B95</f>
        <v>15115</v>
      </c>
      <c r="C11" s="16">
        <f t="shared" si="0"/>
        <v>18132</v>
      </c>
      <c r="D11" s="16">
        <f t="shared" si="0"/>
        <v>13395</v>
      </c>
      <c r="E11" s="16">
        <f t="shared" si="0"/>
        <v>1085</v>
      </c>
      <c r="F11" s="16">
        <f t="shared" si="0"/>
        <v>512</v>
      </c>
      <c r="G11" s="16">
        <f t="shared" si="0"/>
        <v>0</v>
      </c>
      <c r="H11" s="12">
        <f>SUM(B11:G11)</f>
        <v>48239</v>
      </c>
      <c r="I11" s="1"/>
      <c r="J11" s="79" t="s">
        <v>85</v>
      </c>
      <c r="K11" s="74">
        <f t="shared" ref="K11:P11" si="1">SUM(K12:K23)</f>
        <v>322</v>
      </c>
      <c r="L11" s="74">
        <f t="shared" si="1"/>
        <v>0</v>
      </c>
      <c r="M11" s="74">
        <f t="shared" si="1"/>
        <v>691</v>
      </c>
      <c r="N11" s="74">
        <f t="shared" si="1"/>
        <v>4</v>
      </c>
      <c r="O11" s="74">
        <f t="shared" si="1"/>
        <v>0</v>
      </c>
      <c r="P11" s="74">
        <f t="shared" si="1"/>
        <v>0</v>
      </c>
      <c r="Q11" s="80">
        <f t="shared" ref="Q11:Q23" si="2">SUM(K11:P11)</f>
        <v>1017</v>
      </c>
      <c r="R11" s="4"/>
      <c r="S11" s="1"/>
    </row>
    <row r="12" spans="1:19" x14ac:dyDescent="0.25">
      <c r="A12" s="73" t="s">
        <v>1</v>
      </c>
      <c r="B12" s="74">
        <f t="shared" ref="B12:G12" si="3">SUM(B13:B50)</f>
        <v>8489</v>
      </c>
      <c r="C12" s="74">
        <f t="shared" si="3"/>
        <v>11118</v>
      </c>
      <c r="D12" s="74">
        <f t="shared" si="3"/>
        <v>7826</v>
      </c>
      <c r="E12" s="74">
        <f t="shared" si="3"/>
        <v>621</v>
      </c>
      <c r="F12" s="74">
        <f t="shared" si="3"/>
        <v>318</v>
      </c>
      <c r="G12" s="74">
        <f t="shared" si="3"/>
        <v>0</v>
      </c>
      <c r="H12" s="74">
        <f>SUM(B12:G12)</f>
        <v>28372</v>
      </c>
      <c r="I12" s="1"/>
      <c r="J12" s="55" t="s">
        <v>4</v>
      </c>
      <c r="K12" s="68">
        <v>0</v>
      </c>
      <c r="L12" s="68">
        <v>0</v>
      </c>
      <c r="M12" s="68">
        <v>10</v>
      </c>
      <c r="N12" s="68">
        <v>1</v>
      </c>
      <c r="O12" s="68">
        <v>0</v>
      </c>
      <c r="P12" s="68">
        <v>0</v>
      </c>
      <c r="Q12" s="40">
        <f t="shared" si="2"/>
        <v>11</v>
      </c>
      <c r="R12" s="4"/>
      <c r="S12" s="1"/>
    </row>
    <row r="13" spans="1:19" x14ac:dyDescent="0.25">
      <c r="A13" s="8" t="s">
        <v>17</v>
      </c>
      <c r="B13" s="17">
        <v>1</v>
      </c>
      <c r="C13" s="11">
        <v>0</v>
      </c>
      <c r="D13" s="11">
        <v>3</v>
      </c>
      <c r="E13" s="11">
        <v>7</v>
      </c>
      <c r="F13" s="11">
        <v>4</v>
      </c>
      <c r="G13" s="11">
        <v>0</v>
      </c>
      <c r="H13" s="12">
        <f>SUM(B13:G13)</f>
        <v>15</v>
      </c>
      <c r="I13" s="1"/>
      <c r="J13" s="55" t="s">
        <v>81</v>
      </c>
      <c r="K13" s="68">
        <v>0</v>
      </c>
      <c r="L13" s="68">
        <v>0</v>
      </c>
      <c r="M13" s="68">
        <v>10</v>
      </c>
      <c r="N13" s="68">
        <v>0</v>
      </c>
      <c r="O13" s="68">
        <v>0</v>
      </c>
      <c r="P13" s="68">
        <v>0</v>
      </c>
      <c r="Q13" s="40">
        <f t="shared" si="2"/>
        <v>10</v>
      </c>
      <c r="R13" s="4"/>
      <c r="S13" s="1"/>
    </row>
    <row r="14" spans="1:19" x14ac:dyDescent="0.25">
      <c r="A14" s="7" t="s">
        <v>18</v>
      </c>
      <c r="B14" s="17">
        <v>37</v>
      </c>
      <c r="C14" s="11">
        <v>1</v>
      </c>
      <c r="D14" s="11">
        <v>40</v>
      </c>
      <c r="E14" s="11">
        <v>3</v>
      </c>
      <c r="F14" s="11">
        <v>1</v>
      </c>
      <c r="G14" s="11">
        <v>0</v>
      </c>
      <c r="H14" s="12">
        <f t="shared" ref="H14:H48" si="4">SUM(B14:G14)</f>
        <v>82</v>
      </c>
      <c r="I14" s="1"/>
      <c r="J14" s="56" t="s">
        <v>5</v>
      </c>
      <c r="K14" s="68">
        <v>2</v>
      </c>
      <c r="L14" s="68">
        <v>0</v>
      </c>
      <c r="M14" s="68">
        <v>20</v>
      </c>
      <c r="N14" s="68">
        <v>2</v>
      </c>
      <c r="O14" s="68">
        <v>0</v>
      </c>
      <c r="P14" s="68">
        <v>0</v>
      </c>
      <c r="Q14" s="40">
        <f>SUM(K14:P14)</f>
        <v>24</v>
      </c>
      <c r="R14" s="4"/>
      <c r="S14" s="1"/>
    </row>
    <row r="15" spans="1:19" x14ac:dyDescent="0.25">
      <c r="A15" s="7" t="s">
        <v>19</v>
      </c>
      <c r="B15" s="17">
        <v>18</v>
      </c>
      <c r="C15" s="11">
        <v>134</v>
      </c>
      <c r="D15" s="13">
        <v>12</v>
      </c>
      <c r="E15" s="13">
        <v>6</v>
      </c>
      <c r="F15" s="13">
        <v>0</v>
      </c>
      <c r="G15" s="13">
        <v>0</v>
      </c>
      <c r="H15" s="12">
        <f>SUM(B15:G15)</f>
        <v>170</v>
      </c>
      <c r="I15" s="1"/>
      <c r="J15" s="56" t="s">
        <v>80</v>
      </c>
      <c r="K15" s="68">
        <v>54</v>
      </c>
      <c r="L15" s="68">
        <v>0</v>
      </c>
      <c r="M15" s="68">
        <v>30</v>
      </c>
      <c r="N15" s="68">
        <v>1</v>
      </c>
      <c r="O15" s="68">
        <v>0</v>
      </c>
      <c r="P15" s="68">
        <v>0</v>
      </c>
      <c r="Q15" s="40">
        <f t="shared" si="2"/>
        <v>85</v>
      </c>
      <c r="R15" s="4"/>
      <c r="S15" s="1"/>
    </row>
    <row r="16" spans="1:19" x14ac:dyDescent="0.25">
      <c r="A16" s="7" t="s">
        <v>27</v>
      </c>
      <c r="B16" s="10">
        <v>750</v>
      </c>
      <c r="C16" s="11">
        <v>1554</v>
      </c>
      <c r="D16" s="11">
        <v>860</v>
      </c>
      <c r="E16" s="11">
        <v>63</v>
      </c>
      <c r="F16" s="11">
        <v>39</v>
      </c>
      <c r="G16" s="11">
        <v>0</v>
      </c>
      <c r="H16" s="12">
        <f>SUM(B16:G16)</f>
        <v>3266</v>
      </c>
      <c r="I16" s="1"/>
      <c r="J16" s="57" t="s">
        <v>83</v>
      </c>
      <c r="K16" s="69">
        <v>0</v>
      </c>
      <c r="L16" s="69">
        <v>0</v>
      </c>
      <c r="M16" s="69">
        <v>5</v>
      </c>
      <c r="N16" s="69">
        <v>0</v>
      </c>
      <c r="O16" s="69">
        <v>0</v>
      </c>
      <c r="P16" s="69">
        <v>0</v>
      </c>
      <c r="Q16" s="40">
        <f t="shared" si="2"/>
        <v>5</v>
      </c>
      <c r="R16" s="4"/>
      <c r="S16" s="1"/>
    </row>
    <row r="17" spans="1:19" x14ac:dyDescent="0.25">
      <c r="A17" s="7" t="s">
        <v>186</v>
      </c>
      <c r="B17" s="10">
        <v>0</v>
      </c>
      <c r="C17" s="11">
        <v>0</v>
      </c>
      <c r="D17" s="11">
        <v>10</v>
      </c>
      <c r="E17" s="11">
        <v>0</v>
      </c>
      <c r="F17" s="11">
        <v>1</v>
      </c>
      <c r="G17" s="11">
        <v>0</v>
      </c>
      <c r="H17" s="12">
        <f>SUM(B17:G17)</f>
        <v>11</v>
      </c>
      <c r="I17" s="1"/>
      <c r="J17" s="50" t="s">
        <v>162</v>
      </c>
      <c r="K17" s="69">
        <v>86</v>
      </c>
      <c r="L17" s="69">
        <v>0</v>
      </c>
      <c r="M17" s="69">
        <v>200</v>
      </c>
      <c r="N17" s="69">
        <v>0</v>
      </c>
      <c r="O17" s="69">
        <v>0</v>
      </c>
      <c r="P17" s="69">
        <v>0</v>
      </c>
      <c r="Q17" s="40">
        <f t="shared" si="2"/>
        <v>286</v>
      </c>
      <c r="R17" s="4"/>
      <c r="S17" s="1"/>
    </row>
    <row r="18" spans="1:19" x14ac:dyDescent="0.25">
      <c r="A18" s="7" t="s">
        <v>188</v>
      </c>
      <c r="B18" s="10">
        <v>18</v>
      </c>
      <c r="C18" s="11">
        <v>1</v>
      </c>
      <c r="D18" s="11">
        <v>19</v>
      </c>
      <c r="E18" s="11">
        <v>2</v>
      </c>
      <c r="F18" s="11">
        <v>0</v>
      </c>
      <c r="G18" s="11">
        <v>0</v>
      </c>
      <c r="H18" s="12">
        <f>SUM(B18:G18)</f>
        <v>40</v>
      </c>
      <c r="I18" s="1"/>
      <c r="J18" s="50" t="s">
        <v>163</v>
      </c>
      <c r="K18" s="69">
        <v>90</v>
      </c>
      <c r="L18" s="69">
        <v>0</v>
      </c>
      <c r="M18" s="69">
        <v>200</v>
      </c>
      <c r="N18" s="69">
        <v>0</v>
      </c>
      <c r="O18" s="69">
        <v>0</v>
      </c>
      <c r="P18" s="69">
        <v>0</v>
      </c>
      <c r="Q18" s="40">
        <f t="shared" si="2"/>
        <v>290</v>
      </c>
      <c r="R18" s="4"/>
      <c r="S18" s="1"/>
    </row>
    <row r="19" spans="1:19" x14ac:dyDescent="0.25">
      <c r="A19" s="7" t="s">
        <v>28</v>
      </c>
      <c r="B19" s="17">
        <v>97</v>
      </c>
      <c r="C19" s="11">
        <v>11</v>
      </c>
      <c r="D19" s="11">
        <v>177</v>
      </c>
      <c r="E19" s="11">
        <v>11</v>
      </c>
      <c r="F19" s="11">
        <v>14</v>
      </c>
      <c r="G19" s="11">
        <v>0</v>
      </c>
      <c r="H19" s="12">
        <f t="shared" si="4"/>
        <v>310</v>
      </c>
      <c r="I19" s="1"/>
      <c r="J19" s="50" t="s">
        <v>164</v>
      </c>
      <c r="K19" s="69">
        <v>90</v>
      </c>
      <c r="L19" s="69">
        <v>0</v>
      </c>
      <c r="M19" s="69">
        <v>200</v>
      </c>
      <c r="N19" s="69">
        <v>0</v>
      </c>
      <c r="O19" s="69">
        <v>0</v>
      </c>
      <c r="P19" s="69">
        <v>0</v>
      </c>
      <c r="Q19" s="40">
        <f t="shared" si="2"/>
        <v>290</v>
      </c>
      <c r="R19" s="4"/>
      <c r="S19" s="1"/>
    </row>
    <row r="20" spans="1:19" x14ac:dyDescent="0.25">
      <c r="A20" s="7" t="s">
        <v>29</v>
      </c>
      <c r="B20" s="10">
        <v>0</v>
      </c>
      <c r="C20" s="11">
        <v>0</v>
      </c>
      <c r="D20" s="11">
        <v>10</v>
      </c>
      <c r="E20" s="11">
        <v>4</v>
      </c>
      <c r="F20" s="11">
        <v>2</v>
      </c>
      <c r="G20" s="11">
        <v>0</v>
      </c>
      <c r="H20" s="12">
        <f t="shared" si="4"/>
        <v>16</v>
      </c>
      <c r="I20" s="1"/>
      <c r="J20" s="50" t="s">
        <v>194</v>
      </c>
      <c r="K20" s="69">
        <v>0</v>
      </c>
      <c r="L20" s="69">
        <v>0</v>
      </c>
      <c r="M20" s="69">
        <v>16</v>
      </c>
      <c r="N20" s="69">
        <v>0</v>
      </c>
      <c r="O20" s="69">
        <v>0</v>
      </c>
      <c r="P20" s="69">
        <v>0</v>
      </c>
      <c r="Q20" s="40">
        <f t="shared" si="2"/>
        <v>16</v>
      </c>
      <c r="R20" s="4"/>
      <c r="S20" s="1"/>
    </row>
    <row r="21" spans="1:19" x14ac:dyDescent="0.25">
      <c r="A21" s="7" t="s">
        <v>20</v>
      </c>
      <c r="B21" s="17">
        <v>806</v>
      </c>
      <c r="C21" s="11">
        <v>1589</v>
      </c>
      <c r="D21" s="11">
        <v>810</v>
      </c>
      <c r="E21" s="11">
        <v>63</v>
      </c>
      <c r="F21" s="11">
        <v>39</v>
      </c>
      <c r="G21" s="11">
        <v>0</v>
      </c>
      <c r="H21" s="12">
        <f t="shared" si="4"/>
        <v>3307</v>
      </c>
      <c r="I21" s="1"/>
      <c r="J21" s="50" t="s">
        <v>221</v>
      </c>
      <c r="K21" s="69"/>
      <c r="L21" s="69"/>
      <c r="M21" s="69"/>
      <c r="N21" s="69"/>
      <c r="O21" s="69"/>
      <c r="P21" s="69"/>
      <c r="Q21" s="40"/>
      <c r="R21" s="4"/>
      <c r="S21" s="1"/>
    </row>
    <row r="22" spans="1:19" x14ac:dyDescent="0.25">
      <c r="A22" s="7" t="s">
        <v>25</v>
      </c>
      <c r="B22" s="17">
        <v>8</v>
      </c>
      <c r="C22" s="11">
        <v>0</v>
      </c>
      <c r="D22" s="11">
        <v>7</v>
      </c>
      <c r="E22" s="11">
        <v>0</v>
      </c>
      <c r="F22" s="11">
        <v>2</v>
      </c>
      <c r="G22" s="11">
        <v>0</v>
      </c>
      <c r="H22" s="12">
        <f t="shared" si="4"/>
        <v>17</v>
      </c>
      <c r="I22" s="1"/>
      <c r="J22" s="58" t="s">
        <v>6</v>
      </c>
      <c r="K22" s="68">
        <v>0</v>
      </c>
      <c r="L22" s="68">
        <v>0</v>
      </c>
      <c r="M22" s="68">
        <v>0</v>
      </c>
      <c r="N22" s="68">
        <v>0</v>
      </c>
      <c r="O22" s="68">
        <v>0</v>
      </c>
      <c r="P22" s="68">
        <v>0</v>
      </c>
      <c r="Q22" s="40">
        <f t="shared" si="2"/>
        <v>0</v>
      </c>
      <c r="R22" s="4"/>
      <c r="S22" s="1"/>
    </row>
    <row r="23" spans="1:19" ht="15.75" thickBot="1" x14ac:dyDescent="0.3">
      <c r="A23" s="7" t="s">
        <v>218</v>
      </c>
      <c r="B23" s="17"/>
      <c r="C23" s="11"/>
      <c r="D23" s="11"/>
      <c r="E23" s="11"/>
      <c r="F23" s="11"/>
      <c r="G23" s="11"/>
      <c r="H23" s="12"/>
      <c r="I23" s="1"/>
      <c r="J23" s="59" t="s">
        <v>7</v>
      </c>
      <c r="K23" s="94">
        <v>0</v>
      </c>
      <c r="L23" s="94">
        <v>0</v>
      </c>
      <c r="M23" s="94">
        <v>0</v>
      </c>
      <c r="N23" s="94">
        <v>0</v>
      </c>
      <c r="O23" s="94">
        <v>0</v>
      </c>
      <c r="P23" s="94">
        <v>0</v>
      </c>
      <c r="Q23" s="46">
        <f t="shared" si="2"/>
        <v>0</v>
      </c>
      <c r="R23" s="4"/>
      <c r="S23" s="1"/>
    </row>
    <row r="24" spans="1:19" x14ac:dyDescent="0.25">
      <c r="A24" s="7" t="s">
        <v>21</v>
      </c>
      <c r="B24" s="17">
        <v>827</v>
      </c>
      <c r="C24" s="11">
        <v>1587</v>
      </c>
      <c r="D24" s="11">
        <v>792</v>
      </c>
      <c r="E24" s="11">
        <v>58</v>
      </c>
      <c r="F24" s="11">
        <v>39</v>
      </c>
      <c r="G24" s="11">
        <v>0</v>
      </c>
      <c r="H24" s="12">
        <f t="shared" si="4"/>
        <v>3303</v>
      </c>
      <c r="I24" s="1"/>
      <c r="J24" s="1"/>
      <c r="K24" s="1"/>
      <c r="L24" s="1"/>
      <c r="M24" s="1"/>
      <c r="N24" s="1"/>
      <c r="O24" s="1"/>
      <c r="P24" s="1"/>
      <c r="Q24" s="1"/>
      <c r="R24" s="4"/>
      <c r="S24" s="1"/>
    </row>
    <row r="25" spans="1:19" ht="15.75" thickBot="1" x14ac:dyDescent="0.3">
      <c r="A25" s="7" t="s">
        <v>24</v>
      </c>
      <c r="B25" s="17">
        <v>60</v>
      </c>
      <c r="C25" s="11">
        <v>8</v>
      </c>
      <c r="D25" s="11">
        <v>81</v>
      </c>
      <c r="E25" s="11">
        <v>7</v>
      </c>
      <c r="F25" s="11">
        <v>2</v>
      </c>
      <c r="G25" s="11">
        <v>0</v>
      </c>
      <c r="H25" s="12">
        <f t="shared" si="4"/>
        <v>158</v>
      </c>
      <c r="I25" s="1"/>
      <c r="J25" s="1"/>
      <c r="K25" s="1"/>
      <c r="L25" s="1"/>
      <c r="M25" s="1"/>
      <c r="N25" s="1"/>
      <c r="O25" s="1"/>
      <c r="P25" s="1"/>
      <c r="Q25" s="1"/>
      <c r="R25" s="4"/>
      <c r="S25" s="1"/>
    </row>
    <row r="26" spans="1:19" x14ac:dyDescent="0.25">
      <c r="A26" s="7" t="s">
        <v>79</v>
      </c>
      <c r="B26" s="17">
        <v>608</v>
      </c>
      <c r="C26" s="11">
        <v>500</v>
      </c>
      <c r="D26" s="11">
        <v>302</v>
      </c>
      <c r="E26" s="11">
        <v>26</v>
      </c>
      <c r="F26" s="11">
        <v>10</v>
      </c>
      <c r="G26" s="11">
        <v>0</v>
      </c>
      <c r="H26" s="12">
        <f t="shared" si="4"/>
        <v>1446</v>
      </c>
      <c r="I26" s="1"/>
      <c r="J26" s="134" t="s">
        <v>169</v>
      </c>
      <c r="K26" s="136" t="s">
        <v>11</v>
      </c>
      <c r="L26" s="136"/>
      <c r="M26" s="136"/>
      <c r="N26" s="136"/>
      <c r="O26" s="136"/>
      <c r="P26" s="136"/>
      <c r="Q26" s="137"/>
      <c r="R26" s="4"/>
      <c r="S26" s="1"/>
    </row>
    <row r="27" spans="1:19" x14ac:dyDescent="0.25">
      <c r="A27" s="7" t="s">
        <v>75</v>
      </c>
      <c r="B27" s="17">
        <v>608</v>
      </c>
      <c r="C27" s="11">
        <v>500</v>
      </c>
      <c r="D27" s="11">
        <v>302</v>
      </c>
      <c r="E27" s="11">
        <v>26</v>
      </c>
      <c r="F27" s="11">
        <v>10</v>
      </c>
      <c r="G27" s="11">
        <v>0</v>
      </c>
      <c r="H27" s="12">
        <f t="shared" si="4"/>
        <v>1446</v>
      </c>
      <c r="I27" s="1"/>
      <c r="J27" s="135"/>
      <c r="K27" s="30" t="s">
        <v>8</v>
      </c>
      <c r="L27" s="30" t="s">
        <v>9</v>
      </c>
      <c r="M27" s="30" t="s">
        <v>10</v>
      </c>
      <c r="N27" s="30" t="s">
        <v>154</v>
      </c>
      <c r="O27" s="30" t="s">
        <v>155</v>
      </c>
      <c r="P27" s="60" t="s">
        <v>147</v>
      </c>
      <c r="Q27" s="54" t="s">
        <v>11</v>
      </c>
      <c r="R27" s="4"/>
      <c r="S27" s="1"/>
    </row>
    <row r="28" spans="1:19" x14ac:dyDescent="0.25">
      <c r="A28" s="7" t="s">
        <v>76</v>
      </c>
      <c r="B28" s="17">
        <v>563</v>
      </c>
      <c r="C28" s="11">
        <v>547</v>
      </c>
      <c r="D28" s="11">
        <v>380</v>
      </c>
      <c r="E28" s="11">
        <v>31</v>
      </c>
      <c r="F28" s="11">
        <v>13</v>
      </c>
      <c r="G28" s="11">
        <v>0</v>
      </c>
      <c r="H28" s="12">
        <f t="shared" si="4"/>
        <v>1534</v>
      </c>
      <c r="I28" s="1"/>
      <c r="J28" s="79" t="s">
        <v>146</v>
      </c>
      <c r="K28" s="74">
        <f t="shared" ref="K28:P28" si="5">SUM(K29:K37)</f>
        <v>172</v>
      </c>
      <c r="L28" s="74">
        <f t="shared" si="5"/>
        <v>491</v>
      </c>
      <c r="M28" s="74">
        <f t="shared" si="5"/>
        <v>274</v>
      </c>
      <c r="N28" s="74">
        <f t="shared" si="5"/>
        <v>0</v>
      </c>
      <c r="O28" s="74">
        <f t="shared" si="5"/>
        <v>0</v>
      </c>
      <c r="P28" s="74">
        <f t="shared" si="5"/>
        <v>0</v>
      </c>
      <c r="Q28" s="80">
        <f>SUM(K28:P28)</f>
        <v>937</v>
      </c>
      <c r="R28" s="4"/>
      <c r="S28" s="1"/>
    </row>
    <row r="29" spans="1:19" x14ac:dyDescent="0.25">
      <c r="A29" s="7" t="s">
        <v>74</v>
      </c>
      <c r="B29" s="17">
        <v>560</v>
      </c>
      <c r="C29" s="11">
        <v>539</v>
      </c>
      <c r="D29" s="11">
        <v>375</v>
      </c>
      <c r="E29" s="11">
        <v>8</v>
      </c>
      <c r="F29" s="11">
        <v>0</v>
      </c>
      <c r="G29" s="11">
        <v>0</v>
      </c>
      <c r="H29" s="12">
        <f t="shared" si="4"/>
        <v>1482</v>
      </c>
      <c r="I29" s="1"/>
      <c r="J29" s="45" t="s">
        <v>64</v>
      </c>
      <c r="K29" s="68">
        <v>168</v>
      </c>
      <c r="L29" s="68">
        <v>41</v>
      </c>
      <c r="M29" s="68">
        <v>126</v>
      </c>
      <c r="N29" s="68">
        <v>0</v>
      </c>
      <c r="O29" s="68">
        <v>0</v>
      </c>
      <c r="P29" s="69">
        <v>0</v>
      </c>
      <c r="Q29" s="40">
        <f>SUM(K29:P29)</f>
        <v>335</v>
      </c>
      <c r="R29" s="4"/>
      <c r="S29" s="1"/>
    </row>
    <row r="30" spans="1:19" x14ac:dyDescent="0.25">
      <c r="A30" s="7" t="s">
        <v>22</v>
      </c>
      <c r="B30" s="17">
        <v>593</v>
      </c>
      <c r="C30" s="11">
        <v>606</v>
      </c>
      <c r="D30" s="11">
        <v>586</v>
      </c>
      <c r="E30" s="11">
        <v>44</v>
      </c>
      <c r="F30" s="11">
        <v>20</v>
      </c>
      <c r="G30" s="11">
        <v>0</v>
      </c>
      <c r="H30" s="12">
        <f t="shared" si="4"/>
        <v>1849</v>
      </c>
      <c r="I30" s="1"/>
      <c r="J30" s="45" t="s">
        <v>170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9">
        <v>0</v>
      </c>
      <c r="Q30" s="40">
        <f>SUM(K30:P30)</f>
        <v>0</v>
      </c>
      <c r="R30" s="4"/>
      <c r="S30" s="1"/>
    </row>
    <row r="31" spans="1:19" x14ac:dyDescent="0.25">
      <c r="A31" s="7" t="s">
        <v>23</v>
      </c>
      <c r="B31" s="17">
        <v>593</v>
      </c>
      <c r="C31" s="11">
        <v>606</v>
      </c>
      <c r="D31" s="11">
        <v>580</v>
      </c>
      <c r="E31" s="11">
        <v>43</v>
      </c>
      <c r="F31" s="11">
        <v>20</v>
      </c>
      <c r="G31" s="11">
        <v>0</v>
      </c>
      <c r="H31" s="12">
        <f t="shared" si="4"/>
        <v>1842</v>
      </c>
      <c r="I31" s="1"/>
      <c r="J31" s="45" t="s">
        <v>171</v>
      </c>
      <c r="K31" s="68">
        <v>0</v>
      </c>
      <c r="L31" s="68">
        <v>0</v>
      </c>
      <c r="M31" s="68">
        <v>20</v>
      </c>
      <c r="N31" s="68">
        <v>0</v>
      </c>
      <c r="O31" s="68">
        <v>0</v>
      </c>
      <c r="P31" s="69">
        <v>0</v>
      </c>
      <c r="Q31" s="40">
        <f>SUM(K31:P31)</f>
        <v>20</v>
      </c>
      <c r="R31" s="4"/>
      <c r="S31" s="1"/>
    </row>
    <row r="32" spans="1:19" x14ac:dyDescent="0.25">
      <c r="A32" s="7" t="s">
        <v>202</v>
      </c>
      <c r="B32" s="17">
        <v>0</v>
      </c>
      <c r="C32" s="11">
        <v>0</v>
      </c>
      <c r="D32" s="11">
        <v>2</v>
      </c>
      <c r="E32" s="11">
        <v>3</v>
      </c>
      <c r="F32" s="11">
        <v>1</v>
      </c>
      <c r="G32" s="11">
        <v>0</v>
      </c>
      <c r="H32" s="12">
        <f t="shared" si="4"/>
        <v>6</v>
      </c>
      <c r="I32" s="1"/>
      <c r="J32" s="49" t="s">
        <v>65</v>
      </c>
      <c r="K32" s="68">
        <v>0</v>
      </c>
      <c r="L32" s="68">
        <v>274</v>
      </c>
      <c r="M32" s="68">
        <v>65</v>
      </c>
      <c r="N32" s="68">
        <v>0</v>
      </c>
      <c r="O32" s="68">
        <v>0</v>
      </c>
      <c r="P32" s="69">
        <v>0</v>
      </c>
      <c r="Q32" s="40">
        <f t="shared" ref="Q32:Q37" si="6">SUM(K32:P32)</f>
        <v>339</v>
      </c>
      <c r="R32" s="4"/>
      <c r="S32" s="1"/>
    </row>
    <row r="33" spans="1:19" x14ac:dyDescent="0.25">
      <c r="A33" s="7" t="s">
        <v>159</v>
      </c>
      <c r="B33" s="17">
        <v>244</v>
      </c>
      <c r="C33" s="11">
        <v>179</v>
      </c>
      <c r="D33" s="11">
        <v>73</v>
      </c>
      <c r="E33" s="11">
        <v>3</v>
      </c>
      <c r="F33" s="11">
        <v>2</v>
      </c>
      <c r="G33" s="11">
        <v>0</v>
      </c>
      <c r="H33" s="12">
        <f t="shared" si="4"/>
        <v>501</v>
      </c>
      <c r="I33" s="1"/>
      <c r="J33" s="50" t="s">
        <v>130</v>
      </c>
      <c r="K33" s="70">
        <v>0</v>
      </c>
      <c r="L33" s="70">
        <v>0</v>
      </c>
      <c r="M33" s="70">
        <v>40</v>
      </c>
      <c r="N33" s="70">
        <v>0</v>
      </c>
      <c r="O33" s="70">
        <v>0</v>
      </c>
      <c r="P33" s="69">
        <v>0</v>
      </c>
      <c r="Q33" s="40">
        <f t="shared" si="6"/>
        <v>40</v>
      </c>
      <c r="R33" s="4"/>
      <c r="S33" s="1"/>
    </row>
    <row r="34" spans="1:19" x14ac:dyDescent="0.25">
      <c r="A34" s="7" t="s">
        <v>26</v>
      </c>
      <c r="B34" s="17">
        <v>887</v>
      </c>
      <c r="C34" s="11">
        <v>1210</v>
      </c>
      <c r="D34" s="11">
        <v>710</v>
      </c>
      <c r="E34" s="11">
        <v>40</v>
      </c>
      <c r="F34" s="11">
        <v>6</v>
      </c>
      <c r="G34" s="11">
        <v>0</v>
      </c>
      <c r="H34" s="12">
        <f t="shared" si="4"/>
        <v>2853</v>
      </c>
      <c r="I34" s="1"/>
      <c r="J34" s="67" t="s">
        <v>131</v>
      </c>
      <c r="K34" s="65">
        <v>0</v>
      </c>
      <c r="L34" s="65">
        <v>0</v>
      </c>
      <c r="M34" s="65">
        <v>22</v>
      </c>
      <c r="N34" s="65">
        <v>0</v>
      </c>
      <c r="O34" s="65">
        <v>0</v>
      </c>
      <c r="P34" s="31">
        <v>0</v>
      </c>
      <c r="Q34" s="40">
        <f t="shared" si="6"/>
        <v>22</v>
      </c>
      <c r="R34" s="4"/>
      <c r="S34" s="1"/>
    </row>
    <row r="35" spans="1:19" x14ac:dyDescent="0.25">
      <c r="A35" s="7" t="s">
        <v>82</v>
      </c>
      <c r="B35" s="17">
        <v>419</v>
      </c>
      <c r="C35" s="11">
        <v>363</v>
      </c>
      <c r="D35" s="11">
        <v>310</v>
      </c>
      <c r="E35" s="11">
        <v>24</v>
      </c>
      <c r="F35" s="11">
        <v>9</v>
      </c>
      <c r="G35" s="11">
        <v>0</v>
      </c>
      <c r="H35" s="12">
        <f t="shared" si="4"/>
        <v>1125</v>
      </c>
      <c r="I35" s="1"/>
      <c r="J35" s="67" t="s">
        <v>160</v>
      </c>
      <c r="K35" s="65">
        <v>1</v>
      </c>
      <c r="L35" s="65">
        <v>124</v>
      </c>
      <c r="M35" s="65">
        <v>1</v>
      </c>
      <c r="N35" s="65">
        <v>0</v>
      </c>
      <c r="O35" s="65">
        <v>0</v>
      </c>
      <c r="P35" s="31">
        <v>0</v>
      </c>
      <c r="Q35" s="40">
        <f t="shared" si="6"/>
        <v>126</v>
      </c>
      <c r="R35" s="4"/>
      <c r="S35" s="1"/>
    </row>
    <row r="36" spans="1:19" x14ac:dyDescent="0.25">
      <c r="A36" s="7" t="s">
        <v>30</v>
      </c>
      <c r="B36" s="17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2">
        <f t="shared" si="4"/>
        <v>0</v>
      </c>
      <c r="I36" s="1"/>
      <c r="J36" s="67" t="s">
        <v>209</v>
      </c>
      <c r="K36" s="65">
        <v>3</v>
      </c>
      <c r="L36" s="65">
        <v>17</v>
      </c>
      <c r="M36" s="65">
        <v>0</v>
      </c>
      <c r="N36" s="65">
        <v>0</v>
      </c>
      <c r="O36" s="65">
        <v>0</v>
      </c>
      <c r="P36" s="31">
        <v>0</v>
      </c>
      <c r="Q36" s="40">
        <f t="shared" si="6"/>
        <v>20</v>
      </c>
      <c r="R36" s="4"/>
      <c r="S36" s="1"/>
    </row>
    <row r="37" spans="1:19" ht="15.75" thickBot="1" x14ac:dyDescent="0.3">
      <c r="A37" s="7" t="s">
        <v>31</v>
      </c>
      <c r="B37" s="17">
        <v>5</v>
      </c>
      <c r="C37" s="11">
        <v>17</v>
      </c>
      <c r="D37" s="11">
        <v>2</v>
      </c>
      <c r="E37" s="11">
        <v>1</v>
      </c>
      <c r="F37" s="11">
        <v>0</v>
      </c>
      <c r="G37" s="11">
        <v>0</v>
      </c>
      <c r="H37" s="12">
        <f t="shared" si="4"/>
        <v>25</v>
      </c>
      <c r="I37" s="1"/>
      <c r="J37" s="51" t="s">
        <v>212</v>
      </c>
      <c r="K37" s="71">
        <v>0</v>
      </c>
      <c r="L37" s="71">
        <v>35</v>
      </c>
      <c r="M37" s="71">
        <v>0</v>
      </c>
      <c r="N37" s="71">
        <v>0</v>
      </c>
      <c r="O37" s="71">
        <v>0</v>
      </c>
      <c r="P37" s="72">
        <v>0</v>
      </c>
      <c r="Q37" s="46">
        <f t="shared" si="6"/>
        <v>35</v>
      </c>
      <c r="R37" s="4"/>
      <c r="S37" s="1"/>
    </row>
    <row r="38" spans="1:19" ht="15.75" thickBot="1" x14ac:dyDescent="0.3">
      <c r="A38" s="7" t="s">
        <v>66</v>
      </c>
      <c r="B38" s="17">
        <v>190</v>
      </c>
      <c r="C38" s="11">
        <v>10</v>
      </c>
      <c r="D38" s="11">
        <v>356</v>
      </c>
      <c r="E38" s="11">
        <v>37</v>
      </c>
      <c r="F38" s="11">
        <v>17</v>
      </c>
      <c r="G38" s="11">
        <v>0</v>
      </c>
      <c r="H38" s="12">
        <f t="shared" si="4"/>
        <v>610</v>
      </c>
      <c r="I38" s="1"/>
      <c r="J38" s="34"/>
      <c r="K38" s="34"/>
      <c r="L38" s="34"/>
      <c r="M38" s="34"/>
      <c r="N38" s="34"/>
      <c r="O38" s="34"/>
      <c r="P38" s="34"/>
      <c r="R38" s="4"/>
      <c r="S38" s="1"/>
    </row>
    <row r="39" spans="1:19" x14ac:dyDescent="0.25">
      <c r="A39" s="7" t="s">
        <v>67</v>
      </c>
      <c r="B39" s="17">
        <v>193</v>
      </c>
      <c r="C39" s="11">
        <v>8</v>
      </c>
      <c r="D39" s="11">
        <v>359</v>
      </c>
      <c r="E39" s="11">
        <v>38</v>
      </c>
      <c r="F39" s="11">
        <v>18</v>
      </c>
      <c r="G39" s="11">
        <v>0</v>
      </c>
      <c r="H39" s="12">
        <f t="shared" si="4"/>
        <v>616</v>
      </c>
      <c r="I39" s="1"/>
      <c r="J39" s="134" t="s">
        <v>136</v>
      </c>
      <c r="K39" s="136" t="s">
        <v>11</v>
      </c>
      <c r="L39" s="136"/>
      <c r="M39" s="136"/>
      <c r="N39" s="136"/>
      <c r="O39" s="136"/>
      <c r="P39" s="136"/>
      <c r="Q39" s="137"/>
      <c r="R39" s="4"/>
      <c r="S39" s="1"/>
    </row>
    <row r="40" spans="1:19" x14ac:dyDescent="0.25">
      <c r="A40" s="7" t="s">
        <v>77</v>
      </c>
      <c r="B40" s="17">
        <v>122</v>
      </c>
      <c r="C40" s="11">
        <v>3</v>
      </c>
      <c r="D40" s="11">
        <v>225</v>
      </c>
      <c r="E40" s="11">
        <v>20</v>
      </c>
      <c r="F40" s="11">
        <v>16</v>
      </c>
      <c r="G40" s="11">
        <v>0</v>
      </c>
      <c r="H40" s="12">
        <f t="shared" si="4"/>
        <v>386</v>
      </c>
      <c r="I40" s="1"/>
      <c r="J40" s="135"/>
      <c r="K40" s="30" t="s">
        <v>8</v>
      </c>
      <c r="L40" s="30" t="s">
        <v>9</v>
      </c>
      <c r="M40" s="30" t="s">
        <v>10</v>
      </c>
      <c r="N40" s="30" t="s">
        <v>154</v>
      </c>
      <c r="O40" s="30" t="s">
        <v>155</v>
      </c>
      <c r="P40" s="30" t="s">
        <v>147</v>
      </c>
      <c r="Q40" s="54" t="s">
        <v>11</v>
      </c>
      <c r="R40" s="4"/>
      <c r="S40" s="1"/>
    </row>
    <row r="41" spans="1:19" x14ac:dyDescent="0.25">
      <c r="A41" s="7" t="s">
        <v>78</v>
      </c>
      <c r="B41" s="17">
        <v>123</v>
      </c>
      <c r="C41" s="11">
        <v>3</v>
      </c>
      <c r="D41" s="11">
        <v>237</v>
      </c>
      <c r="E41" s="11">
        <v>21</v>
      </c>
      <c r="F41" s="11">
        <v>16</v>
      </c>
      <c r="G41" s="11">
        <v>0</v>
      </c>
      <c r="H41" s="12">
        <f t="shared" si="4"/>
        <v>400</v>
      </c>
      <c r="I41" s="1"/>
      <c r="J41" s="79" t="s">
        <v>150</v>
      </c>
      <c r="K41" s="74">
        <f>SUM(K42:K49)</f>
        <v>530</v>
      </c>
      <c r="L41" s="74">
        <f t="shared" ref="L41:P41" si="7">SUM(L42:L49)</f>
        <v>172</v>
      </c>
      <c r="M41" s="74">
        <f t="shared" si="7"/>
        <v>57</v>
      </c>
      <c r="N41" s="74">
        <f t="shared" si="7"/>
        <v>10</v>
      </c>
      <c r="O41" s="74">
        <f t="shared" si="7"/>
        <v>0</v>
      </c>
      <c r="P41" s="74">
        <f t="shared" si="7"/>
        <v>0</v>
      </c>
      <c r="Q41" s="80">
        <f>SUM(K41:P41)</f>
        <v>769</v>
      </c>
      <c r="R41" s="4"/>
      <c r="S41" s="1"/>
    </row>
    <row r="42" spans="1:19" x14ac:dyDescent="0.25">
      <c r="A42" s="7" t="s">
        <v>42</v>
      </c>
      <c r="B42" s="17">
        <v>5</v>
      </c>
      <c r="C42" s="11">
        <v>0</v>
      </c>
      <c r="D42" s="11">
        <v>4</v>
      </c>
      <c r="E42" s="11">
        <v>0</v>
      </c>
      <c r="F42" s="11">
        <v>0</v>
      </c>
      <c r="G42" s="11">
        <v>0</v>
      </c>
      <c r="H42" s="12">
        <f t="shared" si="4"/>
        <v>9</v>
      </c>
      <c r="I42" s="1"/>
      <c r="J42" s="86" t="s">
        <v>165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  <c r="P42" s="89">
        <v>0</v>
      </c>
      <c r="Q42" s="40">
        <f t="shared" ref="Q42:Q49" si="8">SUM(K42:P42)</f>
        <v>0</v>
      </c>
      <c r="R42" s="4"/>
      <c r="S42" s="1"/>
    </row>
    <row r="43" spans="1:19" x14ac:dyDescent="0.25">
      <c r="A43" s="7" t="s">
        <v>43</v>
      </c>
      <c r="B43" s="17">
        <v>7</v>
      </c>
      <c r="C43" s="11">
        <v>0</v>
      </c>
      <c r="D43" s="11">
        <v>56</v>
      </c>
      <c r="E43" s="11">
        <v>6</v>
      </c>
      <c r="F43" s="11">
        <v>0</v>
      </c>
      <c r="G43" s="11">
        <v>0</v>
      </c>
      <c r="H43" s="12">
        <f t="shared" si="4"/>
        <v>69</v>
      </c>
      <c r="I43" s="1"/>
      <c r="J43" s="86" t="s">
        <v>166</v>
      </c>
      <c r="K43" s="89">
        <v>158</v>
      </c>
      <c r="L43" s="89">
        <v>50</v>
      </c>
      <c r="M43" s="89">
        <v>19</v>
      </c>
      <c r="N43" s="89">
        <v>5</v>
      </c>
      <c r="O43" s="89">
        <v>0</v>
      </c>
      <c r="P43" s="89">
        <v>0</v>
      </c>
      <c r="Q43" s="40">
        <f t="shared" si="8"/>
        <v>232</v>
      </c>
      <c r="R43" s="4"/>
      <c r="S43" s="1"/>
    </row>
    <row r="44" spans="1:19" x14ac:dyDescent="0.25">
      <c r="A44" s="7" t="s">
        <v>101</v>
      </c>
      <c r="B44" s="37">
        <v>7</v>
      </c>
      <c r="C44" s="11">
        <v>0</v>
      </c>
      <c r="D44" s="11">
        <v>10</v>
      </c>
      <c r="E44" s="11">
        <v>1</v>
      </c>
      <c r="F44" s="11">
        <v>0</v>
      </c>
      <c r="G44" s="11">
        <v>0</v>
      </c>
      <c r="H44" s="12">
        <f t="shared" si="4"/>
        <v>18</v>
      </c>
      <c r="I44" s="1"/>
      <c r="J44" s="86" t="s">
        <v>167</v>
      </c>
      <c r="K44" s="89">
        <v>11</v>
      </c>
      <c r="L44" s="89">
        <v>1</v>
      </c>
      <c r="M44" s="89">
        <v>0</v>
      </c>
      <c r="N44" s="89">
        <v>0</v>
      </c>
      <c r="O44" s="89">
        <v>0</v>
      </c>
      <c r="P44" s="89">
        <v>0</v>
      </c>
      <c r="Q44" s="40">
        <f t="shared" si="8"/>
        <v>12</v>
      </c>
      <c r="R44" s="4"/>
      <c r="S44" s="1"/>
    </row>
    <row r="45" spans="1:19" x14ac:dyDescent="0.25">
      <c r="A45" s="7" t="s">
        <v>95</v>
      </c>
      <c r="B45" s="37">
        <v>30</v>
      </c>
      <c r="C45" s="11">
        <v>120</v>
      </c>
      <c r="D45" s="11">
        <v>18</v>
      </c>
      <c r="E45" s="11">
        <v>9</v>
      </c>
      <c r="F45" s="11">
        <v>0</v>
      </c>
      <c r="G45" s="11">
        <v>0</v>
      </c>
      <c r="H45" s="12">
        <f t="shared" si="4"/>
        <v>177</v>
      </c>
      <c r="I45" s="1"/>
      <c r="J45" s="88" t="s">
        <v>168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40">
        <f t="shared" si="8"/>
        <v>0</v>
      </c>
      <c r="R45" s="4"/>
      <c r="S45" s="1"/>
    </row>
    <row r="46" spans="1:19" x14ac:dyDescent="0.25">
      <c r="A46" s="7" t="s">
        <v>96</v>
      </c>
      <c r="B46" s="37">
        <v>4</v>
      </c>
      <c r="C46" s="11">
        <v>1</v>
      </c>
      <c r="D46" s="11">
        <v>4</v>
      </c>
      <c r="E46" s="11">
        <v>0</v>
      </c>
      <c r="F46" s="11">
        <v>0</v>
      </c>
      <c r="G46" s="11">
        <v>0</v>
      </c>
      <c r="H46" s="12">
        <f t="shared" si="4"/>
        <v>9</v>
      </c>
      <c r="J46" s="88" t="s">
        <v>34</v>
      </c>
      <c r="K46" s="90">
        <v>21</v>
      </c>
      <c r="L46" s="90">
        <v>0</v>
      </c>
      <c r="M46" s="90">
        <v>0</v>
      </c>
      <c r="N46" s="90">
        <v>0</v>
      </c>
      <c r="O46" s="90">
        <v>0</v>
      </c>
      <c r="P46" s="90">
        <v>0</v>
      </c>
      <c r="Q46" s="100">
        <f t="shared" si="8"/>
        <v>21</v>
      </c>
      <c r="R46" s="4"/>
      <c r="S46" s="1"/>
    </row>
    <row r="47" spans="1:19" x14ac:dyDescent="0.25">
      <c r="A47" s="7" t="s">
        <v>97</v>
      </c>
      <c r="B47" s="37">
        <v>22</v>
      </c>
      <c r="C47" s="11">
        <v>5</v>
      </c>
      <c r="D47" s="11">
        <v>32</v>
      </c>
      <c r="E47" s="11">
        <v>2</v>
      </c>
      <c r="F47" s="11">
        <v>2</v>
      </c>
      <c r="G47" s="11">
        <v>0</v>
      </c>
      <c r="H47" s="12">
        <f t="shared" si="4"/>
        <v>63</v>
      </c>
      <c r="I47" s="1"/>
      <c r="J47" s="86" t="s">
        <v>179</v>
      </c>
      <c r="K47" s="89">
        <v>94</v>
      </c>
      <c r="L47" s="89">
        <v>55</v>
      </c>
      <c r="M47" s="89">
        <v>19</v>
      </c>
      <c r="N47" s="89">
        <v>0</v>
      </c>
      <c r="O47" s="89">
        <v>0</v>
      </c>
      <c r="P47" s="89">
        <v>0</v>
      </c>
      <c r="Q47" s="100">
        <f t="shared" si="8"/>
        <v>168</v>
      </c>
      <c r="R47" s="4"/>
      <c r="S47" s="1"/>
    </row>
    <row r="48" spans="1:19" x14ac:dyDescent="0.25">
      <c r="A48" s="36" t="s">
        <v>98</v>
      </c>
      <c r="B48" s="37">
        <v>22</v>
      </c>
      <c r="C48" s="11">
        <v>5</v>
      </c>
      <c r="D48" s="11">
        <v>32</v>
      </c>
      <c r="E48" s="11">
        <v>2</v>
      </c>
      <c r="F48" s="11">
        <v>2</v>
      </c>
      <c r="G48" s="11">
        <v>0</v>
      </c>
      <c r="H48" s="12">
        <f t="shared" si="4"/>
        <v>63</v>
      </c>
      <c r="I48" s="1"/>
      <c r="J48" s="86" t="s">
        <v>177</v>
      </c>
      <c r="K48" s="89">
        <v>223</v>
      </c>
      <c r="L48" s="89">
        <v>63</v>
      </c>
      <c r="M48" s="89">
        <v>19</v>
      </c>
      <c r="N48" s="89">
        <v>5</v>
      </c>
      <c r="O48" s="89">
        <v>0</v>
      </c>
      <c r="P48" s="89">
        <v>0</v>
      </c>
      <c r="Q48" s="100">
        <f t="shared" si="8"/>
        <v>310</v>
      </c>
      <c r="R48" s="4"/>
      <c r="S48" s="1"/>
    </row>
    <row r="49" spans="1:19" ht="15.75" thickBot="1" x14ac:dyDescent="0.3">
      <c r="A49" s="7" t="s">
        <v>86</v>
      </c>
      <c r="B49" s="17">
        <v>0</v>
      </c>
      <c r="C49" s="11">
        <v>894</v>
      </c>
      <c r="D49" s="11">
        <v>0</v>
      </c>
      <c r="E49" s="11">
        <v>5</v>
      </c>
      <c r="F49" s="11">
        <v>0</v>
      </c>
      <c r="G49" s="11">
        <v>0</v>
      </c>
      <c r="H49" s="14">
        <f>SUM(B49:G49)</f>
        <v>899</v>
      </c>
      <c r="I49" s="1"/>
      <c r="J49" s="87" t="s">
        <v>178</v>
      </c>
      <c r="K49" s="71">
        <v>23</v>
      </c>
      <c r="L49" s="71">
        <v>3</v>
      </c>
      <c r="M49" s="71">
        <v>0</v>
      </c>
      <c r="N49" s="71">
        <v>0</v>
      </c>
      <c r="O49" s="71">
        <v>0</v>
      </c>
      <c r="P49" s="71">
        <v>0</v>
      </c>
      <c r="Q49" s="46">
        <f t="shared" si="8"/>
        <v>26</v>
      </c>
      <c r="R49" s="4"/>
      <c r="S49" s="1"/>
    </row>
    <row r="50" spans="1:19" x14ac:dyDescent="0.25">
      <c r="A50" s="18" t="s">
        <v>87</v>
      </c>
      <c r="B50" s="38">
        <v>62</v>
      </c>
      <c r="C50" s="19">
        <v>117</v>
      </c>
      <c r="D50" s="19">
        <v>50</v>
      </c>
      <c r="E50" s="19">
        <v>7</v>
      </c>
      <c r="F50" s="21">
        <v>13</v>
      </c>
      <c r="G50" s="19">
        <v>0</v>
      </c>
      <c r="H50" s="14">
        <f>SUM(B50:G50)</f>
        <v>249</v>
      </c>
      <c r="I50" s="1"/>
      <c r="J50" s="158"/>
      <c r="K50" s="158"/>
      <c r="L50" s="158"/>
      <c r="M50" s="158"/>
      <c r="N50" s="34"/>
      <c r="O50" s="34"/>
      <c r="P50" s="34"/>
      <c r="Q50" s="34"/>
      <c r="R50" s="4"/>
      <c r="S50" s="1"/>
    </row>
    <row r="51" spans="1:19" ht="15.75" thickBot="1" x14ac:dyDescent="0.3">
      <c r="A51" s="73" t="s">
        <v>139</v>
      </c>
      <c r="B51" s="75">
        <f t="shared" ref="B51:G51" si="9">SUM(B52:B68)</f>
        <v>4763</v>
      </c>
      <c r="C51" s="75">
        <f t="shared" si="9"/>
        <v>5132</v>
      </c>
      <c r="D51" s="77">
        <f t="shared" si="9"/>
        <v>2544</v>
      </c>
      <c r="E51" s="75">
        <f t="shared" si="9"/>
        <v>217</v>
      </c>
      <c r="F51" s="75">
        <f t="shared" si="9"/>
        <v>105</v>
      </c>
      <c r="G51" s="78">
        <f t="shared" si="9"/>
        <v>0</v>
      </c>
      <c r="H51" s="75">
        <f>SUM(B51:G51)</f>
        <v>12761</v>
      </c>
      <c r="I51" s="1"/>
      <c r="Q51" s="24"/>
      <c r="R51" s="4"/>
      <c r="S51" s="1"/>
    </row>
    <row r="52" spans="1:19" x14ac:dyDescent="0.25">
      <c r="A52" s="7" t="s">
        <v>90</v>
      </c>
      <c r="B52" s="13">
        <v>434</v>
      </c>
      <c r="C52" s="13">
        <v>96</v>
      </c>
      <c r="D52" s="25">
        <v>18</v>
      </c>
      <c r="E52" s="65">
        <v>3</v>
      </c>
      <c r="F52" s="65">
        <v>3</v>
      </c>
      <c r="G52" s="65">
        <v>0</v>
      </c>
      <c r="H52" s="26">
        <f t="shared" ref="H52:H113" si="10">SUM(B52:G52)</f>
        <v>554</v>
      </c>
      <c r="I52" s="1"/>
      <c r="J52" s="159" t="s">
        <v>152</v>
      </c>
      <c r="K52" s="160"/>
      <c r="L52" s="160"/>
      <c r="M52" s="160"/>
      <c r="N52" s="160"/>
      <c r="O52" s="160"/>
      <c r="P52" s="160"/>
      <c r="Q52" s="161"/>
      <c r="R52" s="4"/>
      <c r="S52" s="1"/>
    </row>
    <row r="53" spans="1:19" x14ac:dyDescent="0.25">
      <c r="A53" s="7" t="s">
        <v>91</v>
      </c>
      <c r="B53" s="13">
        <v>8</v>
      </c>
      <c r="C53" s="13">
        <v>0</v>
      </c>
      <c r="D53" s="25">
        <v>23</v>
      </c>
      <c r="E53" s="66">
        <v>2</v>
      </c>
      <c r="F53" s="66">
        <v>3</v>
      </c>
      <c r="G53" s="66">
        <v>0</v>
      </c>
      <c r="H53" s="26">
        <f t="shared" si="10"/>
        <v>36</v>
      </c>
      <c r="I53" s="1"/>
      <c r="J53" s="138" t="s">
        <v>72</v>
      </c>
      <c r="K53" s="139"/>
      <c r="L53" s="139"/>
      <c r="M53" s="139"/>
      <c r="N53" s="139"/>
      <c r="O53" s="139"/>
      <c r="P53" s="139"/>
      <c r="Q53" s="62" t="s">
        <v>11</v>
      </c>
      <c r="R53" s="4"/>
      <c r="S53" s="1"/>
    </row>
    <row r="54" spans="1:19" x14ac:dyDescent="0.25">
      <c r="A54" s="7" t="s">
        <v>32</v>
      </c>
      <c r="B54" s="13">
        <v>1246</v>
      </c>
      <c r="C54" s="13">
        <v>2333</v>
      </c>
      <c r="D54" s="25">
        <v>949</v>
      </c>
      <c r="E54" s="66">
        <v>114</v>
      </c>
      <c r="F54" s="66">
        <v>39</v>
      </c>
      <c r="G54" s="66">
        <v>0</v>
      </c>
      <c r="H54" s="26">
        <f t="shared" si="10"/>
        <v>4681</v>
      </c>
      <c r="I54" s="1"/>
      <c r="J54" s="138" t="s">
        <v>71</v>
      </c>
      <c r="K54" s="139"/>
      <c r="L54" s="139"/>
      <c r="M54" s="139"/>
      <c r="N54" s="139"/>
      <c r="O54" s="139"/>
      <c r="P54" s="139"/>
      <c r="Q54" s="47">
        <v>3</v>
      </c>
      <c r="R54" s="4"/>
      <c r="S54" s="1"/>
    </row>
    <row r="55" spans="1:19" x14ac:dyDescent="0.25">
      <c r="A55" s="7" t="s">
        <v>34</v>
      </c>
      <c r="B55" s="11">
        <v>11</v>
      </c>
      <c r="C55" s="13">
        <v>13</v>
      </c>
      <c r="D55" s="23">
        <v>4</v>
      </c>
      <c r="E55" s="66">
        <v>1</v>
      </c>
      <c r="F55" s="66">
        <v>2</v>
      </c>
      <c r="G55" s="66">
        <v>0</v>
      </c>
      <c r="H55" s="26">
        <f t="shared" si="10"/>
        <v>31</v>
      </c>
      <c r="I55" s="1"/>
      <c r="J55" s="138" t="s">
        <v>137</v>
      </c>
      <c r="K55" s="139"/>
      <c r="L55" s="139"/>
      <c r="M55" s="139"/>
      <c r="N55" s="139"/>
      <c r="O55" s="139"/>
      <c r="P55" s="139"/>
      <c r="Q55" s="47">
        <f>(H12)</f>
        <v>28372</v>
      </c>
      <c r="R55" s="4"/>
      <c r="S55" s="1"/>
    </row>
    <row r="56" spans="1:19" x14ac:dyDescent="0.25">
      <c r="A56" s="7" t="s">
        <v>33</v>
      </c>
      <c r="B56" s="13">
        <v>360</v>
      </c>
      <c r="C56" s="13">
        <v>757</v>
      </c>
      <c r="D56" s="25">
        <v>308</v>
      </c>
      <c r="E56" s="66">
        <v>19</v>
      </c>
      <c r="F56" s="66">
        <v>8</v>
      </c>
      <c r="G56" s="66">
        <v>0</v>
      </c>
      <c r="H56" s="26">
        <f t="shared" si="10"/>
        <v>1452</v>
      </c>
      <c r="I56" s="1"/>
      <c r="J56" s="138" t="s">
        <v>138</v>
      </c>
      <c r="K56" s="139"/>
      <c r="L56" s="139"/>
      <c r="M56" s="139"/>
      <c r="N56" s="139"/>
      <c r="O56" s="139"/>
      <c r="P56" s="139"/>
      <c r="Q56" s="48">
        <f>(H51)</f>
        <v>12761</v>
      </c>
      <c r="R56" s="4"/>
      <c r="S56" s="1"/>
    </row>
    <row r="57" spans="1:19" x14ac:dyDescent="0.25">
      <c r="A57" s="7" t="s">
        <v>2</v>
      </c>
      <c r="B57" s="11">
        <v>165</v>
      </c>
      <c r="C57" s="11">
        <v>1</v>
      </c>
      <c r="D57" s="23">
        <v>45</v>
      </c>
      <c r="E57" s="66">
        <v>2</v>
      </c>
      <c r="F57" s="66">
        <v>1</v>
      </c>
      <c r="G57" s="66">
        <v>0</v>
      </c>
      <c r="H57" s="26">
        <f t="shared" si="10"/>
        <v>214</v>
      </c>
      <c r="I57" s="1"/>
      <c r="J57" s="138" t="s">
        <v>140</v>
      </c>
      <c r="K57" s="139"/>
      <c r="L57" s="139"/>
      <c r="M57" s="139"/>
      <c r="N57" s="139"/>
      <c r="O57" s="139"/>
      <c r="P57" s="139"/>
      <c r="Q57" s="48">
        <f>(H69)</f>
        <v>734</v>
      </c>
      <c r="R57" s="4"/>
      <c r="S57" s="1"/>
    </row>
    <row r="58" spans="1:19" x14ac:dyDescent="0.25">
      <c r="A58" s="7" t="s">
        <v>88</v>
      </c>
      <c r="B58" s="11">
        <v>14</v>
      </c>
      <c r="C58" s="11">
        <v>0</v>
      </c>
      <c r="D58" s="23">
        <v>6</v>
      </c>
      <c r="E58" s="66">
        <v>0</v>
      </c>
      <c r="F58" s="66">
        <v>0</v>
      </c>
      <c r="G58" s="66">
        <v>0</v>
      </c>
      <c r="H58" s="26">
        <f t="shared" si="10"/>
        <v>20</v>
      </c>
      <c r="I58" s="1"/>
      <c r="J58" s="138" t="s">
        <v>144</v>
      </c>
      <c r="K58" s="139"/>
      <c r="L58" s="139"/>
      <c r="M58" s="139"/>
      <c r="N58" s="139"/>
      <c r="O58" s="139"/>
      <c r="P58" s="139"/>
      <c r="Q58" s="48">
        <f>H82</f>
        <v>1914</v>
      </c>
      <c r="R58" s="4"/>
      <c r="S58" s="1"/>
    </row>
    <row r="59" spans="1:19" x14ac:dyDescent="0.25">
      <c r="A59" s="7" t="s">
        <v>89</v>
      </c>
      <c r="B59" s="11">
        <v>6</v>
      </c>
      <c r="C59" s="11">
        <v>0</v>
      </c>
      <c r="D59" s="23">
        <v>1</v>
      </c>
      <c r="E59" s="66">
        <v>1</v>
      </c>
      <c r="F59" s="66">
        <v>0</v>
      </c>
      <c r="G59" s="66">
        <v>0</v>
      </c>
      <c r="H59" s="26">
        <f t="shared" si="10"/>
        <v>8</v>
      </c>
      <c r="I59" s="1"/>
      <c r="J59" s="138" t="s">
        <v>141</v>
      </c>
      <c r="K59" s="139"/>
      <c r="L59" s="139"/>
      <c r="M59" s="139"/>
      <c r="N59" s="139"/>
      <c r="O59" s="139"/>
      <c r="P59" s="139"/>
      <c r="Q59" s="48">
        <f>H95</f>
        <v>4458</v>
      </c>
      <c r="R59" s="4"/>
      <c r="S59" s="1"/>
    </row>
    <row r="60" spans="1:19" ht="16.5" customHeight="1" x14ac:dyDescent="0.25">
      <c r="A60" s="7" t="s">
        <v>35</v>
      </c>
      <c r="B60" s="11">
        <v>554</v>
      </c>
      <c r="C60" s="11">
        <v>832</v>
      </c>
      <c r="D60" s="23">
        <v>320</v>
      </c>
      <c r="E60" s="66">
        <v>17</v>
      </c>
      <c r="F60" s="66">
        <v>11</v>
      </c>
      <c r="G60" s="66">
        <v>0</v>
      </c>
      <c r="H60" s="26">
        <f t="shared" si="10"/>
        <v>1734</v>
      </c>
      <c r="I60" s="1"/>
      <c r="J60" s="138" t="s">
        <v>143</v>
      </c>
      <c r="K60" s="139"/>
      <c r="L60" s="139"/>
      <c r="M60" s="139"/>
      <c r="N60" s="139"/>
      <c r="O60" s="139"/>
      <c r="P60" s="139"/>
      <c r="Q60" s="63">
        <f>Q11</f>
        <v>1017</v>
      </c>
      <c r="R60" s="4"/>
      <c r="S60" s="1"/>
    </row>
    <row r="61" spans="1:19" x14ac:dyDescent="0.25">
      <c r="A61" s="7" t="s">
        <v>36</v>
      </c>
      <c r="B61" s="11">
        <v>41</v>
      </c>
      <c r="C61" s="11">
        <v>2</v>
      </c>
      <c r="D61" s="23">
        <v>20</v>
      </c>
      <c r="E61" s="66">
        <v>2</v>
      </c>
      <c r="F61" s="66">
        <v>1</v>
      </c>
      <c r="G61" s="66">
        <v>0</v>
      </c>
      <c r="H61" s="26">
        <f t="shared" si="10"/>
        <v>66</v>
      </c>
      <c r="I61" s="1"/>
      <c r="J61" s="138" t="s">
        <v>145</v>
      </c>
      <c r="K61" s="139"/>
      <c r="L61" s="139"/>
      <c r="M61" s="139"/>
      <c r="N61" s="139"/>
      <c r="O61" s="139"/>
      <c r="P61" s="139"/>
      <c r="Q61" s="41">
        <f>Q28</f>
        <v>937</v>
      </c>
      <c r="R61" s="4"/>
      <c r="S61" s="1"/>
    </row>
    <row r="62" spans="1:19" ht="15.75" thickBot="1" x14ac:dyDescent="0.3">
      <c r="A62" s="7" t="s">
        <v>119</v>
      </c>
      <c r="B62" s="11">
        <v>0</v>
      </c>
      <c r="C62" s="10">
        <v>0</v>
      </c>
      <c r="D62" s="23">
        <v>0</v>
      </c>
      <c r="E62" s="66">
        <v>0</v>
      </c>
      <c r="F62" s="66">
        <v>0</v>
      </c>
      <c r="G62" s="66">
        <v>0</v>
      </c>
      <c r="H62" s="26">
        <f>SUM(B62:G62)</f>
        <v>0</v>
      </c>
      <c r="I62" s="1"/>
      <c r="J62" s="144" t="s">
        <v>151</v>
      </c>
      <c r="K62" s="145"/>
      <c r="L62" s="145"/>
      <c r="M62" s="145"/>
      <c r="N62" s="145"/>
      <c r="O62" s="145"/>
      <c r="P62" s="145"/>
      <c r="Q62" s="64">
        <f>Q41</f>
        <v>769</v>
      </c>
      <c r="R62" s="4"/>
      <c r="S62" s="1"/>
    </row>
    <row r="63" spans="1:19" ht="15.75" thickBot="1" x14ac:dyDescent="0.3">
      <c r="A63" s="7" t="s">
        <v>118</v>
      </c>
      <c r="B63" s="11">
        <v>16</v>
      </c>
      <c r="C63" s="11">
        <v>0</v>
      </c>
      <c r="D63" s="23">
        <v>4</v>
      </c>
      <c r="E63" s="66">
        <v>1</v>
      </c>
      <c r="F63" s="66">
        <v>1</v>
      </c>
      <c r="G63" s="66">
        <v>0</v>
      </c>
      <c r="H63" s="33">
        <f>SUM(B63:G63)</f>
        <v>22</v>
      </c>
      <c r="I63" s="1"/>
      <c r="M63" s="53"/>
      <c r="N63" s="53"/>
      <c r="O63" s="53"/>
      <c r="P63" s="39" t="s">
        <v>11</v>
      </c>
      <c r="Q63" s="61">
        <f>SUM(Q54:Q62)</f>
        <v>50965</v>
      </c>
      <c r="R63" s="4"/>
      <c r="S63" s="1"/>
    </row>
    <row r="64" spans="1:19" x14ac:dyDescent="0.25">
      <c r="A64" s="8" t="s">
        <v>37</v>
      </c>
      <c r="B64" s="31">
        <v>279</v>
      </c>
      <c r="C64" s="20">
        <v>144</v>
      </c>
      <c r="D64" s="42">
        <v>75</v>
      </c>
      <c r="E64" s="65">
        <v>7</v>
      </c>
      <c r="F64" s="65">
        <v>9</v>
      </c>
      <c r="G64" s="65">
        <v>0</v>
      </c>
      <c r="H64" s="26">
        <f t="shared" si="10"/>
        <v>514</v>
      </c>
      <c r="I64" s="1"/>
      <c r="P64" s="1"/>
      <c r="Q64" s="1"/>
      <c r="R64" s="4"/>
      <c r="S64" s="1"/>
    </row>
    <row r="65" spans="1:19" x14ac:dyDescent="0.25">
      <c r="A65" s="7" t="s">
        <v>38</v>
      </c>
      <c r="B65" s="11">
        <v>673</v>
      </c>
      <c r="C65" s="10">
        <v>390</v>
      </c>
      <c r="D65" s="23">
        <v>362</v>
      </c>
      <c r="E65" s="66">
        <v>23</v>
      </c>
      <c r="F65" s="66">
        <v>12</v>
      </c>
      <c r="G65" s="66">
        <v>0</v>
      </c>
      <c r="H65" s="26">
        <f t="shared" si="10"/>
        <v>1460</v>
      </c>
      <c r="I65" s="1"/>
      <c r="R65" s="4"/>
      <c r="S65" s="1"/>
    </row>
    <row r="66" spans="1:19" x14ac:dyDescent="0.25">
      <c r="A66" s="7" t="s">
        <v>73</v>
      </c>
      <c r="B66" s="11">
        <v>673</v>
      </c>
      <c r="C66" s="10">
        <v>390</v>
      </c>
      <c r="D66" s="23">
        <v>362</v>
      </c>
      <c r="E66" s="11">
        <v>23</v>
      </c>
      <c r="F66" s="11">
        <v>12</v>
      </c>
      <c r="G66" s="11">
        <v>0</v>
      </c>
      <c r="H66" s="26">
        <f t="shared" si="10"/>
        <v>1460</v>
      </c>
      <c r="I66" s="1"/>
      <c r="J66" s="1"/>
      <c r="K66" s="1"/>
      <c r="L66" s="1"/>
      <c r="M66" s="1"/>
      <c r="N66" s="1"/>
      <c r="O66" s="1"/>
      <c r="R66" s="4"/>
      <c r="S66" s="1"/>
    </row>
    <row r="67" spans="1:19" x14ac:dyDescent="0.25">
      <c r="A67" s="7" t="s">
        <v>39</v>
      </c>
      <c r="B67" s="11">
        <v>256</v>
      </c>
      <c r="C67" s="10">
        <v>163</v>
      </c>
      <c r="D67" s="23">
        <v>38</v>
      </c>
      <c r="E67" s="11">
        <v>2</v>
      </c>
      <c r="F67" s="11">
        <v>2</v>
      </c>
      <c r="G67" s="11">
        <v>0</v>
      </c>
      <c r="H67" s="26">
        <f t="shared" si="10"/>
        <v>461</v>
      </c>
      <c r="I67" s="1"/>
      <c r="R67" s="4"/>
      <c r="S67" s="1"/>
    </row>
    <row r="68" spans="1:19" x14ac:dyDescent="0.25">
      <c r="A68" s="18" t="s">
        <v>40</v>
      </c>
      <c r="B68" s="19">
        <v>27</v>
      </c>
      <c r="C68" s="21">
        <v>11</v>
      </c>
      <c r="D68" s="43">
        <v>9</v>
      </c>
      <c r="E68" s="19">
        <v>0</v>
      </c>
      <c r="F68" s="19">
        <v>1</v>
      </c>
      <c r="G68" s="19">
        <v>0</v>
      </c>
      <c r="H68" s="26">
        <f t="shared" si="10"/>
        <v>48</v>
      </c>
      <c r="I68" s="1"/>
      <c r="R68" s="4"/>
      <c r="S68" s="1"/>
    </row>
    <row r="69" spans="1:19" x14ac:dyDescent="0.25">
      <c r="A69" s="73" t="s">
        <v>54</v>
      </c>
      <c r="B69" s="74">
        <f t="shared" ref="B69:G69" si="11">SUM(B70:B81)</f>
        <v>469</v>
      </c>
      <c r="C69" s="74">
        <f t="shared" si="11"/>
        <v>73</v>
      </c>
      <c r="D69" s="74">
        <f t="shared" si="11"/>
        <v>128</v>
      </c>
      <c r="E69" s="74">
        <f t="shared" si="11"/>
        <v>64</v>
      </c>
      <c r="F69" s="74">
        <f t="shared" si="11"/>
        <v>0</v>
      </c>
      <c r="G69" s="76">
        <f t="shared" si="11"/>
        <v>0</v>
      </c>
      <c r="H69" s="75">
        <f t="shared" si="10"/>
        <v>734</v>
      </c>
      <c r="I69" s="1"/>
      <c r="R69" s="4"/>
      <c r="S69" s="1"/>
    </row>
    <row r="70" spans="1:19" x14ac:dyDescent="0.25">
      <c r="A70" s="52" t="s">
        <v>55</v>
      </c>
      <c r="B70" s="65">
        <v>86</v>
      </c>
      <c r="C70" s="10">
        <v>12</v>
      </c>
      <c r="D70" s="65">
        <v>82</v>
      </c>
      <c r="E70" s="65">
        <v>6</v>
      </c>
      <c r="F70" s="11">
        <v>0</v>
      </c>
      <c r="G70" s="65">
        <v>0</v>
      </c>
      <c r="H70" s="26">
        <f t="shared" si="10"/>
        <v>186</v>
      </c>
      <c r="I70" s="1"/>
      <c r="R70" s="4"/>
      <c r="S70" s="1"/>
    </row>
    <row r="71" spans="1:19" x14ac:dyDescent="0.25">
      <c r="A71" s="52" t="s">
        <v>56</v>
      </c>
      <c r="B71" s="66">
        <v>156</v>
      </c>
      <c r="C71" s="91">
        <v>30</v>
      </c>
      <c r="D71" s="66">
        <v>10</v>
      </c>
      <c r="E71" s="66">
        <v>0</v>
      </c>
      <c r="F71" s="11">
        <v>0</v>
      </c>
      <c r="G71" s="66">
        <v>0</v>
      </c>
      <c r="H71" s="26">
        <f t="shared" si="10"/>
        <v>196</v>
      </c>
      <c r="I71" s="1"/>
      <c r="R71" s="4"/>
      <c r="S71" s="1"/>
    </row>
    <row r="72" spans="1:19" x14ac:dyDescent="0.25">
      <c r="A72" s="52" t="s">
        <v>58</v>
      </c>
      <c r="B72" s="66">
        <v>5</v>
      </c>
      <c r="C72" s="10">
        <v>0</v>
      </c>
      <c r="D72" s="66">
        <v>0</v>
      </c>
      <c r="E72" s="66">
        <v>0</v>
      </c>
      <c r="F72" s="11">
        <v>0</v>
      </c>
      <c r="G72" s="66">
        <v>0</v>
      </c>
      <c r="H72" s="26">
        <f t="shared" si="10"/>
        <v>5</v>
      </c>
      <c r="I72" s="1"/>
      <c r="R72" s="4"/>
      <c r="S72" s="1"/>
    </row>
    <row r="73" spans="1:19" x14ac:dyDescent="0.25">
      <c r="A73" s="52" t="s">
        <v>68</v>
      </c>
      <c r="B73" s="66">
        <v>60</v>
      </c>
      <c r="C73" s="91">
        <v>6</v>
      </c>
      <c r="D73" s="66">
        <v>13</v>
      </c>
      <c r="E73" s="66">
        <v>5</v>
      </c>
      <c r="F73" s="92">
        <v>0</v>
      </c>
      <c r="G73" s="66">
        <v>0</v>
      </c>
      <c r="H73" s="26">
        <f t="shared" si="10"/>
        <v>84</v>
      </c>
      <c r="I73" s="1"/>
      <c r="R73" s="4"/>
      <c r="S73" s="1"/>
    </row>
    <row r="74" spans="1:19" x14ac:dyDescent="0.25">
      <c r="A74" s="52" t="s">
        <v>69</v>
      </c>
      <c r="B74" s="66">
        <v>21</v>
      </c>
      <c r="C74" s="91">
        <v>4</v>
      </c>
      <c r="D74" s="66">
        <v>1</v>
      </c>
      <c r="E74" s="66">
        <v>0</v>
      </c>
      <c r="F74" s="92">
        <v>0</v>
      </c>
      <c r="G74" s="66">
        <v>0</v>
      </c>
      <c r="H74" s="26">
        <f t="shared" si="10"/>
        <v>26</v>
      </c>
      <c r="I74" s="1"/>
      <c r="R74" s="4"/>
      <c r="S74" s="1"/>
    </row>
    <row r="75" spans="1:19" x14ac:dyDescent="0.25">
      <c r="A75" s="52" t="s">
        <v>57</v>
      </c>
      <c r="B75" s="66">
        <v>4</v>
      </c>
      <c r="C75" s="91">
        <v>0</v>
      </c>
      <c r="D75" s="66">
        <v>2</v>
      </c>
      <c r="E75" s="66">
        <v>23</v>
      </c>
      <c r="F75" s="91">
        <v>0</v>
      </c>
      <c r="G75" s="66">
        <v>0</v>
      </c>
      <c r="H75" s="26">
        <f t="shared" si="10"/>
        <v>29</v>
      </c>
      <c r="I75" s="1"/>
      <c r="R75" s="4"/>
      <c r="S75" s="1"/>
    </row>
    <row r="76" spans="1:19" x14ac:dyDescent="0.25">
      <c r="A76" s="52" t="s">
        <v>142</v>
      </c>
      <c r="B76" s="66">
        <v>32</v>
      </c>
      <c r="C76" s="91">
        <v>5</v>
      </c>
      <c r="D76" s="66">
        <v>7</v>
      </c>
      <c r="E76" s="66">
        <v>3</v>
      </c>
      <c r="F76" s="92">
        <v>0</v>
      </c>
      <c r="G76" s="66">
        <v>0</v>
      </c>
      <c r="H76" s="26">
        <f t="shared" si="10"/>
        <v>47</v>
      </c>
      <c r="I76" s="1"/>
      <c r="R76" s="4"/>
      <c r="S76" s="1"/>
    </row>
    <row r="77" spans="1:19" x14ac:dyDescent="0.25">
      <c r="A77" s="52" t="s">
        <v>59</v>
      </c>
      <c r="B77" s="66">
        <v>3</v>
      </c>
      <c r="C77" s="91">
        <v>0</v>
      </c>
      <c r="D77" s="66">
        <v>1</v>
      </c>
      <c r="E77" s="66">
        <v>23</v>
      </c>
      <c r="F77" s="92">
        <v>0</v>
      </c>
      <c r="G77" s="66">
        <v>0</v>
      </c>
      <c r="H77" s="26">
        <f t="shared" si="10"/>
        <v>27</v>
      </c>
      <c r="I77" s="1"/>
      <c r="R77" s="4"/>
      <c r="S77" s="1"/>
    </row>
    <row r="78" spans="1:19" x14ac:dyDescent="0.25">
      <c r="A78" s="52" t="s">
        <v>60</v>
      </c>
      <c r="B78" s="66">
        <v>32</v>
      </c>
      <c r="C78" s="91">
        <v>4</v>
      </c>
      <c r="D78" s="66">
        <v>5</v>
      </c>
      <c r="E78" s="66">
        <v>2</v>
      </c>
      <c r="F78" s="91">
        <v>0</v>
      </c>
      <c r="G78" s="66">
        <v>0</v>
      </c>
      <c r="H78" s="26">
        <f t="shared" si="10"/>
        <v>43</v>
      </c>
      <c r="I78" s="1"/>
      <c r="R78" s="4"/>
      <c r="S78" s="1"/>
    </row>
    <row r="79" spans="1:19" x14ac:dyDescent="0.25">
      <c r="A79" s="52" t="s">
        <v>106</v>
      </c>
      <c r="B79" s="66">
        <v>21</v>
      </c>
      <c r="C79" s="91">
        <v>4</v>
      </c>
      <c r="D79" s="66">
        <v>1</v>
      </c>
      <c r="E79" s="66">
        <v>0</v>
      </c>
      <c r="F79" s="91">
        <v>0</v>
      </c>
      <c r="G79" s="66">
        <v>0</v>
      </c>
      <c r="H79" s="26">
        <f t="shared" si="10"/>
        <v>26</v>
      </c>
      <c r="I79" s="1"/>
      <c r="R79" s="4"/>
      <c r="S79" s="1"/>
    </row>
    <row r="80" spans="1:19" x14ac:dyDescent="0.25">
      <c r="A80" s="52" t="s">
        <v>132</v>
      </c>
      <c r="B80" s="66">
        <v>21</v>
      </c>
      <c r="C80" s="91">
        <v>4</v>
      </c>
      <c r="D80" s="66">
        <v>1</v>
      </c>
      <c r="E80" s="66">
        <v>0</v>
      </c>
      <c r="F80" s="92">
        <v>0</v>
      </c>
      <c r="G80" s="66">
        <v>0</v>
      </c>
      <c r="H80" s="26">
        <f t="shared" si="10"/>
        <v>26</v>
      </c>
      <c r="I80" s="1"/>
      <c r="R80" s="4"/>
      <c r="S80" s="1"/>
    </row>
    <row r="81" spans="1:19" x14ac:dyDescent="0.25">
      <c r="A81" s="52" t="s">
        <v>133</v>
      </c>
      <c r="B81" s="93">
        <v>28</v>
      </c>
      <c r="C81" s="91">
        <v>4</v>
      </c>
      <c r="D81" s="93">
        <v>5</v>
      </c>
      <c r="E81" s="93">
        <v>2</v>
      </c>
      <c r="F81" s="92">
        <v>0</v>
      </c>
      <c r="G81" s="93">
        <v>0</v>
      </c>
      <c r="H81" s="26">
        <f t="shared" si="10"/>
        <v>39</v>
      </c>
      <c r="I81" s="1"/>
      <c r="R81" s="4"/>
      <c r="S81" s="1"/>
    </row>
    <row r="82" spans="1:19" x14ac:dyDescent="0.25">
      <c r="A82" s="73" t="s">
        <v>70</v>
      </c>
      <c r="B82" s="74">
        <f>SUM(B83:B94)</f>
        <v>246</v>
      </c>
      <c r="C82" s="74">
        <f t="shared" ref="C82:G82" si="12">SUM(C83:C94)</f>
        <v>770</v>
      </c>
      <c r="D82" s="74">
        <f t="shared" si="12"/>
        <v>843</v>
      </c>
      <c r="E82" s="74">
        <f t="shared" si="12"/>
        <v>49</v>
      </c>
      <c r="F82" s="74">
        <f t="shared" si="12"/>
        <v>6</v>
      </c>
      <c r="G82" s="74">
        <f t="shared" si="12"/>
        <v>0</v>
      </c>
      <c r="H82" s="75">
        <f t="shared" si="10"/>
        <v>1914</v>
      </c>
      <c r="I82" s="1"/>
      <c r="R82" s="4"/>
      <c r="S82" s="1"/>
    </row>
    <row r="83" spans="1:19" x14ac:dyDescent="0.25">
      <c r="A83" s="22" t="s">
        <v>84</v>
      </c>
      <c r="B83" s="11">
        <v>46</v>
      </c>
      <c r="C83" s="10">
        <v>0</v>
      </c>
      <c r="D83" s="11">
        <v>73</v>
      </c>
      <c r="E83" s="11">
        <v>3</v>
      </c>
      <c r="F83" s="10">
        <v>0</v>
      </c>
      <c r="G83" s="11">
        <v>0</v>
      </c>
      <c r="H83" s="108">
        <f t="shared" si="10"/>
        <v>122</v>
      </c>
      <c r="I83" s="1"/>
      <c r="R83" s="4"/>
      <c r="S83" s="1"/>
    </row>
    <row r="84" spans="1:19" x14ac:dyDescent="0.25">
      <c r="A84" s="22" t="s">
        <v>114</v>
      </c>
      <c r="B84" s="11">
        <v>30</v>
      </c>
      <c r="C84" s="10">
        <v>0</v>
      </c>
      <c r="D84" s="11">
        <v>67</v>
      </c>
      <c r="E84" s="11">
        <v>6</v>
      </c>
      <c r="F84" s="10">
        <v>0</v>
      </c>
      <c r="G84" s="11">
        <v>0</v>
      </c>
      <c r="H84" s="26">
        <f t="shared" si="10"/>
        <v>103</v>
      </c>
      <c r="I84" s="1"/>
      <c r="R84" s="4"/>
      <c r="S84" s="1"/>
    </row>
    <row r="85" spans="1:19" ht="14.25" customHeight="1" x14ac:dyDescent="0.25">
      <c r="A85" s="22" t="s">
        <v>61</v>
      </c>
      <c r="B85" s="11">
        <v>5</v>
      </c>
      <c r="C85" s="10">
        <v>32</v>
      </c>
      <c r="D85" s="11">
        <v>7</v>
      </c>
      <c r="E85" s="11">
        <v>1</v>
      </c>
      <c r="F85" s="10">
        <v>0</v>
      </c>
      <c r="G85" s="11">
        <v>0</v>
      </c>
      <c r="H85" s="26">
        <f t="shared" si="10"/>
        <v>45</v>
      </c>
      <c r="I85" s="1"/>
      <c r="R85" s="4"/>
      <c r="S85" s="1"/>
    </row>
    <row r="86" spans="1:19" x14ac:dyDescent="0.25">
      <c r="A86" s="22" t="s">
        <v>62</v>
      </c>
      <c r="B86" s="11">
        <v>16</v>
      </c>
      <c r="C86" s="10">
        <v>1</v>
      </c>
      <c r="D86" s="11">
        <v>126</v>
      </c>
      <c r="E86" s="11">
        <v>4</v>
      </c>
      <c r="F86" s="10">
        <v>2</v>
      </c>
      <c r="G86" s="11">
        <v>0</v>
      </c>
      <c r="H86" s="26">
        <f t="shared" si="10"/>
        <v>149</v>
      </c>
      <c r="I86" s="1"/>
      <c r="J86" s="133"/>
      <c r="K86" s="133"/>
      <c r="L86" s="133"/>
      <c r="M86" s="133"/>
      <c r="R86" s="4"/>
      <c r="S86" s="1"/>
    </row>
    <row r="87" spans="1:19" x14ac:dyDescent="0.25">
      <c r="A87" s="22" t="s">
        <v>93</v>
      </c>
      <c r="B87" s="11">
        <v>0</v>
      </c>
      <c r="C87" s="10">
        <v>0</v>
      </c>
      <c r="D87" s="11">
        <v>0</v>
      </c>
      <c r="E87" s="11">
        <v>0</v>
      </c>
      <c r="F87" s="10">
        <v>0</v>
      </c>
      <c r="G87" s="11">
        <v>0</v>
      </c>
      <c r="H87" s="26">
        <f t="shared" si="10"/>
        <v>0</v>
      </c>
      <c r="I87" s="1"/>
      <c r="J87" s="133"/>
      <c r="R87" s="4"/>
      <c r="S87" s="1"/>
    </row>
    <row r="88" spans="1:19" x14ac:dyDescent="0.25">
      <c r="A88" s="22" t="s">
        <v>94</v>
      </c>
      <c r="B88" s="11">
        <v>0</v>
      </c>
      <c r="C88" s="10">
        <v>0</v>
      </c>
      <c r="D88" s="11">
        <v>0</v>
      </c>
      <c r="E88" s="11">
        <v>0</v>
      </c>
      <c r="F88" s="10">
        <v>0</v>
      </c>
      <c r="G88" s="11">
        <v>0</v>
      </c>
      <c r="H88" s="33">
        <f t="shared" si="10"/>
        <v>0</v>
      </c>
      <c r="I88" s="1"/>
      <c r="J88" s="133"/>
      <c r="R88" s="4"/>
      <c r="S88" s="1"/>
    </row>
    <row r="89" spans="1:19" x14ac:dyDescent="0.25">
      <c r="A89" s="81" t="s">
        <v>108</v>
      </c>
      <c r="B89" s="82">
        <v>128</v>
      </c>
      <c r="C89" s="83">
        <v>689</v>
      </c>
      <c r="D89" s="82">
        <v>452</v>
      </c>
      <c r="E89" s="82">
        <v>25</v>
      </c>
      <c r="F89" s="85">
        <v>1</v>
      </c>
      <c r="G89" s="82">
        <v>0</v>
      </c>
      <c r="H89" s="84">
        <f>SUM(B89:G89)</f>
        <v>1295</v>
      </c>
      <c r="I89" s="1"/>
      <c r="J89" s="133"/>
      <c r="R89" s="4"/>
      <c r="S89" s="1"/>
    </row>
    <row r="90" spans="1:19" x14ac:dyDescent="0.25">
      <c r="A90" s="32" t="s">
        <v>63</v>
      </c>
      <c r="B90" s="31">
        <v>1</v>
      </c>
      <c r="C90" s="20">
        <v>0</v>
      </c>
      <c r="D90" s="31">
        <v>2</v>
      </c>
      <c r="E90" s="31">
        <v>0</v>
      </c>
      <c r="F90" s="20">
        <v>0</v>
      </c>
      <c r="G90" s="31">
        <v>0</v>
      </c>
      <c r="H90" s="26">
        <f t="shared" si="10"/>
        <v>3</v>
      </c>
      <c r="I90" s="1"/>
      <c r="J90" s="133"/>
      <c r="R90" s="4"/>
      <c r="S90" s="1"/>
    </row>
    <row r="91" spans="1:19" x14ac:dyDescent="0.25">
      <c r="A91" s="22" t="s">
        <v>153</v>
      </c>
      <c r="B91" s="11">
        <v>1</v>
      </c>
      <c r="C91" s="10">
        <v>0</v>
      </c>
      <c r="D91" s="11">
        <v>1</v>
      </c>
      <c r="E91" s="11">
        <v>0</v>
      </c>
      <c r="F91" s="10">
        <v>0</v>
      </c>
      <c r="G91" s="11">
        <v>0</v>
      </c>
      <c r="H91" s="26">
        <f t="shared" si="10"/>
        <v>2</v>
      </c>
      <c r="I91" s="1"/>
      <c r="J91" s="133"/>
      <c r="R91" s="4"/>
      <c r="S91" s="1"/>
    </row>
    <row r="92" spans="1:19" x14ac:dyDescent="0.25">
      <c r="A92" s="22" t="s">
        <v>107</v>
      </c>
      <c r="B92" s="11">
        <v>18</v>
      </c>
      <c r="C92" s="10">
        <v>48</v>
      </c>
      <c r="D92" s="11">
        <v>108</v>
      </c>
      <c r="E92" s="11">
        <v>8</v>
      </c>
      <c r="F92" s="10">
        <v>2</v>
      </c>
      <c r="G92" s="11">
        <v>0</v>
      </c>
      <c r="H92" s="26">
        <f t="shared" si="10"/>
        <v>184</v>
      </c>
      <c r="I92" s="1"/>
      <c r="J92" s="133"/>
      <c r="R92" s="4"/>
      <c r="S92" s="1"/>
    </row>
    <row r="93" spans="1:19" x14ac:dyDescent="0.25">
      <c r="A93" s="22" t="s">
        <v>210</v>
      </c>
      <c r="B93" s="11">
        <v>0</v>
      </c>
      <c r="C93" s="10">
        <v>0</v>
      </c>
      <c r="D93" s="11">
        <v>6</v>
      </c>
      <c r="E93" s="11">
        <v>2</v>
      </c>
      <c r="F93" s="10">
        <v>1</v>
      </c>
      <c r="G93" s="11">
        <v>0</v>
      </c>
      <c r="H93" s="26">
        <f t="shared" si="10"/>
        <v>9</v>
      </c>
      <c r="I93" s="1"/>
      <c r="R93" s="4"/>
      <c r="S93" s="1"/>
    </row>
    <row r="94" spans="1:19" x14ac:dyDescent="0.25">
      <c r="A94" s="22" t="s">
        <v>182</v>
      </c>
      <c r="B94" s="11">
        <v>1</v>
      </c>
      <c r="C94" s="10">
        <v>0</v>
      </c>
      <c r="D94" s="11">
        <v>1</v>
      </c>
      <c r="E94" s="11">
        <v>0</v>
      </c>
      <c r="F94" s="10">
        <v>0</v>
      </c>
      <c r="G94" s="11">
        <v>0</v>
      </c>
      <c r="H94" s="26">
        <f t="shared" si="10"/>
        <v>2</v>
      </c>
      <c r="I94" s="1"/>
      <c r="R94" s="4"/>
      <c r="S94" s="1"/>
    </row>
    <row r="95" spans="1:19" x14ac:dyDescent="0.25">
      <c r="A95" s="73" t="s">
        <v>3</v>
      </c>
      <c r="B95" s="74">
        <f>SUM(B96:B155)</f>
        <v>1148</v>
      </c>
      <c r="C95" s="74">
        <f t="shared" ref="C95:G95" si="13">SUM(C96:C155)</f>
        <v>1039</v>
      </c>
      <c r="D95" s="74">
        <f t="shared" si="13"/>
        <v>2054</v>
      </c>
      <c r="E95" s="74">
        <f t="shared" si="13"/>
        <v>134</v>
      </c>
      <c r="F95" s="74">
        <f t="shared" si="13"/>
        <v>83</v>
      </c>
      <c r="G95" s="74">
        <f t="shared" si="13"/>
        <v>0</v>
      </c>
      <c r="H95" s="75">
        <f t="shared" si="10"/>
        <v>4458</v>
      </c>
      <c r="I95" s="1"/>
      <c r="R95" s="4"/>
      <c r="S95" s="1"/>
    </row>
    <row r="96" spans="1:19" x14ac:dyDescent="0.25">
      <c r="A96" s="7" t="s">
        <v>113</v>
      </c>
      <c r="B96" s="11">
        <v>109</v>
      </c>
      <c r="C96" s="11">
        <v>341</v>
      </c>
      <c r="D96" s="11">
        <v>256</v>
      </c>
      <c r="E96" s="11">
        <v>5</v>
      </c>
      <c r="F96" s="17">
        <v>10</v>
      </c>
      <c r="G96" s="11">
        <v>0</v>
      </c>
      <c r="H96" s="14">
        <f t="shared" si="10"/>
        <v>721</v>
      </c>
      <c r="I96" s="1"/>
      <c r="R96" s="4"/>
      <c r="S96" s="1"/>
    </row>
    <row r="97" spans="1:19" x14ac:dyDescent="0.25">
      <c r="A97" s="7" t="s">
        <v>112</v>
      </c>
      <c r="B97" s="11">
        <v>0</v>
      </c>
      <c r="C97" s="11">
        <v>0</v>
      </c>
      <c r="D97" s="11">
        <v>0</v>
      </c>
      <c r="E97" s="11">
        <v>0</v>
      </c>
      <c r="F97" s="17">
        <v>0</v>
      </c>
      <c r="G97" s="11">
        <v>0</v>
      </c>
      <c r="H97" s="27">
        <f t="shared" si="10"/>
        <v>0</v>
      </c>
      <c r="I97" s="1"/>
      <c r="R97" s="4"/>
      <c r="S97" s="1"/>
    </row>
    <row r="98" spans="1:19" x14ac:dyDescent="0.25">
      <c r="A98" s="7" t="s">
        <v>41</v>
      </c>
      <c r="B98" s="11">
        <v>2</v>
      </c>
      <c r="C98" s="11">
        <v>0</v>
      </c>
      <c r="D98" s="11">
        <v>2</v>
      </c>
      <c r="E98" s="11">
        <v>0</v>
      </c>
      <c r="F98" s="17">
        <v>0</v>
      </c>
      <c r="G98" s="11">
        <v>0</v>
      </c>
      <c r="H98" s="27">
        <f t="shared" si="10"/>
        <v>4</v>
      </c>
      <c r="I98" s="1"/>
      <c r="R98" s="4"/>
      <c r="S98" s="1"/>
    </row>
    <row r="99" spans="1:19" x14ac:dyDescent="0.25">
      <c r="A99" s="7" t="s">
        <v>192</v>
      </c>
      <c r="B99" s="11">
        <v>1</v>
      </c>
      <c r="C99" s="11">
        <v>0</v>
      </c>
      <c r="D99" s="11">
        <v>3</v>
      </c>
      <c r="E99" s="11">
        <v>0</v>
      </c>
      <c r="F99" s="17">
        <v>0</v>
      </c>
      <c r="G99" s="11">
        <v>0</v>
      </c>
      <c r="H99" s="27">
        <f t="shared" si="10"/>
        <v>4</v>
      </c>
      <c r="I99" s="1"/>
      <c r="R99" s="4"/>
      <c r="S99" s="1"/>
    </row>
    <row r="100" spans="1:19" x14ac:dyDescent="0.25">
      <c r="A100" s="7" t="s">
        <v>213</v>
      </c>
      <c r="B100" s="11"/>
      <c r="C100" s="11"/>
      <c r="D100" s="11"/>
      <c r="E100" s="11"/>
      <c r="F100" s="17"/>
      <c r="G100" s="11"/>
      <c r="H100" s="27"/>
      <c r="I100" s="1"/>
      <c r="R100" s="4"/>
      <c r="S100" s="1"/>
    </row>
    <row r="101" spans="1:19" x14ac:dyDescent="0.25">
      <c r="A101" s="7" t="s">
        <v>214</v>
      </c>
      <c r="B101" s="11"/>
      <c r="C101" s="11"/>
      <c r="D101" s="11"/>
      <c r="E101" s="11"/>
      <c r="F101" s="17"/>
      <c r="G101" s="11"/>
      <c r="H101" s="27"/>
      <c r="I101" s="1"/>
      <c r="R101" s="4"/>
      <c r="S101" s="1"/>
    </row>
    <row r="102" spans="1:19" x14ac:dyDescent="0.25">
      <c r="A102" s="7" t="s">
        <v>215</v>
      </c>
      <c r="B102" s="11"/>
      <c r="C102" s="11"/>
      <c r="D102" s="11"/>
      <c r="E102" s="11"/>
      <c r="F102" s="17"/>
      <c r="G102" s="11"/>
      <c r="H102" s="27"/>
      <c r="I102" s="1"/>
      <c r="R102" s="4"/>
      <c r="S102" s="1"/>
    </row>
    <row r="103" spans="1:19" x14ac:dyDescent="0.25">
      <c r="A103" s="7"/>
      <c r="B103" s="11"/>
      <c r="C103" s="11"/>
      <c r="D103" s="11"/>
      <c r="E103" s="11"/>
      <c r="F103" s="17"/>
      <c r="G103" s="11"/>
      <c r="H103" s="27"/>
      <c r="I103" s="1"/>
      <c r="R103" s="4"/>
      <c r="S103" s="1"/>
    </row>
    <row r="104" spans="1:19" x14ac:dyDescent="0.25">
      <c r="A104" s="7"/>
      <c r="B104" s="11"/>
      <c r="C104" s="11"/>
      <c r="D104" s="11"/>
      <c r="E104" s="11"/>
      <c r="F104" s="17"/>
      <c r="G104" s="11"/>
      <c r="H104" s="27"/>
      <c r="I104" s="1"/>
      <c r="R104" s="4"/>
      <c r="S104" s="1"/>
    </row>
    <row r="105" spans="1:19" x14ac:dyDescent="0.25">
      <c r="A105" s="7" t="s">
        <v>216</v>
      </c>
      <c r="B105" s="11"/>
      <c r="C105" s="11"/>
      <c r="D105" s="11"/>
      <c r="E105" s="11"/>
      <c r="F105" s="17"/>
      <c r="G105" s="11"/>
      <c r="H105" s="27"/>
      <c r="I105" s="1"/>
      <c r="R105" s="4"/>
      <c r="S105" s="1"/>
    </row>
    <row r="106" spans="1:19" x14ac:dyDescent="0.25">
      <c r="A106" s="7" t="s">
        <v>174</v>
      </c>
      <c r="B106" s="11">
        <v>0</v>
      </c>
      <c r="C106" s="11">
        <v>0</v>
      </c>
      <c r="D106" s="11">
        <v>1</v>
      </c>
      <c r="E106" s="11">
        <v>0</v>
      </c>
      <c r="F106" s="17">
        <v>0</v>
      </c>
      <c r="G106" s="11">
        <v>0</v>
      </c>
      <c r="H106" s="27">
        <f t="shared" si="10"/>
        <v>1</v>
      </c>
      <c r="I106" s="1"/>
      <c r="R106" s="4"/>
      <c r="S106" s="1"/>
    </row>
    <row r="107" spans="1:19" x14ac:dyDescent="0.25">
      <c r="A107" s="7" t="s">
        <v>175</v>
      </c>
      <c r="B107" s="11">
        <v>0</v>
      </c>
      <c r="C107" s="11">
        <v>0</v>
      </c>
      <c r="D107" s="11">
        <v>6</v>
      </c>
      <c r="E107" s="19">
        <v>0</v>
      </c>
      <c r="F107" s="17">
        <v>0</v>
      </c>
      <c r="G107" s="11">
        <v>0</v>
      </c>
      <c r="H107" s="27">
        <f t="shared" si="10"/>
        <v>6</v>
      </c>
      <c r="I107" s="1"/>
      <c r="R107" s="4"/>
      <c r="S107" s="1"/>
    </row>
    <row r="108" spans="1:19" x14ac:dyDescent="0.25">
      <c r="A108" s="143" t="s">
        <v>109</v>
      </c>
      <c r="B108" s="143"/>
      <c r="C108" s="143"/>
      <c r="D108" s="143"/>
      <c r="E108" s="143"/>
      <c r="F108" s="143"/>
      <c r="G108" s="143"/>
      <c r="H108" s="143"/>
      <c r="I108" s="1"/>
      <c r="R108" s="4"/>
      <c r="S108" s="1"/>
    </row>
    <row r="109" spans="1:19" x14ac:dyDescent="0.25">
      <c r="A109" s="7" t="s">
        <v>123</v>
      </c>
      <c r="B109" s="31">
        <v>97</v>
      </c>
      <c r="C109" s="31">
        <v>256</v>
      </c>
      <c r="D109" s="31">
        <v>208</v>
      </c>
      <c r="E109" s="31">
        <v>6</v>
      </c>
      <c r="F109" s="11">
        <v>11</v>
      </c>
      <c r="G109" s="11">
        <v>0</v>
      </c>
      <c r="H109" s="28">
        <f t="shared" si="10"/>
        <v>578</v>
      </c>
      <c r="I109" s="1"/>
      <c r="R109" s="4"/>
      <c r="S109" s="1"/>
    </row>
    <row r="110" spans="1:19" x14ac:dyDescent="0.25">
      <c r="A110" s="7" t="s">
        <v>122</v>
      </c>
      <c r="B110" s="11">
        <v>115</v>
      </c>
      <c r="C110" s="11">
        <v>241</v>
      </c>
      <c r="D110" s="11">
        <v>282</v>
      </c>
      <c r="E110" s="11">
        <v>7</v>
      </c>
      <c r="F110" s="11">
        <v>15</v>
      </c>
      <c r="G110" s="11">
        <v>0</v>
      </c>
      <c r="H110" s="14">
        <f t="shared" si="10"/>
        <v>660</v>
      </c>
      <c r="I110" s="1"/>
      <c r="J110" s="133"/>
      <c r="K110" s="133"/>
      <c r="R110" s="4"/>
      <c r="S110" s="1"/>
    </row>
    <row r="111" spans="1:19" x14ac:dyDescent="0.25">
      <c r="A111" s="7" t="s">
        <v>121</v>
      </c>
      <c r="B111" s="11">
        <v>85</v>
      </c>
      <c r="C111" s="11">
        <v>22</v>
      </c>
      <c r="D111" s="11">
        <v>148</v>
      </c>
      <c r="E111" s="11">
        <v>4</v>
      </c>
      <c r="F111" s="11">
        <v>9</v>
      </c>
      <c r="G111" s="11">
        <v>0</v>
      </c>
      <c r="H111" s="14">
        <f t="shared" si="10"/>
        <v>268</v>
      </c>
      <c r="I111" s="1"/>
      <c r="J111" s="133"/>
      <c r="K111" s="133"/>
      <c r="R111" s="4"/>
      <c r="S111" s="1"/>
    </row>
    <row r="112" spans="1:19" x14ac:dyDescent="0.25">
      <c r="A112" s="7" t="s">
        <v>120</v>
      </c>
      <c r="B112" s="11">
        <v>99</v>
      </c>
      <c r="C112" s="11">
        <v>20</v>
      </c>
      <c r="D112" s="11">
        <v>129</v>
      </c>
      <c r="E112" s="11">
        <v>3</v>
      </c>
      <c r="F112" s="11">
        <v>10</v>
      </c>
      <c r="G112" s="11">
        <v>0</v>
      </c>
      <c r="H112" s="14">
        <f t="shared" si="10"/>
        <v>261</v>
      </c>
      <c r="I112" s="1"/>
      <c r="R112" s="4"/>
      <c r="S112" s="1"/>
    </row>
    <row r="113" spans="1:19" x14ac:dyDescent="0.25">
      <c r="A113" s="7" t="s">
        <v>124</v>
      </c>
      <c r="B113" s="11">
        <v>38</v>
      </c>
      <c r="C113" s="11">
        <v>2</v>
      </c>
      <c r="D113" s="11">
        <v>16</v>
      </c>
      <c r="E113" s="11">
        <v>26</v>
      </c>
      <c r="F113" s="11">
        <v>0</v>
      </c>
      <c r="G113" s="11">
        <v>0</v>
      </c>
      <c r="H113" s="14">
        <f t="shared" si="10"/>
        <v>82</v>
      </c>
      <c r="I113" s="1"/>
      <c r="R113" s="4"/>
      <c r="S113" s="1"/>
    </row>
    <row r="114" spans="1:19" x14ac:dyDescent="0.25">
      <c r="A114" s="7" t="s">
        <v>48</v>
      </c>
      <c r="B114" s="11">
        <v>0</v>
      </c>
      <c r="C114" s="11">
        <v>0</v>
      </c>
      <c r="D114" s="11">
        <v>0</v>
      </c>
      <c r="E114" s="11">
        <v>0</v>
      </c>
      <c r="F114" s="11">
        <v>0</v>
      </c>
      <c r="G114" s="11">
        <v>0</v>
      </c>
      <c r="H114" s="14">
        <f>SUM(B114:G114)</f>
        <v>0</v>
      </c>
      <c r="I114" s="1"/>
      <c r="R114" s="4"/>
      <c r="S114" s="1"/>
    </row>
    <row r="115" spans="1:19" x14ac:dyDescent="0.25">
      <c r="A115" s="140" t="s">
        <v>110</v>
      </c>
      <c r="B115" s="141"/>
      <c r="C115" s="141"/>
      <c r="D115" s="141"/>
      <c r="E115" s="141"/>
      <c r="F115" s="141"/>
      <c r="G115" s="141"/>
      <c r="H115" s="142"/>
      <c r="I115" s="1"/>
      <c r="R115" s="4"/>
      <c r="S115" s="1"/>
    </row>
    <row r="116" spans="1:19" x14ac:dyDescent="0.25">
      <c r="A116" s="32" t="s">
        <v>111</v>
      </c>
      <c r="B116" s="42">
        <v>37</v>
      </c>
      <c r="C116" s="42">
        <v>12</v>
      </c>
      <c r="D116" s="42">
        <v>67</v>
      </c>
      <c r="E116" s="42">
        <v>3</v>
      </c>
      <c r="F116" s="42">
        <v>0</v>
      </c>
      <c r="G116" s="31">
        <v>0</v>
      </c>
      <c r="H116" s="26">
        <f t="shared" ref="H116:H149" si="14">SUM(B116:G116)</f>
        <v>119</v>
      </c>
      <c r="I116" s="1"/>
      <c r="R116" s="4"/>
      <c r="S116" s="1"/>
    </row>
    <row r="117" spans="1:19" x14ac:dyDescent="0.25">
      <c r="A117" s="22" t="s">
        <v>158</v>
      </c>
      <c r="B117" s="23">
        <v>19</v>
      </c>
      <c r="C117" s="23">
        <v>6</v>
      </c>
      <c r="D117" s="23">
        <v>41</v>
      </c>
      <c r="E117" s="23">
        <v>0</v>
      </c>
      <c r="F117" s="23">
        <v>0</v>
      </c>
      <c r="G117" s="11">
        <v>0</v>
      </c>
      <c r="H117" s="26">
        <f t="shared" si="14"/>
        <v>66</v>
      </c>
      <c r="I117" s="1"/>
      <c r="R117" s="4"/>
      <c r="S117" s="1"/>
    </row>
    <row r="118" spans="1:19" x14ac:dyDescent="0.25">
      <c r="A118" s="22" t="s">
        <v>156</v>
      </c>
      <c r="B118" s="23">
        <v>4</v>
      </c>
      <c r="C118" s="23">
        <v>0</v>
      </c>
      <c r="D118" s="23">
        <v>0</v>
      </c>
      <c r="E118" s="23">
        <v>0</v>
      </c>
      <c r="F118" s="23">
        <v>0</v>
      </c>
      <c r="G118" s="11">
        <v>0</v>
      </c>
      <c r="H118" s="26">
        <f t="shared" si="14"/>
        <v>4</v>
      </c>
      <c r="I118" s="1"/>
      <c r="R118" s="4"/>
      <c r="S118" s="1"/>
    </row>
    <row r="119" spans="1:19" x14ac:dyDescent="0.25">
      <c r="A119" s="22" t="s">
        <v>187</v>
      </c>
      <c r="B119" s="23">
        <v>0</v>
      </c>
      <c r="C119" s="23">
        <v>0</v>
      </c>
      <c r="D119" s="23">
        <v>0</v>
      </c>
      <c r="E119" s="23">
        <v>0</v>
      </c>
      <c r="F119" s="23">
        <v>0</v>
      </c>
      <c r="G119" s="11">
        <v>0</v>
      </c>
      <c r="H119" s="26">
        <f t="shared" si="14"/>
        <v>0</v>
      </c>
      <c r="I119" s="1"/>
      <c r="R119" s="4"/>
      <c r="S119" s="1"/>
    </row>
    <row r="120" spans="1:19" x14ac:dyDescent="0.25">
      <c r="A120" s="22" t="s">
        <v>157</v>
      </c>
      <c r="B120" s="23">
        <v>18</v>
      </c>
      <c r="C120" s="23">
        <v>1</v>
      </c>
      <c r="D120" s="23">
        <v>49</v>
      </c>
      <c r="E120" s="23">
        <v>1</v>
      </c>
      <c r="F120" s="23">
        <v>0</v>
      </c>
      <c r="G120" s="11">
        <v>0</v>
      </c>
      <c r="H120" s="26">
        <f t="shared" si="14"/>
        <v>69</v>
      </c>
      <c r="I120" s="1"/>
      <c r="R120" s="4"/>
      <c r="S120" s="1"/>
    </row>
    <row r="121" spans="1:19" x14ac:dyDescent="0.25">
      <c r="A121" s="22" t="s">
        <v>125</v>
      </c>
      <c r="B121" s="23">
        <v>32</v>
      </c>
      <c r="C121" s="23">
        <v>6</v>
      </c>
      <c r="D121" s="23">
        <v>34</v>
      </c>
      <c r="E121" s="23">
        <v>0</v>
      </c>
      <c r="F121" s="23">
        <v>0</v>
      </c>
      <c r="G121" s="11">
        <v>0</v>
      </c>
      <c r="H121" s="26">
        <f t="shared" ref="H121:H138" si="15">SUM(B121:G121)</f>
        <v>72</v>
      </c>
      <c r="I121" s="1"/>
      <c r="R121" s="4"/>
      <c r="S121" s="1"/>
    </row>
    <row r="122" spans="1:19" x14ac:dyDescent="0.25">
      <c r="A122" s="22" t="s">
        <v>126</v>
      </c>
      <c r="B122" s="23">
        <v>32</v>
      </c>
      <c r="C122" s="23">
        <v>7</v>
      </c>
      <c r="D122" s="23">
        <v>26</v>
      </c>
      <c r="E122" s="23">
        <v>0</v>
      </c>
      <c r="F122" s="23">
        <v>0</v>
      </c>
      <c r="G122" s="11">
        <v>0</v>
      </c>
      <c r="H122" s="26">
        <f t="shared" si="15"/>
        <v>65</v>
      </c>
      <c r="I122" s="1"/>
      <c r="R122" s="4"/>
      <c r="S122" s="1"/>
    </row>
    <row r="123" spans="1:19" x14ac:dyDescent="0.25">
      <c r="A123" s="22" t="s">
        <v>103</v>
      </c>
      <c r="B123" s="23">
        <v>7</v>
      </c>
      <c r="C123" s="23">
        <v>0</v>
      </c>
      <c r="D123" s="23">
        <v>30</v>
      </c>
      <c r="E123" s="23">
        <v>5</v>
      </c>
      <c r="F123" s="23">
        <v>0</v>
      </c>
      <c r="G123" s="11">
        <v>0</v>
      </c>
      <c r="H123" s="26">
        <f t="shared" si="15"/>
        <v>42</v>
      </c>
      <c r="I123" s="1"/>
      <c r="R123" s="4"/>
      <c r="S123" s="1"/>
    </row>
    <row r="124" spans="1:19" x14ac:dyDescent="0.25">
      <c r="A124" s="22" t="s">
        <v>127</v>
      </c>
      <c r="B124" s="23">
        <v>31</v>
      </c>
      <c r="C124" s="23">
        <v>5</v>
      </c>
      <c r="D124" s="23">
        <v>18</v>
      </c>
      <c r="E124" s="23">
        <v>0</v>
      </c>
      <c r="F124" s="23">
        <v>0</v>
      </c>
      <c r="G124" s="11">
        <v>0</v>
      </c>
      <c r="H124" s="26">
        <f t="shared" si="15"/>
        <v>54</v>
      </c>
      <c r="I124" s="1"/>
      <c r="R124" s="4"/>
      <c r="S124" s="1"/>
    </row>
    <row r="125" spans="1:19" x14ac:dyDescent="0.25">
      <c r="A125" s="22" t="s">
        <v>128</v>
      </c>
      <c r="B125" s="23">
        <v>16</v>
      </c>
      <c r="C125" s="23">
        <v>4</v>
      </c>
      <c r="D125" s="23">
        <v>21</v>
      </c>
      <c r="E125" s="23">
        <v>0</v>
      </c>
      <c r="F125" s="23">
        <v>0</v>
      </c>
      <c r="G125" s="11">
        <v>0</v>
      </c>
      <c r="H125" s="26">
        <f t="shared" si="15"/>
        <v>41</v>
      </c>
      <c r="I125" s="1"/>
      <c r="R125" s="4"/>
      <c r="S125" s="1"/>
    </row>
    <row r="126" spans="1:19" x14ac:dyDescent="0.25">
      <c r="A126" s="22" t="s">
        <v>129</v>
      </c>
      <c r="B126" s="23">
        <v>28</v>
      </c>
      <c r="C126" s="23">
        <v>4</v>
      </c>
      <c r="D126" s="23">
        <v>19</v>
      </c>
      <c r="E126" s="23">
        <v>0</v>
      </c>
      <c r="F126" s="23">
        <v>0</v>
      </c>
      <c r="G126" s="11">
        <v>0</v>
      </c>
      <c r="H126" s="26">
        <f t="shared" si="15"/>
        <v>51</v>
      </c>
      <c r="I126" s="1"/>
      <c r="R126" s="4"/>
      <c r="S126" s="1"/>
    </row>
    <row r="127" spans="1:19" x14ac:dyDescent="0.25">
      <c r="A127" s="22" t="s">
        <v>44</v>
      </c>
      <c r="B127" s="23">
        <v>24</v>
      </c>
      <c r="C127" s="23">
        <v>3</v>
      </c>
      <c r="D127" s="23">
        <v>64</v>
      </c>
      <c r="E127" s="23">
        <v>1</v>
      </c>
      <c r="F127" s="23">
        <v>5</v>
      </c>
      <c r="G127" s="11">
        <v>0</v>
      </c>
      <c r="H127" s="26">
        <f t="shared" si="15"/>
        <v>97</v>
      </c>
      <c r="I127" s="1"/>
      <c r="R127" s="4"/>
      <c r="S127" s="1"/>
    </row>
    <row r="128" spans="1:19" x14ac:dyDescent="0.25">
      <c r="A128" s="22" t="s">
        <v>92</v>
      </c>
      <c r="B128" s="23">
        <v>6</v>
      </c>
      <c r="C128" s="23">
        <v>0</v>
      </c>
      <c r="D128" s="23">
        <v>64</v>
      </c>
      <c r="E128" s="23">
        <v>1</v>
      </c>
      <c r="F128" s="23">
        <v>4</v>
      </c>
      <c r="G128" s="11">
        <v>0</v>
      </c>
      <c r="H128" s="26">
        <f t="shared" si="15"/>
        <v>75</v>
      </c>
      <c r="I128" s="1"/>
      <c r="R128" s="4"/>
      <c r="S128" s="1"/>
    </row>
    <row r="129" spans="1:19" x14ac:dyDescent="0.25">
      <c r="A129" s="22" t="s">
        <v>45</v>
      </c>
      <c r="B129" s="23">
        <v>10</v>
      </c>
      <c r="C129" s="23">
        <v>0</v>
      </c>
      <c r="D129" s="23">
        <v>12</v>
      </c>
      <c r="E129" s="23">
        <v>2</v>
      </c>
      <c r="F129" s="23">
        <v>0</v>
      </c>
      <c r="G129" s="11">
        <v>0</v>
      </c>
      <c r="H129" s="26">
        <f t="shared" si="15"/>
        <v>24</v>
      </c>
      <c r="I129" s="1"/>
      <c r="R129" s="4"/>
      <c r="S129" s="1"/>
    </row>
    <row r="130" spans="1:19" x14ac:dyDescent="0.25">
      <c r="A130" s="22" t="s">
        <v>99</v>
      </c>
      <c r="B130" s="23">
        <v>51</v>
      </c>
      <c r="C130" s="23">
        <v>22</v>
      </c>
      <c r="D130" s="23">
        <v>3</v>
      </c>
      <c r="E130" s="23">
        <v>0</v>
      </c>
      <c r="F130" s="23">
        <v>1</v>
      </c>
      <c r="G130" s="11">
        <v>0</v>
      </c>
      <c r="H130" s="26">
        <f t="shared" si="15"/>
        <v>77</v>
      </c>
      <c r="I130" s="1"/>
      <c r="R130" s="4"/>
      <c r="S130" s="1"/>
    </row>
    <row r="131" spans="1:19" x14ac:dyDescent="0.25">
      <c r="A131" s="22" t="s">
        <v>100</v>
      </c>
      <c r="B131" s="23">
        <v>3</v>
      </c>
      <c r="C131" s="23">
        <v>0</v>
      </c>
      <c r="D131" s="23">
        <v>32</v>
      </c>
      <c r="E131" s="23">
        <v>8</v>
      </c>
      <c r="F131" s="23">
        <v>2</v>
      </c>
      <c r="G131" s="11">
        <v>0</v>
      </c>
      <c r="H131" s="26">
        <f t="shared" si="15"/>
        <v>45</v>
      </c>
      <c r="I131" s="1"/>
      <c r="R131" s="4"/>
      <c r="S131" s="1"/>
    </row>
    <row r="132" spans="1:19" x14ac:dyDescent="0.25">
      <c r="A132" s="22" t="s">
        <v>46</v>
      </c>
      <c r="B132" s="23">
        <v>2</v>
      </c>
      <c r="C132" s="23">
        <v>0</v>
      </c>
      <c r="D132" s="23">
        <v>4</v>
      </c>
      <c r="E132" s="23">
        <v>0</v>
      </c>
      <c r="F132" s="23">
        <v>1</v>
      </c>
      <c r="G132" s="11">
        <v>0</v>
      </c>
      <c r="H132" s="26">
        <f t="shared" si="15"/>
        <v>7</v>
      </c>
      <c r="I132" s="1"/>
      <c r="R132" s="4"/>
      <c r="S132" s="1"/>
    </row>
    <row r="133" spans="1:19" x14ac:dyDescent="0.25">
      <c r="A133" s="22" t="s">
        <v>47</v>
      </c>
      <c r="B133" s="23">
        <v>0</v>
      </c>
      <c r="C133" s="23">
        <v>0</v>
      </c>
      <c r="D133" s="23">
        <v>2</v>
      </c>
      <c r="E133" s="23">
        <v>0</v>
      </c>
      <c r="F133" s="23">
        <v>0</v>
      </c>
      <c r="G133" s="11">
        <v>0</v>
      </c>
      <c r="H133" s="26">
        <f t="shared" si="15"/>
        <v>2</v>
      </c>
      <c r="I133" s="1"/>
      <c r="R133" s="4"/>
      <c r="S133" s="1"/>
    </row>
    <row r="134" spans="1:19" x14ac:dyDescent="0.25">
      <c r="A134" s="22" t="s">
        <v>53</v>
      </c>
      <c r="B134" s="23">
        <v>0</v>
      </c>
      <c r="C134" s="23">
        <v>0</v>
      </c>
      <c r="D134" s="23">
        <v>2</v>
      </c>
      <c r="E134" s="23">
        <v>0</v>
      </c>
      <c r="F134" s="23">
        <v>0</v>
      </c>
      <c r="G134" s="11">
        <v>0</v>
      </c>
      <c r="H134" s="26">
        <f t="shared" si="15"/>
        <v>2</v>
      </c>
      <c r="I134" s="1"/>
      <c r="R134" s="4"/>
      <c r="S134" s="1"/>
    </row>
    <row r="135" spans="1:19" x14ac:dyDescent="0.25">
      <c r="A135" s="22" t="s">
        <v>134</v>
      </c>
      <c r="B135" s="23">
        <v>56</v>
      </c>
      <c r="C135" s="23">
        <v>2</v>
      </c>
      <c r="D135" s="23">
        <v>71</v>
      </c>
      <c r="E135" s="23">
        <v>9</v>
      </c>
      <c r="F135" s="23">
        <v>2</v>
      </c>
      <c r="G135" s="11">
        <v>0</v>
      </c>
      <c r="H135" s="26">
        <f t="shared" si="15"/>
        <v>140</v>
      </c>
      <c r="I135" s="1"/>
      <c r="R135" s="4"/>
      <c r="S135" s="1"/>
    </row>
    <row r="136" spans="1:19" x14ac:dyDescent="0.25">
      <c r="A136" s="22" t="s">
        <v>135</v>
      </c>
      <c r="B136" s="23">
        <v>68</v>
      </c>
      <c r="C136" s="23">
        <v>14</v>
      </c>
      <c r="D136" s="23">
        <v>151</v>
      </c>
      <c r="E136" s="23">
        <v>19</v>
      </c>
      <c r="F136" s="23">
        <v>5</v>
      </c>
      <c r="G136" s="11">
        <v>0</v>
      </c>
      <c r="H136" s="26">
        <f t="shared" si="15"/>
        <v>257</v>
      </c>
      <c r="I136" s="1"/>
      <c r="R136" s="4"/>
      <c r="S136" s="1"/>
    </row>
    <row r="137" spans="1:19" x14ac:dyDescent="0.25">
      <c r="A137" s="22" t="s">
        <v>49</v>
      </c>
      <c r="B137" s="23">
        <v>68</v>
      </c>
      <c r="C137" s="23">
        <v>14</v>
      </c>
      <c r="D137" s="23">
        <v>151</v>
      </c>
      <c r="E137" s="23">
        <v>19</v>
      </c>
      <c r="F137" s="23">
        <v>6</v>
      </c>
      <c r="G137" s="11">
        <v>0</v>
      </c>
      <c r="H137" s="33">
        <f t="shared" si="15"/>
        <v>258</v>
      </c>
      <c r="I137" s="1"/>
      <c r="R137" s="4"/>
      <c r="S137" s="1"/>
    </row>
    <row r="138" spans="1:19" x14ac:dyDescent="0.25">
      <c r="A138" s="22" t="s">
        <v>189</v>
      </c>
      <c r="B138" s="23">
        <v>14</v>
      </c>
      <c r="C138" s="23">
        <v>0</v>
      </c>
      <c r="D138" s="23">
        <v>20</v>
      </c>
      <c r="E138" s="23">
        <v>1</v>
      </c>
      <c r="F138" s="23">
        <v>0</v>
      </c>
      <c r="G138" s="11">
        <v>0</v>
      </c>
      <c r="H138" s="33">
        <f t="shared" si="15"/>
        <v>35</v>
      </c>
      <c r="I138" s="1"/>
      <c r="R138" s="4"/>
      <c r="S138" s="1"/>
    </row>
    <row r="139" spans="1:19" x14ac:dyDescent="0.25">
      <c r="A139" s="22" t="s">
        <v>50</v>
      </c>
      <c r="B139" s="23">
        <v>16</v>
      </c>
      <c r="C139" s="23">
        <v>52</v>
      </c>
      <c r="D139" s="23">
        <v>4</v>
      </c>
      <c r="E139" s="23">
        <v>0</v>
      </c>
      <c r="F139" s="23">
        <v>0</v>
      </c>
      <c r="G139" s="11">
        <v>0</v>
      </c>
      <c r="H139" s="26">
        <f t="shared" si="14"/>
        <v>72</v>
      </c>
      <c r="I139" s="1"/>
      <c r="R139" s="4"/>
      <c r="S139" s="1"/>
    </row>
    <row r="140" spans="1:19" x14ac:dyDescent="0.25">
      <c r="A140" s="22" t="s">
        <v>104</v>
      </c>
      <c r="B140" s="23">
        <v>6</v>
      </c>
      <c r="C140" s="23">
        <v>1</v>
      </c>
      <c r="D140" s="23">
        <v>4</v>
      </c>
      <c r="E140" s="23">
        <v>1</v>
      </c>
      <c r="F140" s="23">
        <v>0</v>
      </c>
      <c r="G140" s="11">
        <v>0</v>
      </c>
      <c r="H140" s="26">
        <f t="shared" si="14"/>
        <v>12</v>
      </c>
      <c r="I140" s="1"/>
      <c r="R140" s="4"/>
      <c r="S140" s="1"/>
    </row>
    <row r="141" spans="1:19" x14ac:dyDescent="0.25">
      <c r="A141" s="22" t="s">
        <v>51</v>
      </c>
      <c r="B141" s="23">
        <v>6</v>
      </c>
      <c r="C141" s="23">
        <v>1</v>
      </c>
      <c r="D141" s="23">
        <v>6</v>
      </c>
      <c r="E141" s="23">
        <v>1</v>
      </c>
      <c r="F141" s="23">
        <v>0</v>
      </c>
      <c r="G141" s="11">
        <v>0</v>
      </c>
      <c r="H141" s="26">
        <f t="shared" si="14"/>
        <v>14</v>
      </c>
      <c r="I141" s="1"/>
      <c r="R141" s="6"/>
      <c r="S141" s="1"/>
    </row>
    <row r="142" spans="1:19" x14ac:dyDescent="0.25">
      <c r="A142" s="22" t="s">
        <v>52</v>
      </c>
      <c r="B142" s="23">
        <v>7</v>
      </c>
      <c r="C142" s="23">
        <v>1</v>
      </c>
      <c r="D142" s="23">
        <v>10</v>
      </c>
      <c r="E142" s="23">
        <v>1</v>
      </c>
      <c r="F142" s="23">
        <v>1</v>
      </c>
      <c r="G142" s="11">
        <v>0</v>
      </c>
      <c r="H142" s="14">
        <f t="shared" si="14"/>
        <v>20</v>
      </c>
    </row>
    <row r="143" spans="1:19" x14ac:dyDescent="0.25">
      <c r="A143" s="22" t="s">
        <v>115</v>
      </c>
      <c r="B143" s="23">
        <v>2</v>
      </c>
      <c r="C143" s="23">
        <v>1</v>
      </c>
      <c r="D143" s="23"/>
      <c r="E143" s="23">
        <v>0</v>
      </c>
      <c r="F143" s="23">
        <v>0</v>
      </c>
      <c r="G143" s="11">
        <v>0</v>
      </c>
      <c r="H143" s="26">
        <f t="shared" si="14"/>
        <v>3</v>
      </c>
    </row>
    <row r="144" spans="1:19" x14ac:dyDescent="0.25">
      <c r="A144" s="22" t="s">
        <v>116</v>
      </c>
      <c r="B144" s="23">
        <v>5</v>
      </c>
      <c r="C144" s="23">
        <v>0</v>
      </c>
      <c r="D144" s="23">
        <v>6</v>
      </c>
      <c r="E144" s="23">
        <v>1</v>
      </c>
      <c r="F144" s="23">
        <v>0</v>
      </c>
      <c r="G144" s="11">
        <v>0</v>
      </c>
      <c r="H144" s="26">
        <f t="shared" si="14"/>
        <v>12</v>
      </c>
    </row>
    <row r="145" spans="1:13" x14ac:dyDescent="0.25">
      <c r="A145" s="22" t="s">
        <v>102</v>
      </c>
      <c r="B145" s="23">
        <v>7</v>
      </c>
      <c r="C145" s="23">
        <v>0</v>
      </c>
      <c r="D145" s="23">
        <v>13</v>
      </c>
      <c r="E145" s="23">
        <v>7</v>
      </c>
      <c r="F145" s="23">
        <v>0</v>
      </c>
      <c r="G145" s="11">
        <v>0</v>
      </c>
      <c r="H145" s="26">
        <f t="shared" si="14"/>
        <v>27</v>
      </c>
    </row>
    <row r="146" spans="1:13" x14ac:dyDescent="0.25">
      <c r="A146" s="22" t="s">
        <v>203</v>
      </c>
      <c r="B146" s="23">
        <v>2</v>
      </c>
      <c r="C146" s="23">
        <v>0</v>
      </c>
      <c r="D146" s="23">
        <v>5</v>
      </c>
      <c r="E146" s="23">
        <v>2</v>
      </c>
      <c r="F146" s="23">
        <v>0</v>
      </c>
      <c r="G146" s="11">
        <v>0</v>
      </c>
      <c r="H146" s="26">
        <f t="shared" si="14"/>
        <v>9</v>
      </c>
    </row>
    <row r="147" spans="1:13" x14ac:dyDescent="0.25">
      <c r="A147" s="22" t="s">
        <v>197</v>
      </c>
      <c r="B147" s="23">
        <v>4</v>
      </c>
      <c r="C147" s="23">
        <v>0</v>
      </c>
      <c r="D147" s="23">
        <v>3</v>
      </c>
      <c r="E147" s="23">
        <v>0</v>
      </c>
      <c r="F147" s="23">
        <v>0</v>
      </c>
      <c r="G147" s="11">
        <v>0</v>
      </c>
      <c r="H147" s="26">
        <f t="shared" si="14"/>
        <v>7</v>
      </c>
    </row>
    <row r="148" spans="1:13" x14ac:dyDescent="0.25">
      <c r="A148" s="22"/>
      <c r="B148" s="23"/>
      <c r="C148" s="23"/>
      <c r="D148" s="23"/>
      <c r="E148" s="23"/>
      <c r="F148" s="23"/>
      <c r="G148" s="11"/>
      <c r="H148" s="26"/>
    </row>
    <row r="149" spans="1:13" x14ac:dyDescent="0.25">
      <c r="A149" s="22" t="s">
        <v>198</v>
      </c>
      <c r="B149" s="23">
        <v>0</v>
      </c>
      <c r="C149" s="23">
        <v>0</v>
      </c>
      <c r="D149" s="23">
        <v>1</v>
      </c>
      <c r="E149" s="23">
        <v>0</v>
      </c>
      <c r="F149" s="23">
        <v>0</v>
      </c>
      <c r="G149" s="11">
        <v>0</v>
      </c>
      <c r="H149" s="26">
        <f t="shared" si="14"/>
        <v>1</v>
      </c>
    </row>
    <row r="150" spans="1:13" x14ac:dyDescent="0.25">
      <c r="A150" s="22" t="s">
        <v>199</v>
      </c>
      <c r="B150" s="23">
        <v>2</v>
      </c>
      <c r="C150" s="23">
        <v>0</v>
      </c>
      <c r="D150" s="23">
        <v>1</v>
      </c>
      <c r="E150" s="23">
        <v>0</v>
      </c>
      <c r="F150" s="23">
        <v>0</v>
      </c>
      <c r="G150" s="11">
        <v>0</v>
      </c>
      <c r="H150" s="26">
        <f>SUM(B150:G150)</f>
        <v>3</v>
      </c>
    </row>
    <row r="151" spans="1:13" x14ac:dyDescent="0.25">
      <c r="A151" s="22" t="s">
        <v>200</v>
      </c>
      <c r="B151" s="23">
        <v>3</v>
      </c>
      <c r="C151" s="23">
        <v>0</v>
      </c>
      <c r="D151" s="23">
        <v>29</v>
      </c>
      <c r="E151" s="23">
        <v>1</v>
      </c>
      <c r="F151" s="23">
        <v>0</v>
      </c>
      <c r="G151" s="11">
        <v>0</v>
      </c>
      <c r="H151" s="26">
        <f>SUM(B151:G151)</f>
        <v>33</v>
      </c>
    </row>
    <row r="152" spans="1:13" x14ac:dyDescent="0.25">
      <c r="A152" s="22"/>
      <c r="B152" s="23"/>
      <c r="C152" s="23"/>
      <c r="D152" s="23"/>
      <c r="E152" s="23"/>
      <c r="F152" s="23"/>
      <c r="G152" s="11"/>
      <c r="H152" s="26"/>
    </row>
    <row r="153" spans="1:13" x14ac:dyDescent="0.25">
      <c r="A153" s="22" t="s">
        <v>105</v>
      </c>
      <c r="B153" s="23">
        <v>13</v>
      </c>
      <c r="C153" s="23">
        <v>1</v>
      </c>
      <c r="D153" s="23">
        <v>35</v>
      </c>
      <c r="E153" s="23">
        <v>0</v>
      </c>
      <c r="F153" s="23">
        <v>1</v>
      </c>
      <c r="G153" s="11">
        <v>0</v>
      </c>
      <c r="H153" s="26">
        <f>SUM(B153:G153)</f>
        <v>50</v>
      </c>
    </row>
    <row r="154" spans="1:13" x14ac:dyDescent="0.25">
      <c r="A154" s="22" t="s">
        <v>206</v>
      </c>
      <c r="B154" s="23">
        <v>2</v>
      </c>
      <c r="C154" s="23">
        <v>0</v>
      </c>
      <c r="D154" s="23">
        <v>5</v>
      </c>
      <c r="E154" s="23">
        <v>0</v>
      </c>
      <c r="F154" s="23">
        <v>0</v>
      </c>
      <c r="G154" s="11">
        <v>0</v>
      </c>
      <c r="H154" s="26">
        <f t="shared" ref="H154:H155" si="16">SUM(B154:G154)</f>
        <v>7</v>
      </c>
    </row>
    <row r="155" spans="1:13" x14ac:dyDescent="0.25">
      <c r="A155" s="116" t="s">
        <v>207</v>
      </c>
      <c r="B155" s="117">
        <v>1</v>
      </c>
      <c r="C155" s="117">
        <v>0</v>
      </c>
      <c r="D155" s="117">
        <v>0</v>
      </c>
      <c r="E155" s="117">
        <v>0</v>
      </c>
      <c r="F155" s="117">
        <v>0</v>
      </c>
      <c r="G155" s="93">
        <v>0</v>
      </c>
      <c r="H155" s="26">
        <f t="shared" si="16"/>
        <v>1</v>
      </c>
    </row>
    <row r="159" spans="1:13" x14ac:dyDescent="0.25">
      <c r="J159" s="133"/>
      <c r="K159" s="133"/>
      <c r="L159" s="133"/>
      <c r="M159" s="133"/>
    </row>
    <row r="160" spans="1:13" x14ac:dyDescent="0.25">
      <c r="J160" s="133"/>
    </row>
    <row r="167" spans="10:17" x14ac:dyDescent="0.25">
      <c r="P167" s="5"/>
      <c r="Q167" s="5"/>
    </row>
    <row r="169" spans="10:17" x14ac:dyDescent="0.25">
      <c r="J169" s="5"/>
      <c r="K169" s="5"/>
      <c r="L169" s="5"/>
      <c r="M169" s="5"/>
      <c r="N169" s="1"/>
      <c r="O169" s="1"/>
    </row>
  </sheetData>
  <mergeCells count="31">
    <mergeCell ref="J26:J27"/>
    <mergeCell ref="K26:Q26"/>
    <mergeCell ref="J50:M50"/>
    <mergeCell ref="J57:P57"/>
    <mergeCell ref="J58:P58"/>
    <mergeCell ref="J52:Q52"/>
    <mergeCell ref="J53:P53"/>
    <mergeCell ref="J54:P54"/>
    <mergeCell ref="J55:P55"/>
    <mergeCell ref="J56:P56"/>
    <mergeCell ref="A3:R3"/>
    <mergeCell ref="L4:R4"/>
    <mergeCell ref="A9:A10"/>
    <mergeCell ref="B9:H9"/>
    <mergeCell ref="J9:J10"/>
    <mergeCell ref="K9:Q9"/>
    <mergeCell ref="B4:J4"/>
    <mergeCell ref="A115:H115"/>
    <mergeCell ref="J110:J111"/>
    <mergeCell ref="K110:K111"/>
    <mergeCell ref="A108:H108"/>
    <mergeCell ref="J62:P62"/>
    <mergeCell ref="J159:J160"/>
    <mergeCell ref="K159:M159"/>
    <mergeCell ref="J86:J92"/>
    <mergeCell ref="K86:M86"/>
    <mergeCell ref="J39:J40"/>
    <mergeCell ref="K39:Q39"/>
    <mergeCell ref="J59:P59"/>
    <mergeCell ref="J60:P60"/>
    <mergeCell ref="J61:P61"/>
  </mergeCells>
  <pageMargins left="1" right="1" top="1" bottom="1" header="0.5" footer="0.5"/>
  <pageSetup paperSize="9" scale="50" fitToHeight="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V169"/>
  <sheetViews>
    <sheetView topLeftCell="J22" zoomScale="80" zoomScaleNormal="80" workbookViewId="0">
      <selection activeCell="A50" sqref="A50:XFD50"/>
    </sheetView>
  </sheetViews>
  <sheetFormatPr baseColWidth="10" defaultRowHeight="15" x14ac:dyDescent="0.25"/>
  <cols>
    <col min="1" max="1" width="49.85546875" customWidth="1"/>
    <col min="2" max="6" width="9.85546875" customWidth="1"/>
    <col min="7" max="7" width="13.5703125" customWidth="1"/>
    <col min="8" max="8" width="9.28515625" customWidth="1"/>
    <col min="9" max="9" width="9.42578125" customWidth="1"/>
    <col min="10" max="10" width="48.28515625" customWidth="1"/>
    <col min="11" max="15" width="9.28515625" customWidth="1"/>
    <col min="16" max="16" width="10.42578125" customWidth="1"/>
    <col min="17" max="17" width="10" customWidth="1"/>
    <col min="18" max="18" width="2.85546875" customWidth="1"/>
  </cols>
  <sheetData>
    <row r="3" spans="1:19" ht="26.25" x14ac:dyDescent="0.25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"/>
    </row>
    <row r="4" spans="1:19" ht="15.75" x14ac:dyDescent="0.25">
      <c r="A4" s="1" t="s">
        <v>12</v>
      </c>
      <c r="B4" s="155" t="s">
        <v>16</v>
      </c>
      <c r="C4" s="156"/>
      <c r="D4" s="156"/>
      <c r="E4" s="156"/>
      <c r="F4" s="156"/>
      <c r="G4" s="156"/>
      <c r="H4" s="156"/>
      <c r="I4" s="156"/>
      <c r="J4" s="157"/>
      <c r="K4" s="9" t="s">
        <v>14</v>
      </c>
      <c r="L4" s="147" t="s">
        <v>172</v>
      </c>
      <c r="M4" s="148"/>
      <c r="N4" s="148"/>
      <c r="O4" s="148"/>
      <c r="P4" s="148"/>
      <c r="Q4" s="148"/>
      <c r="R4" s="149"/>
      <c r="S4" s="1"/>
    </row>
    <row r="5" spans="1:19" x14ac:dyDescent="0.25">
      <c r="A5" s="1"/>
      <c r="B5" s="1"/>
      <c r="C5" s="1"/>
      <c r="D5" s="10"/>
      <c r="E5" s="1"/>
      <c r="F5" s="1"/>
      <c r="G5" s="1"/>
      <c r="H5" s="1"/>
      <c r="I5" s="1"/>
      <c r="J5" s="1"/>
      <c r="K5" s="9"/>
      <c r="L5" s="10"/>
      <c r="M5" s="10"/>
      <c r="N5" s="10"/>
      <c r="O5" s="10"/>
      <c r="P5" s="10"/>
      <c r="Q5" s="10"/>
      <c r="R5" s="10"/>
      <c r="S5" s="1"/>
    </row>
    <row r="6" spans="1:19" x14ac:dyDescent="0.25">
      <c r="A6" s="1" t="s">
        <v>15</v>
      </c>
      <c r="B6" s="30">
        <v>3</v>
      </c>
      <c r="C6" s="1"/>
      <c r="D6" s="10"/>
      <c r="E6" s="1"/>
      <c r="F6" s="1"/>
      <c r="G6" s="1"/>
      <c r="H6" s="1"/>
      <c r="I6" s="1"/>
      <c r="J6" s="1"/>
      <c r="K6" s="9" t="s">
        <v>13</v>
      </c>
      <c r="L6" s="30">
        <v>2025</v>
      </c>
      <c r="M6" s="1"/>
      <c r="N6" s="1"/>
      <c r="O6" s="1"/>
      <c r="P6" s="1"/>
      <c r="Q6" s="1"/>
      <c r="R6" s="1"/>
      <c r="S6" s="1"/>
    </row>
    <row r="7" spans="1:19" x14ac:dyDescent="0.25">
      <c r="A7" s="1"/>
      <c r="B7" s="1"/>
      <c r="C7" s="1"/>
      <c r="D7" s="10"/>
      <c r="E7" s="1"/>
      <c r="F7" s="1"/>
      <c r="G7" s="1"/>
      <c r="H7" s="1"/>
      <c r="I7" s="1"/>
      <c r="J7" s="1"/>
      <c r="K7" s="1"/>
      <c r="L7" s="44"/>
      <c r="M7" s="1"/>
      <c r="N7" s="1"/>
      <c r="O7" s="1"/>
      <c r="P7" s="1"/>
      <c r="Q7" s="1"/>
      <c r="R7" s="1"/>
      <c r="S7" s="1"/>
    </row>
    <row r="8" spans="1:19" ht="15.75" thickBot="1" x14ac:dyDescent="0.3">
      <c r="A8" s="2"/>
      <c r="B8" s="2"/>
      <c r="C8" s="2"/>
      <c r="D8" s="20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3"/>
      <c r="S8" s="1"/>
    </row>
    <row r="9" spans="1:19" ht="15" customHeight="1" x14ac:dyDescent="0.25">
      <c r="A9" s="150" t="s">
        <v>148</v>
      </c>
      <c r="B9" s="152" t="s">
        <v>11</v>
      </c>
      <c r="C9" s="152"/>
      <c r="D9" s="152"/>
      <c r="E9" s="152"/>
      <c r="F9" s="152"/>
      <c r="G9" s="152"/>
      <c r="H9" s="152"/>
      <c r="I9" s="1"/>
      <c r="J9" s="153" t="s">
        <v>149</v>
      </c>
      <c r="K9" s="136" t="s">
        <v>11</v>
      </c>
      <c r="L9" s="136"/>
      <c r="M9" s="136"/>
      <c r="N9" s="136"/>
      <c r="O9" s="136"/>
      <c r="P9" s="136"/>
      <c r="Q9" s="137"/>
      <c r="R9" s="4"/>
      <c r="S9" s="1"/>
    </row>
    <row r="10" spans="1:19" ht="15" customHeight="1" x14ac:dyDescent="0.25">
      <c r="A10" s="151"/>
      <c r="B10" s="30" t="s">
        <v>8</v>
      </c>
      <c r="C10" s="30" t="s">
        <v>9</v>
      </c>
      <c r="D10" s="30" t="s">
        <v>10</v>
      </c>
      <c r="E10" s="30" t="s">
        <v>154</v>
      </c>
      <c r="F10" s="30" t="s">
        <v>155</v>
      </c>
      <c r="G10" s="30" t="s">
        <v>147</v>
      </c>
      <c r="H10" s="30" t="s">
        <v>11</v>
      </c>
      <c r="I10" s="1"/>
      <c r="J10" s="154"/>
      <c r="K10" s="30" t="s">
        <v>8</v>
      </c>
      <c r="L10" s="30" t="s">
        <v>9</v>
      </c>
      <c r="M10" s="30" t="s">
        <v>10</v>
      </c>
      <c r="N10" s="30" t="s">
        <v>154</v>
      </c>
      <c r="O10" s="30" t="s">
        <v>155</v>
      </c>
      <c r="P10" s="30" t="s">
        <v>147</v>
      </c>
      <c r="Q10" s="54" t="s">
        <v>11</v>
      </c>
      <c r="R10" s="4"/>
      <c r="S10" s="1"/>
    </row>
    <row r="11" spans="1:19" x14ac:dyDescent="0.25">
      <c r="A11" s="15" t="s">
        <v>0</v>
      </c>
      <c r="B11" s="16">
        <f t="shared" ref="B11:G11" si="0">B12+B51+B69+B82+B95</f>
        <v>15088</v>
      </c>
      <c r="C11" s="16">
        <f t="shared" si="0"/>
        <v>17316</v>
      </c>
      <c r="D11" s="16">
        <f t="shared" si="0"/>
        <v>12251</v>
      </c>
      <c r="E11" s="16">
        <f t="shared" si="0"/>
        <v>813</v>
      </c>
      <c r="F11" s="16">
        <f t="shared" si="0"/>
        <v>515</v>
      </c>
      <c r="G11" s="16">
        <f t="shared" si="0"/>
        <v>49</v>
      </c>
      <c r="H11" s="12">
        <f>SUM(B11:G11)</f>
        <v>46032</v>
      </c>
      <c r="I11" s="1"/>
      <c r="J11" s="79" t="s">
        <v>85</v>
      </c>
      <c r="K11" s="74">
        <f t="shared" ref="K11:P11" si="1">SUM(K12:K23)</f>
        <v>265</v>
      </c>
      <c r="L11" s="74">
        <f t="shared" si="1"/>
        <v>0</v>
      </c>
      <c r="M11" s="74">
        <f t="shared" si="1"/>
        <v>737</v>
      </c>
      <c r="N11" s="74">
        <f t="shared" si="1"/>
        <v>9</v>
      </c>
      <c r="O11" s="74">
        <f t="shared" si="1"/>
        <v>0</v>
      </c>
      <c r="P11" s="74">
        <f t="shared" si="1"/>
        <v>0</v>
      </c>
      <c r="Q11" s="80">
        <f t="shared" ref="Q11:Q23" si="2">SUM(K11:P11)</f>
        <v>1011</v>
      </c>
      <c r="R11" s="4"/>
      <c r="S11" s="1"/>
    </row>
    <row r="12" spans="1:19" x14ac:dyDescent="0.25">
      <c r="A12" s="73" t="s">
        <v>1</v>
      </c>
      <c r="B12" s="74">
        <f t="shared" ref="B12:G12" si="3">SUM(B13:B50)</f>
        <v>8323</v>
      </c>
      <c r="C12" s="74">
        <f t="shared" si="3"/>
        <v>11060</v>
      </c>
      <c r="D12" s="74">
        <f t="shared" si="3"/>
        <v>7051</v>
      </c>
      <c r="E12" s="74">
        <f t="shared" si="3"/>
        <v>514</v>
      </c>
      <c r="F12" s="74">
        <f t="shared" si="3"/>
        <v>318</v>
      </c>
      <c r="G12" s="74">
        <f t="shared" si="3"/>
        <v>49</v>
      </c>
      <c r="H12" s="74">
        <f>SUM(B12:G12)</f>
        <v>27315</v>
      </c>
      <c r="I12" s="1"/>
      <c r="J12" s="55" t="s">
        <v>4</v>
      </c>
      <c r="K12" s="68">
        <v>0</v>
      </c>
      <c r="L12" s="68">
        <v>0</v>
      </c>
      <c r="M12" s="68">
        <v>44</v>
      </c>
      <c r="N12" s="68">
        <v>9</v>
      </c>
      <c r="O12" s="68">
        <v>0</v>
      </c>
      <c r="P12" s="68">
        <v>0</v>
      </c>
      <c r="Q12" s="40">
        <f t="shared" si="2"/>
        <v>53</v>
      </c>
      <c r="R12" s="4"/>
      <c r="S12" s="1"/>
    </row>
    <row r="13" spans="1:19" x14ac:dyDescent="0.25">
      <c r="A13" s="8" t="s">
        <v>17</v>
      </c>
      <c r="B13" s="17">
        <v>30</v>
      </c>
      <c r="C13" s="11">
        <v>2</v>
      </c>
      <c r="D13" s="11">
        <v>55</v>
      </c>
      <c r="E13" s="11">
        <v>8</v>
      </c>
      <c r="F13" s="11">
        <v>4</v>
      </c>
      <c r="G13" s="11">
        <v>0</v>
      </c>
      <c r="H13" s="12">
        <f>SUM(B13:G13)</f>
        <v>99</v>
      </c>
      <c r="I13" s="1"/>
      <c r="J13" s="55" t="s">
        <v>81</v>
      </c>
      <c r="K13" s="68">
        <v>0</v>
      </c>
      <c r="L13" s="68">
        <v>0</v>
      </c>
      <c r="M13" s="68">
        <v>7</v>
      </c>
      <c r="N13" s="68">
        <v>0</v>
      </c>
      <c r="O13" s="68">
        <v>0</v>
      </c>
      <c r="P13" s="68">
        <v>0</v>
      </c>
      <c r="Q13" s="40">
        <f t="shared" si="2"/>
        <v>7</v>
      </c>
      <c r="R13" s="4"/>
      <c r="S13" s="1"/>
    </row>
    <row r="14" spans="1:19" x14ac:dyDescent="0.25">
      <c r="A14" s="7" t="s">
        <v>18</v>
      </c>
      <c r="B14" s="17">
        <v>51</v>
      </c>
      <c r="C14" s="11">
        <v>10</v>
      </c>
      <c r="D14" s="11">
        <v>73</v>
      </c>
      <c r="E14" s="11">
        <v>3</v>
      </c>
      <c r="F14" s="11">
        <v>1</v>
      </c>
      <c r="G14" s="11">
        <v>0</v>
      </c>
      <c r="H14" s="12">
        <f t="shared" ref="H14:H48" si="4">SUM(B14:G14)</f>
        <v>138</v>
      </c>
      <c r="I14" s="1"/>
      <c r="J14" s="56" t="s">
        <v>5</v>
      </c>
      <c r="K14" s="68">
        <v>2</v>
      </c>
      <c r="L14" s="68">
        <v>0</v>
      </c>
      <c r="M14" s="68">
        <v>42</v>
      </c>
      <c r="N14" s="68">
        <v>0</v>
      </c>
      <c r="O14" s="68">
        <v>0</v>
      </c>
      <c r="P14" s="68">
        <v>0</v>
      </c>
      <c r="Q14" s="40">
        <f>SUM(K14:P14)</f>
        <v>44</v>
      </c>
      <c r="R14" s="4"/>
      <c r="S14" s="1"/>
    </row>
    <row r="15" spans="1:19" x14ac:dyDescent="0.25">
      <c r="A15" s="7" t="s">
        <v>19</v>
      </c>
      <c r="B15" s="17">
        <v>40</v>
      </c>
      <c r="C15" s="11">
        <v>130</v>
      </c>
      <c r="D15" s="13">
        <v>16</v>
      </c>
      <c r="E15" s="13">
        <v>2</v>
      </c>
      <c r="F15" s="13">
        <v>0</v>
      </c>
      <c r="G15" s="13">
        <v>0</v>
      </c>
      <c r="H15" s="12">
        <f>SUM(B15:G15)</f>
        <v>188</v>
      </c>
      <c r="I15" s="1"/>
      <c r="J15" s="56" t="s">
        <v>80</v>
      </c>
      <c r="K15" s="68">
        <v>45</v>
      </c>
      <c r="L15" s="68">
        <v>0</v>
      </c>
      <c r="M15" s="68">
        <v>27</v>
      </c>
      <c r="N15" s="68">
        <v>0</v>
      </c>
      <c r="O15" s="68">
        <v>0</v>
      </c>
      <c r="P15" s="68">
        <v>0</v>
      </c>
      <c r="Q15" s="40">
        <f t="shared" si="2"/>
        <v>72</v>
      </c>
      <c r="R15" s="4"/>
      <c r="S15" s="1"/>
    </row>
    <row r="16" spans="1:19" x14ac:dyDescent="0.25">
      <c r="A16" s="7" t="s">
        <v>27</v>
      </c>
      <c r="B16" s="10">
        <v>642</v>
      </c>
      <c r="C16" s="11">
        <v>1498</v>
      </c>
      <c r="D16" s="11">
        <v>790</v>
      </c>
      <c r="E16" s="11">
        <v>66</v>
      </c>
      <c r="F16" s="11">
        <v>39</v>
      </c>
      <c r="G16" s="11">
        <v>8</v>
      </c>
      <c r="H16" s="12">
        <f t="shared" si="4"/>
        <v>3043</v>
      </c>
      <c r="I16" s="1"/>
      <c r="J16" s="57" t="s">
        <v>83</v>
      </c>
      <c r="K16" s="69">
        <v>0</v>
      </c>
      <c r="L16" s="69">
        <v>0</v>
      </c>
      <c r="M16" s="69">
        <v>5</v>
      </c>
      <c r="N16" s="69">
        <v>0</v>
      </c>
      <c r="O16" s="69">
        <v>0</v>
      </c>
      <c r="P16" s="69">
        <v>0</v>
      </c>
      <c r="Q16" s="40">
        <f t="shared" si="2"/>
        <v>5</v>
      </c>
      <c r="R16" s="4"/>
      <c r="S16" s="1"/>
    </row>
    <row r="17" spans="1:19" x14ac:dyDescent="0.25">
      <c r="A17" s="7" t="s">
        <v>186</v>
      </c>
      <c r="B17" s="10">
        <v>0</v>
      </c>
      <c r="C17" s="11">
        <v>0</v>
      </c>
      <c r="D17" s="11">
        <v>15</v>
      </c>
      <c r="E17" s="11">
        <v>1</v>
      </c>
      <c r="F17" s="11">
        <v>1</v>
      </c>
      <c r="G17" s="11">
        <v>0</v>
      </c>
      <c r="H17" s="12">
        <f t="shared" si="4"/>
        <v>17</v>
      </c>
      <c r="I17" s="1"/>
      <c r="J17" s="50" t="s">
        <v>162</v>
      </c>
      <c r="K17" s="69">
        <v>70</v>
      </c>
      <c r="L17" s="69">
        <v>0</v>
      </c>
      <c r="M17" s="69">
        <v>200</v>
      </c>
      <c r="N17" s="69">
        <v>0</v>
      </c>
      <c r="O17" s="69">
        <v>0</v>
      </c>
      <c r="P17" s="69">
        <v>0</v>
      </c>
      <c r="Q17" s="40">
        <f t="shared" si="2"/>
        <v>270</v>
      </c>
      <c r="R17" s="4"/>
      <c r="S17" s="1"/>
    </row>
    <row r="18" spans="1:19" x14ac:dyDescent="0.25">
      <c r="A18" s="7" t="s">
        <v>188</v>
      </c>
      <c r="B18" s="10">
        <v>32</v>
      </c>
      <c r="C18" s="11">
        <v>5</v>
      </c>
      <c r="D18" s="11">
        <v>56</v>
      </c>
      <c r="E18" s="11">
        <v>1</v>
      </c>
      <c r="F18" s="11">
        <v>0</v>
      </c>
      <c r="G18" s="11">
        <v>0</v>
      </c>
      <c r="H18" s="12">
        <f t="shared" si="4"/>
        <v>94</v>
      </c>
      <c r="I18" s="1"/>
      <c r="J18" s="50" t="s">
        <v>163</v>
      </c>
      <c r="K18" s="69">
        <v>74</v>
      </c>
      <c r="L18" s="69">
        <v>0</v>
      </c>
      <c r="M18" s="69">
        <v>200</v>
      </c>
      <c r="N18" s="69">
        <v>0</v>
      </c>
      <c r="O18" s="69">
        <v>0</v>
      </c>
      <c r="P18" s="69">
        <v>0</v>
      </c>
      <c r="Q18" s="40">
        <f t="shared" si="2"/>
        <v>274</v>
      </c>
      <c r="R18" s="4"/>
      <c r="S18" s="1"/>
    </row>
    <row r="19" spans="1:19" x14ac:dyDescent="0.25">
      <c r="A19" s="7" t="s">
        <v>28</v>
      </c>
      <c r="B19" s="17">
        <v>87</v>
      </c>
      <c r="C19" s="11">
        <v>17</v>
      </c>
      <c r="D19" s="11">
        <v>106</v>
      </c>
      <c r="E19" s="11">
        <v>11</v>
      </c>
      <c r="F19" s="11">
        <v>14</v>
      </c>
      <c r="G19" s="11">
        <v>0</v>
      </c>
      <c r="H19" s="12">
        <f t="shared" si="4"/>
        <v>235</v>
      </c>
      <c r="I19" s="1"/>
      <c r="J19" s="50" t="s">
        <v>164</v>
      </c>
      <c r="K19" s="69">
        <v>74</v>
      </c>
      <c r="L19" s="69">
        <v>0</v>
      </c>
      <c r="M19" s="69">
        <v>200</v>
      </c>
      <c r="N19" s="69">
        <v>0</v>
      </c>
      <c r="O19" s="69">
        <v>0</v>
      </c>
      <c r="P19" s="69">
        <v>0</v>
      </c>
      <c r="Q19" s="40">
        <f t="shared" si="2"/>
        <v>274</v>
      </c>
      <c r="R19" s="4"/>
      <c r="S19" s="1"/>
    </row>
    <row r="20" spans="1:19" x14ac:dyDescent="0.25">
      <c r="A20" s="7" t="s">
        <v>29</v>
      </c>
      <c r="B20" s="10">
        <v>1</v>
      </c>
      <c r="C20" s="11">
        <v>0</v>
      </c>
      <c r="D20" s="11">
        <v>7</v>
      </c>
      <c r="E20" s="11">
        <v>2</v>
      </c>
      <c r="F20" s="11">
        <v>2</v>
      </c>
      <c r="G20" s="11">
        <v>0</v>
      </c>
      <c r="H20" s="12">
        <f t="shared" si="4"/>
        <v>12</v>
      </c>
      <c r="I20" s="1"/>
      <c r="J20" s="50" t="s">
        <v>194</v>
      </c>
      <c r="K20" s="69">
        <v>0</v>
      </c>
      <c r="L20" s="69">
        <v>0</v>
      </c>
      <c r="M20" s="69">
        <v>12</v>
      </c>
      <c r="N20" s="69">
        <v>0</v>
      </c>
      <c r="O20" s="69">
        <v>0</v>
      </c>
      <c r="P20" s="69">
        <v>0</v>
      </c>
      <c r="Q20" s="40">
        <f t="shared" si="2"/>
        <v>12</v>
      </c>
      <c r="R20" s="4"/>
      <c r="S20" s="1"/>
    </row>
    <row r="21" spans="1:19" x14ac:dyDescent="0.25">
      <c r="A21" s="7" t="s">
        <v>20</v>
      </c>
      <c r="B21" s="17">
        <v>780</v>
      </c>
      <c r="C21" s="11">
        <v>1523</v>
      </c>
      <c r="D21" s="11">
        <v>749</v>
      </c>
      <c r="E21" s="11">
        <v>63</v>
      </c>
      <c r="F21" s="11">
        <v>39</v>
      </c>
      <c r="G21" s="11">
        <v>8</v>
      </c>
      <c r="H21" s="12">
        <f t="shared" si="4"/>
        <v>3162</v>
      </c>
      <c r="I21" s="1"/>
      <c r="J21" s="50" t="s">
        <v>221</v>
      </c>
      <c r="K21" s="69"/>
      <c r="L21" s="69"/>
      <c r="M21" s="69"/>
      <c r="N21" s="69"/>
      <c r="O21" s="69"/>
      <c r="P21" s="69"/>
      <c r="Q21" s="40"/>
      <c r="R21" s="4"/>
      <c r="S21" s="1"/>
    </row>
    <row r="22" spans="1:19" x14ac:dyDescent="0.25">
      <c r="A22" s="7" t="s">
        <v>25</v>
      </c>
      <c r="B22" s="17">
        <v>7</v>
      </c>
      <c r="C22" s="11">
        <v>0</v>
      </c>
      <c r="D22" s="11">
        <v>14</v>
      </c>
      <c r="E22" s="11">
        <v>1</v>
      </c>
      <c r="F22" s="11">
        <v>2</v>
      </c>
      <c r="G22" s="11">
        <v>0</v>
      </c>
      <c r="H22" s="12">
        <f t="shared" si="4"/>
        <v>24</v>
      </c>
      <c r="I22" s="1"/>
      <c r="J22" s="58" t="s">
        <v>6</v>
      </c>
      <c r="K22" s="68">
        <v>0</v>
      </c>
      <c r="L22" s="68">
        <v>0</v>
      </c>
      <c r="M22" s="68">
        <v>0</v>
      </c>
      <c r="N22" s="68">
        <v>0</v>
      </c>
      <c r="O22" s="68">
        <v>0</v>
      </c>
      <c r="P22" s="68">
        <v>0</v>
      </c>
      <c r="Q22" s="40">
        <f t="shared" si="2"/>
        <v>0</v>
      </c>
      <c r="R22" s="4"/>
      <c r="S22" s="1"/>
    </row>
    <row r="23" spans="1:19" ht="15.75" thickBot="1" x14ac:dyDescent="0.3">
      <c r="A23" s="7" t="s">
        <v>218</v>
      </c>
      <c r="B23" s="17"/>
      <c r="C23" s="11"/>
      <c r="D23" s="11"/>
      <c r="E23" s="11"/>
      <c r="F23" s="11"/>
      <c r="G23" s="11"/>
      <c r="H23" s="12">
        <f t="shared" si="4"/>
        <v>0</v>
      </c>
      <c r="I23" s="1"/>
      <c r="J23" s="59" t="s">
        <v>7</v>
      </c>
      <c r="K23" s="94">
        <v>0</v>
      </c>
      <c r="L23" s="94">
        <v>0</v>
      </c>
      <c r="M23" s="94">
        <v>0</v>
      </c>
      <c r="N23" s="94">
        <v>0</v>
      </c>
      <c r="O23" s="94">
        <v>0</v>
      </c>
      <c r="P23" s="94">
        <v>0</v>
      </c>
      <c r="Q23" s="46">
        <f t="shared" si="2"/>
        <v>0</v>
      </c>
      <c r="R23" s="4"/>
      <c r="S23" s="1"/>
    </row>
    <row r="24" spans="1:19" x14ac:dyDescent="0.25">
      <c r="A24" s="7" t="s">
        <v>21</v>
      </c>
      <c r="B24" s="17">
        <v>757</v>
      </c>
      <c r="C24" s="11">
        <v>1520</v>
      </c>
      <c r="D24" s="11">
        <v>750</v>
      </c>
      <c r="E24" s="11">
        <v>59</v>
      </c>
      <c r="F24" s="11">
        <v>39</v>
      </c>
      <c r="G24" s="11">
        <v>8</v>
      </c>
      <c r="H24" s="12">
        <f t="shared" si="4"/>
        <v>3133</v>
      </c>
      <c r="I24" s="1"/>
      <c r="J24" s="1"/>
      <c r="K24" s="1"/>
      <c r="L24" s="1"/>
      <c r="M24" s="1"/>
      <c r="N24" s="1"/>
      <c r="O24" s="1"/>
      <c r="P24" s="1"/>
      <c r="Q24" s="1"/>
      <c r="R24" s="4"/>
      <c r="S24" s="1"/>
    </row>
    <row r="25" spans="1:19" ht="15.75" thickBot="1" x14ac:dyDescent="0.3">
      <c r="A25" s="7" t="s">
        <v>24</v>
      </c>
      <c r="B25" s="17">
        <v>0</v>
      </c>
      <c r="C25" s="11">
        <v>0</v>
      </c>
      <c r="D25" s="11">
        <v>0</v>
      </c>
      <c r="E25" s="11">
        <v>0</v>
      </c>
      <c r="F25" s="11">
        <v>2</v>
      </c>
      <c r="G25" s="11">
        <v>0</v>
      </c>
      <c r="H25" s="12">
        <f t="shared" si="4"/>
        <v>2</v>
      </c>
      <c r="I25" s="1"/>
      <c r="J25" s="1"/>
      <c r="K25" s="1"/>
      <c r="L25" s="1"/>
      <c r="M25" s="1"/>
      <c r="N25" s="1"/>
      <c r="O25" s="1"/>
      <c r="P25" s="1"/>
      <c r="Q25" s="1"/>
      <c r="R25" s="4"/>
      <c r="S25" s="1"/>
    </row>
    <row r="26" spans="1:19" x14ac:dyDescent="0.25">
      <c r="A26" s="7" t="s">
        <v>79</v>
      </c>
      <c r="B26" s="17">
        <v>578</v>
      </c>
      <c r="C26" s="11">
        <v>536</v>
      </c>
      <c r="D26" s="11">
        <v>331</v>
      </c>
      <c r="E26" s="11">
        <v>14</v>
      </c>
      <c r="F26" s="11">
        <v>8</v>
      </c>
      <c r="G26" s="11">
        <v>0</v>
      </c>
      <c r="H26" s="12">
        <f t="shared" si="4"/>
        <v>1467</v>
      </c>
      <c r="I26" s="1"/>
      <c r="J26" s="134" t="s">
        <v>169</v>
      </c>
      <c r="K26" s="136" t="s">
        <v>11</v>
      </c>
      <c r="L26" s="136"/>
      <c r="M26" s="136"/>
      <c r="N26" s="136"/>
      <c r="O26" s="136"/>
      <c r="P26" s="136"/>
      <c r="Q26" s="137"/>
      <c r="R26" s="4"/>
      <c r="S26" s="1"/>
    </row>
    <row r="27" spans="1:19" x14ac:dyDescent="0.25">
      <c r="A27" s="7" t="s">
        <v>75</v>
      </c>
      <c r="B27" s="17">
        <v>571</v>
      </c>
      <c r="C27" s="11">
        <v>536</v>
      </c>
      <c r="D27" s="11">
        <v>331</v>
      </c>
      <c r="E27" s="11">
        <v>20</v>
      </c>
      <c r="F27" s="11">
        <v>8</v>
      </c>
      <c r="G27" s="11">
        <v>0</v>
      </c>
      <c r="H27" s="12">
        <f t="shared" si="4"/>
        <v>1466</v>
      </c>
      <c r="I27" s="1"/>
      <c r="J27" s="135"/>
      <c r="K27" s="30" t="s">
        <v>8</v>
      </c>
      <c r="L27" s="30" t="s">
        <v>9</v>
      </c>
      <c r="M27" s="30" t="s">
        <v>176</v>
      </c>
      <c r="N27" s="30" t="s">
        <v>154</v>
      </c>
      <c r="O27" s="30" t="s">
        <v>155</v>
      </c>
      <c r="P27" s="60" t="s">
        <v>147</v>
      </c>
      <c r="Q27" s="54" t="s">
        <v>11</v>
      </c>
      <c r="R27" s="4"/>
      <c r="S27" s="1"/>
    </row>
    <row r="28" spans="1:19" x14ac:dyDescent="0.25">
      <c r="A28" s="7" t="s">
        <v>76</v>
      </c>
      <c r="B28" s="17">
        <v>582</v>
      </c>
      <c r="C28" s="11">
        <v>575</v>
      </c>
      <c r="D28" s="11">
        <v>397</v>
      </c>
      <c r="E28" s="11">
        <v>28</v>
      </c>
      <c r="F28" s="11">
        <v>13</v>
      </c>
      <c r="G28" s="11">
        <v>0</v>
      </c>
      <c r="H28" s="12">
        <f t="shared" si="4"/>
        <v>1595</v>
      </c>
      <c r="I28" s="1"/>
      <c r="J28" s="79" t="s">
        <v>146</v>
      </c>
      <c r="K28" s="74">
        <f t="shared" ref="K28:P28" si="5">SUM(K29:K37)</f>
        <v>220</v>
      </c>
      <c r="L28" s="74">
        <f t="shared" si="5"/>
        <v>433</v>
      </c>
      <c r="M28" s="74">
        <f t="shared" si="5"/>
        <v>197</v>
      </c>
      <c r="N28" s="74">
        <f t="shared" si="5"/>
        <v>0</v>
      </c>
      <c r="O28" s="74">
        <f t="shared" si="5"/>
        <v>0</v>
      </c>
      <c r="P28" s="74">
        <f t="shared" si="5"/>
        <v>0</v>
      </c>
      <c r="Q28" s="80">
        <f>SUM(K28:P28)</f>
        <v>850</v>
      </c>
      <c r="R28" s="4"/>
      <c r="S28" s="1"/>
    </row>
    <row r="29" spans="1:19" x14ac:dyDescent="0.25">
      <c r="A29" s="7" t="s">
        <v>74</v>
      </c>
      <c r="B29" s="17">
        <v>588</v>
      </c>
      <c r="C29" s="11">
        <v>575</v>
      </c>
      <c r="D29" s="11">
        <v>398</v>
      </c>
      <c r="E29" s="11">
        <v>8</v>
      </c>
      <c r="F29" s="11">
        <v>0</v>
      </c>
      <c r="G29" s="11">
        <v>0</v>
      </c>
      <c r="H29" s="12">
        <f t="shared" si="4"/>
        <v>1569</v>
      </c>
      <c r="I29" s="1"/>
      <c r="J29" s="45" t="s">
        <v>64</v>
      </c>
      <c r="K29" s="68">
        <v>139</v>
      </c>
      <c r="L29" s="68">
        <v>12</v>
      </c>
      <c r="M29" s="68">
        <v>134</v>
      </c>
      <c r="N29" s="68">
        <v>0</v>
      </c>
      <c r="O29" s="68">
        <v>0</v>
      </c>
      <c r="P29" s="69">
        <v>0</v>
      </c>
      <c r="Q29" s="40">
        <f>SUM(K29:P29)</f>
        <v>285</v>
      </c>
      <c r="R29" s="4"/>
      <c r="S29" s="1"/>
    </row>
    <row r="30" spans="1:19" x14ac:dyDescent="0.25">
      <c r="A30" s="7" t="s">
        <v>22</v>
      </c>
      <c r="B30" s="17">
        <v>621</v>
      </c>
      <c r="C30" s="11">
        <v>632</v>
      </c>
      <c r="D30" s="11">
        <v>480</v>
      </c>
      <c r="E30" s="11">
        <v>44</v>
      </c>
      <c r="F30" s="11">
        <v>22</v>
      </c>
      <c r="G30" s="11">
        <v>0</v>
      </c>
      <c r="H30" s="12">
        <f t="shared" si="4"/>
        <v>1799</v>
      </c>
      <c r="I30" s="1"/>
      <c r="J30" s="45" t="s">
        <v>170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9">
        <v>0</v>
      </c>
      <c r="Q30" s="40">
        <f>SUM(K30:P30)</f>
        <v>0</v>
      </c>
      <c r="R30" s="4"/>
      <c r="S30" s="1"/>
    </row>
    <row r="31" spans="1:19" x14ac:dyDescent="0.25">
      <c r="A31" s="7" t="s">
        <v>23</v>
      </c>
      <c r="B31" s="17">
        <v>621</v>
      </c>
      <c r="C31" s="11">
        <v>632</v>
      </c>
      <c r="D31" s="11">
        <v>481</v>
      </c>
      <c r="E31" s="11">
        <v>44</v>
      </c>
      <c r="F31" s="11">
        <v>22</v>
      </c>
      <c r="G31" s="11">
        <v>0</v>
      </c>
      <c r="H31" s="12">
        <f t="shared" si="4"/>
        <v>1800</v>
      </c>
      <c r="I31" s="1"/>
      <c r="J31" s="45" t="s">
        <v>171</v>
      </c>
      <c r="K31" s="68">
        <v>0</v>
      </c>
      <c r="L31" s="68">
        <v>0</v>
      </c>
      <c r="M31" s="68">
        <v>30</v>
      </c>
      <c r="N31" s="68">
        <v>0</v>
      </c>
      <c r="O31" s="68">
        <v>0</v>
      </c>
      <c r="P31" s="69">
        <v>0</v>
      </c>
      <c r="Q31" s="40">
        <f>SUM(K31:P31)</f>
        <v>30</v>
      </c>
      <c r="R31" s="4"/>
      <c r="S31" s="1"/>
    </row>
    <row r="32" spans="1:19" x14ac:dyDescent="0.25">
      <c r="A32" s="7" t="s">
        <v>202</v>
      </c>
      <c r="B32" s="17">
        <v>0</v>
      </c>
      <c r="C32" s="11">
        <v>1</v>
      </c>
      <c r="D32" s="11">
        <v>3</v>
      </c>
      <c r="E32" s="11">
        <v>0</v>
      </c>
      <c r="F32" s="11">
        <v>1</v>
      </c>
      <c r="G32" s="11">
        <v>0</v>
      </c>
      <c r="H32" s="12">
        <f t="shared" si="4"/>
        <v>5</v>
      </c>
      <c r="I32" s="1"/>
      <c r="J32" s="49" t="s">
        <v>65</v>
      </c>
      <c r="K32" s="68">
        <v>59</v>
      </c>
      <c r="L32" s="68">
        <v>247</v>
      </c>
      <c r="M32" s="68">
        <v>21</v>
      </c>
      <c r="N32" s="68">
        <v>0</v>
      </c>
      <c r="O32" s="68">
        <v>0</v>
      </c>
      <c r="P32" s="69">
        <v>0</v>
      </c>
      <c r="Q32" s="40">
        <f t="shared" ref="Q32:Q37" si="6">SUM(K32:P32)</f>
        <v>327</v>
      </c>
      <c r="R32" s="4"/>
      <c r="S32" s="1"/>
    </row>
    <row r="33" spans="1:19" x14ac:dyDescent="0.25">
      <c r="A33" s="7" t="s">
        <v>159</v>
      </c>
      <c r="B33" s="17">
        <v>194</v>
      </c>
      <c r="C33" s="11">
        <v>181</v>
      </c>
      <c r="D33" s="11">
        <v>58</v>
      </c>
      <c r="E33" s="11">
        <v>0</v>
      </c>
      <c r="F33" s="11">
        <v>2</v>
      </c>
      <c r="G33" s="11">
        <v>0</v>
      </c>
      <c r="H33" s="12">
        <f t="shared" si="4"/>
        <v>435</v>
      </c>
      <c r="I33" s="1"/>
      <c r="J33" s="50" t="s">
        <v>130</v>
      </c>
      <c r="K33" s="70">
        <v>0</v>
      </c>
      <c r="L33" s="70">
        <v>0</v>
      </c>
      <c r="M33" s="70">
        <v>0</v>
      </c>
      <c r="N33" s="70">
        <v>0</v>
      </c>
      <c r="O33" s="70">
        <v>0</v>
      </c>
      <c r="P33" s="69">
        <v>0</v>
      </c>
      <c r="Q33" s="40">
        <f t="shared" si="6"/>
        <v>0</v>
      </c>
      <c r="R33" s="4"/>
      <c r="S33" s="1"/>
    </row>
    <row r="34" spans="1:19" x14ac:dyDescent="0.25">
      <c r="A34" s="7" t="s">
        <v>26</v>
      </c>
      <c r="B34" s="17">
        <v>823</v>
      </c>
      <c r="C34" s="11">
        <v>1141</v>
      </c>
      <c r="D34" s="11">
        <v>124</v>
      </c>
      <c r="E34" s="11">
        <v>50</v>
      </c>
      <c r="F34" s="11">
        <v>6</v>
      </c>
      <c r="G34" s="11">
        <v>0</v>
      </c>
      <c r="H34" s="12">
        <f t="shared" si="4"/>
        <v>2144</v>
      </c>
      <c r="I34" s="1"/>
      <c r="J34" s="67" t="s">
        <v>131</v>
      </c>
      <c r="K34" s="65">
        <v>0</v>
      </c>
      <c r="L34" s="65">
        <v>0</v>
      </c>
      <c r="M34" s="65">
        <v>12</v>
      </c>
      <c r="N34" s="65">
        <v>0</v>
      </c>
      <c r="O34" s="65">
        <v>0</v>
      </c>
      <c r="P34" s="31">
        <v>0</v>
      </c>
      <c r="Q34" s="40">
        <f t="shared" si="6"/>
        <v>12</v>
      </c>
      <c r="R34" s="4"/>
      <c r="S34" s="1"/>
    </row>
    <row r="35" spans="1:19" x14ac:dyDescent="0.25">
      <c r="A35" s="7" t="s">
        <v>82</v>
      </c>
      <c r="B35" s="17">
        <v>525</v>
      </c>
      <c r="C35" s="11">
        <v>304</v>
      </c>
      <c r="D35" s="11">
        <v>305</v>
      </c>
      <c r="E35" s="11">
        <v>11</v>
      </c>
      <c r="F35" s="11">
        <v>9</v>
      </c>
      <c r="G35" s="11">
        <v>0</v>
      </c>
      <c r="H35" s="12">
        <f t="shared" si="4"/>
        <v>1154</v>
      </c>
      <c r="I35" s="1"/>
      <c r="J35" s="67" t="s">
        <v>160</v>
      </c>
      <c r="K35" s="65">
        <v>16</v>
      </c>
      <c r="L35" s="65">
        <v>107</v>
      </c>
      <c r="M35" s="65">
        <v>0</v>
      </c>
      <c r="N35" s="65">
        <v>0</v>
      </c>
      <c r="O35" s="65">
        <v>0</v>
      </c>
      <c r="P35" s="31">
        <v>0</v>
      </c>
      <c r="Q35" s="40">
        <f t="shared" si="6"/>
        <v>123</v>
      </c>
      <c r="R35" s="4"/>
      <c r="S35" s="1"/>
    </row>
    <row r="36" spans="1:19" x14ac:dyDescent="0.25">
      <c r="A36" s="7" t="s">
        <v>30</v>
      </c>
      <c r="B36" s="17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2">
        <f t="shared" si="4"/>
        <v>0</v>
      </c>
      <c r="I36" s="1"/>
      <c r="J36" s="67" t="s">
        <v>211</v>
      </c>
      <c r="K36" s="65">
        <v>6</v>
      </c>
      <c r="L36" s="65">
        <v>39</v>
      </c>
      <c r="M36" s="65">
        <v>0</v>
      </c>
      <c r="N36" s="65">
        <v>0</v>
      </c>
      <c r="O36" s="65">
        <v>0</v>
      </c>
      <c r="P36" s="31">
        <v>0</v>
      </c>
      <c r="Q36" s="40">
        <f t="shared" si="6"/>
        <v>45</v>
      </c>
      <c r="R36" s="4"/>
      <c r="S36" s="1"/>
    </row>
    <row r="37" spans="1:19" ht="15.75" thickBot="1" x14ac:dyDescent="0.3">
      <c r="A37" s="7" t="s">
        <v>31</v>
      </c>
      <c r="B37" s="17">
        <v>0</v>
      </c>
      <c r="C37" s="11">
        <v>3</v>
      </c>
      <c r="D37" s="11">
        <v>0</v>
      </c>
      <c r="E37" s="11">
        <v>0</v>
      </c>
      <c r="F37" s="11">
        <v>0</v>
      </c>
      <c r="G37" s="11">
        <v>0</v>
      </c>
      <c r="H37" s="12">
        <f t="shared" si="4"/>
        <v>3</v>
      </c>
      <c r="I37" s="1"/>
      <c r="J37" s="51" t="s">
        <v>212</v>
      </c>
      <c r="K37" s="71">
        <v>0</v>
      </c>
      <c r="L37" s="71">
        <v>28</v>
      </c>
      <c r="M37" s="71">
        <v>0</v>
      </c>
      <c r="N37" s="71">
        <v>0</v>
      </c>
      <c r="O37" s="71">
        <v>0</v>
      </c>
      <c r="P37" s="72">
        <v>0</v>
      </c>
      <c r="Q37" s="46">
        <f t="shared" si="6"/>
        <v>28</v>
      </c>
      <c r="R37" s="4"/>
      <c r="S37" s="1"/>
    </row>
    <row r="38" spans="1:19" ht="15.75" thickBot="1" x14ac:dyDescent="0.3">
      <c r="A38" s="7" t="s">
        <v>66</v>
      </c>
      <c r="B38" s="17">
        <v>180</v>
      </c>
      <c r="C38" s="11">
        <v>13</v>
      </c>
      <c r="D38" s="11">
        <v>265</v>
      </c>
      <c r="E38" s="11">
        <v>23</v>
      </c>
      <c r="F38" s="11">
        <v>17</v>
      </c>
      <c r="G38" s="11">
        <v>5</v>
      </c>
      <c r="H38" s="12">
        <f t="shared" si="4"/>
        <v>503</v>
      </c>
      <c r="I38" s="1"/>
      <c r="J38" s="34"/>
      <c r="K38" s="34"/>
      <c r="L38" s="34"/>
      <c r="M38" s="34"/>
      <c r="N38" s="34"/>
      <c r="O38" s="34"/>
      <c r="P38" s="34"/>
      <c r="R38" s="4"/>
      <c r="S38" s="1"/>
    </row>
    <row r="39" spans="1:19" x14ac:dyDescent="0.25">
      <c r="A39" s="7" t="s">
        <v>67</v>
      </c>
      <c r="B39" s="17">
        <v>180</v>
      </c>
      <c r="C39" s="11">
        <v>13</v>
      </c>
      <c r="D39" s="11">
        <v>160</v>
      </c>
      <c r="E39" s="11">
        <v>23</v>
      </c>
      <c r="F39" s="11">
        <v>18</v>
      </c>
      <c r="G39" s="11">
        <v>5</v>
      </c>
      <c r="H39" s="12">
        <f t="shared" si="4"/>
        <v>399</v>
      </c>
      <c r="I39" s="1"/>
      <c r="J39" s="134" t="s">
        <v>136</v>
      </c>
      <c r="K39" s="136" t="s">
        <v>11</v>
      </c>
      <c r="L39" s="136"/>
      <c r="M39" s="136"/>
      <c r="N39" s="136"/>
      <c r="O39" s="136"/>
      <c r="P39" s="136"/>
      <c r="Q39" s="137"/>
      <c r="R39" s="4"/>
      <c r="S39" s="1"/>
    </row>
    <row r="40" spans="1:19" x14ac:dyDescent="0.25">
      <c r="A40" s="7" t="s">
        <v>77</v>
      </c>
      <c r="B40" s="17">
        <v>125</v>
      </c>
      <c r="C40" s="11">
        <v>8</v>
      </c>
      <c r="D40" s="11">
        <v>140</v>
      </c>
      <c r="E40" s="11">
        <v>10</v>
      </c>
      <c r="F40" s="11">
        <v>16</v>
      </c>
      <c r="G40" s="11">
        <v>8</v>
      </c>
      <c r="H40" s="12">
        <f t="shared" si="4"/>
        <v>307</v>
      </c>
      <c r="I40" s="1"/>
      <c r="J40" s="135"/>
      <c r="K40" s="30" t="s">
        <v>8</v>
      </c>
      <c r="L40" s="30" t="s">
        <v>9</v>
      </c>
      <c r="M40" s="30" t="s">
        <v>10</v>
      </c>
      <c r="N40" s="30" t="s">
        <v>154</v>
      </c>
      <c r="O40" s="30" t="s">
        <v>155</v>
      </c>
      <c r="P40" s="30" t="s">
        <v>147</v>
      </c>
      <c r="Q40" s="54" t="s">
        <v>11</v>
      </c>
      <c r="R40" s="4"/>
      <c r="S40" s="1"/>
    </row>
    <row r="41" spans="1:19" x14ac:dyDescent="0.25">
      <c r="A41" s="7" t="s">
        <v>78</v>
      </c>
      <c r="B41" s="17">
        <v>125</v>
      </c>
      <c r="C41" s="11">
        <v>8</v>
      </c>
      <c r="D41" s="11">
        <v>146</v>
      </c>
      <c r="E41" s="11">
        <v>10</v>
      </c>
      <c r="F41" s="11">
        <v>16</v>
      </c>
      <c r="G41" s="11">
        <v>7</v>
      </c>
      <c r="H41" s="12">
        <f t="shared" si="4"/>
        <v>312</v>
      </c>
      <c r="I41" s="1"/>
      <c r="J41" s="79" t="s">
        <v>150</v>
      </c>
      <c r="K41" s="74">
        <f>SUM(K42:K49)</f>
        <v>780</v>
      </c>
      <c r="L41" s="74">
        <f t="shared" ref="L41:P41" si="7">SUM(L42:L49)</f>
        <v>245</v>
      </c>
      <c r="M41" s="74">
        <f t="shared" si="7"/>
        <v>42</v>
      </c>
      <c r="N41" s="74">
        <f t="shared" si="7"/>
        <v>0</v>
      </c>
      <c r="O41" s="74">
        <f t="shared" si="7"/>
        <v>0</v>
      </c>
      <c r="P41" s="74">
        <f t="shared" si="7"/>
        <v>0</v>
      </c>
      <c r="Q41" s="80">
        <f>SUM(K41:P41)</f>
        <v>1067</v>
      </c>
      <c r="R41" s="4"/>
      <c r="S41" s="1"/>
    </row>
    <row r="42" spans="1:19" x14ac:dyDescent="0.25">
      <c r="A42" s="7" t="s">
        <v>42</v>
      </c>
      <c r="B42" s="17">
        <v>7</v>
      </c>
      <c r="C42" s="11">
        <v>5</v>
      </c>
      <c r="D42" s="11">
        <v>4</v>
      </c>
      <c r="E42" s="11">
        <v>0</v>
      </c>
      <c r="F42" s="11">
        <v>0</v>
      </c>
      <c r="G42" s="11">
        <v>0</v>
      </c>
      <c r="H42" s="12">
        <f t="shared" si="4"/>
        <v>16</v>
      </c>
      <c r="I42" s="1"/>
      <c r="J42" s="86" t="s">
        <v>165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  <c r="P42" s="89">
        <v>0</v>
      </c>
      <c r="Q42" s="40">
        <f t="shared" ref="Q42:Q49" si="8">SUM(K42:P42)</f>
        <v>0</v>
      </c>
      <c r="R42" s="4"/>
      <c r="S42" s="1"/>
    </row>
    <row r="43" spans="1:19" x14ac:dyDescent="0.25">
      <c r="A43" s="7" t="s">
        <v>43</v>
      </c>
      <c r="B43" s="17">
        <v>8</v>
      </c>
      <c r="C43" s="11">
        <v>4</v>
      </c>
      <c r="D43" s="11">
        <v>55</v>
      </c>
      <c r="E43" s="11">
        <v>5</v>
      </c>
      <c r="F43" s="11">
        <v>0</v>
      </c>
      <c r="G43" s="11">
        <v>0</v>
      </c>
      <c r="H43" s="12">
        <f t="shared" si="4"/>
        <v>72</v>
      </c>
      <c r="I43" s="1"/>
      <c r="J43" s="86" t="s">
        <v>166</v>
      </c>
      <c r="K43" s="89">
        <v>199</v>
      </c>
      <c r="L43" s="89">
        <v>81</v>
      </c>
      <c r="M43" s="89">
        <v>12</v>
      </c>
      <c r="N43" s="89">
        <v>0</v>
      </c>
      <c r="O43" s="89">
        <v>0</v>
      </c>
      <c r="P43" s="89">
        <v>0</v>
      </c>
      <c r="Q43" s="40">
        <f t="shared" si="8"/>
        <v>292</v>
      </c>
      <c r="R43" s="4"/>
      <c r="S43" s="1"/>
    </row>
    <row r="44" spans="1:19" x14ac:dyDescent="0.25">
      <c r="A44" s="7" t="s">
        <v>101</v>
      </c>
      <c r="B44" s="17">
        <v>34</v>
      </c>
      <c r="C44" s="11"/>
      <c r="D44" s="11">
        <v>54</v>
      </c>
      <c r="E44" s="11">
        <v>1</v>
      </c>
      <c r="F44" s="11">
        <v>0</v>
      </c>
      <c r="G44" s="11">
        <v>0</v>
      </c>
      <c r="H44" s="12">
        <f t="shared" si="4"/>
        <v>89</v>
      </c>
      <c r="I44" s="1"/>
      <c r="J44" s="86" t="s">
        <v>167</v>
      </c>
      <c r="K44" s="89">
        <v>42</v>
      </c>
      <c r="L44" s="89">
        <v>8</v>
      </c>
      <c r="M44" s="89">
        <v>0</v>
      </c>
      <c r="N44" s="89">
        <v>0</v>
      </c>
      <c r="O44" s="89">
        <v>0</v>
      </c>
      <c r="P44" s="89">
        <v>0</v>
      </c>
      <c r="Q44" s="40">
        <f t="shared" si="8"/>
        <v>50</v>
      </c>
      <c r="R44" s="4"/>
      <c r="S44" s="1"/>
    </row>
    <row r="45" spans="1:19" x14ac:dyDescent="0.25">
      <c r="A45" s="7" t="s">
        <v>95</v>
      </c>
      <c r="B45" s="37">
        <v>49</v>
      </c>
      <c r="C45" s="11">
        <v>101</v>
      </c>
      <c r="D45" s="11">
        <v>27</v>
      </c>
      <c r="E45" s="11">
        <v>3</v>
      </c>
      <c r="F45" s="11">
        <v>0</v>
      </c>
      <c r="G45" s="11">
        <v>0</v>
      </c>
      <c r="H45" s="12">
        <f t="shared" si="4"/>
        <v>180</v>
      </c>
      <c r="I45" s="1"/>
      <c r="J45" s="88" t="s">
        <v>168</v>
      </c>
      <c r="K45" s="90">
        <v>41</v>
      </c>
      <c r="L45" s="90">
        <v>5</v>
      </c>
      <c r="M45" s="90">
        <v>0</v>
      </c>
      <c r="N45" s="90">
        <v>0</v>
      </c>
      <c r="O45" s="90">
        <v>0</v>
      </c>
      <c r="P45" s="90">
        <v>0</v>
      </c>
      <c r="Q45" s="40">
        <f t="shared" si="8"/>
        <v>46</v>
      </c>
      <c r="R45" s="4"/>
      <c r="S45" s="1"/>
    </row>
    <row r="46" spans="1:19" x14ac:dyDescent="0.25">
      <c r="A46" s="7" t="s">
        <v>96</v>
      </c>
      <c r="B46" s="37">
        <v>35</v>
      </c>
      <c r="C46" s="11">
        <v>1</v>
      </c>
      <c r="D46" s="11">
        <v>47</v>
      </c>
      <c r="E46" s="11">
        <v>0</v>
      </c>
      <c r="F46" s="11">
        <v>0</v>
      </c>
      <c r="G46" s="11">
        <v>0</v>
      </c>
      <c r="H46" s="12">
        <f t="shared" si="4"/>
        <v>83</v>
      </c>
      <c r="J46" s="88" t="s">
        <v>34</v>
      </c>
      <c r="K46" s="90">
        <v>28</v>
      </c>
      <c r="L46" s="90">
        <v>0</v>
      </c>
      <c r="M46" s="90">
        <v>0</v>
      </c>
      <c r="N46" s="90">
        <v>0</v>
      </c>
      <c r="O46" s="90">
        <v>0</v>
      </c>
      <c r="P46" s="90">
        <v>0</v>
      </c>
      <c r="Q46" s="100">
        <f t="shared" si="8"/>
        <v>28</v>
      </c>
      <c r="R46" s="4"/>
      <c r="S46" s="1"/>
    </row>
    <row r="47" spans="1:19" x14ac:dyDescent="0.25">
      <c r="A47" s="7" t="s">
        <v>97</v>
      </c>
      <c r="B47" s="37">
        <v>25</v>
      </c>
      <c r="C47" s="11">
        <v>1</v>
      </c>
      <c r="D47" s="11">
        <v>19</v>
      </c>
      <c r="E47" s="11">
        <v>0</v>
      </c>
      <c r="F47" s="11">
        <v>2</v>
      </c>
      <c r="G47" s="11">
        <v>0</v>
      </c>
      <c r="H47" s="12">
        <f t="shared" si="4"/>
        <v>47</v>
      </c>
      <c r="I47" s="1"/>
      <c r="J47" s="86" t="s">
        <v>179</v>
      </c>
      <c r="K47" s="89">
        <v>175</v>
      </c>
      <c r="L47" s="89">
        <v>51</v>
      </c>
      <c r="M47" s="89">
        <v>12</v>
      </c>
      <c r="N47" s="89">
        <v>0</v>
      </c>
      <c r="O47" s="89">
        <v>0</v>
      </c>
      <c r="P47" s="89">
        <v>0</v>
      </c>
      <c r="Q47" s="40">
        <f t="shared" si="8"/>
        <v>238</v>
      </c>
      <c r="R47" s="4"/>
      <c r="S47" s="1"/>
    </row>
    <row r="48" spans="1:19" x14ac:dyDescent="0.25">
      <c r="A48" s="36" t="s">
        <v>98</v>
      </c>
      <c r="B48" s="37">
        <v>25</v>
      </c>
      <c r="C48" s="11">
        <v>1</v>
      </c>
      <c r="D48" s="11">
        <v>19</v>
      </c>
      <c r="E48" s="11">
        <v>0</v>
      </c>
      <c r="F48" s="11">
        <v>2</v>
      </c>
      <c r="G48" s="11">
        <v>0</v>
      </c>
      <c r="H48" s="12">
        <f t="shared" si="4"/>
        <v>47</v>
      </c>
      <c r="I48" s="1"/>
      <c r="J48" s="86" t="s">
        <v>177</v>
      </c>
      <c r="K48" s="89">
        <v>245</v>
      </c>
      <c r="L48" s="89">
        <v>88</v>
      </c>
      <c r="M48" s="89">
        <v>18</v>
      </c>
      <c r="N48" s="89">
        <v>0</v>
      </c>
      <c r="O48" s="89">
        <v>0</v>
      </c>
      <c r="P48" s="89">
        <v>0</v>
      </c>
      <c r="Q48" s="40">
        <f t="shared" si="8"/>
        <v>351</v>
      </c>
      <c r="R48" s="4"/>
      <c r="S48" s="1"/>
    </row>
    <row r="49" spans="1:19" ht="15.75" thickBot="1" x14ac:dyDescent="0.3">
      <c r="A49" s="7" t="s">
        <v>86</v>
      </c>
      <c r="B49" s="17">
        <v>0</v>
      </c>
      <c r="C49" s="11">
        <v>859</v>
      </c>
      <c r="D49" s="11">
        <v>0</v>
      </c>
      <c r="E49" s="11">
        <v>1</v>
      </c>
      <c r="F49" s="11">
        <v>0</v>
      </c>
      <c r="G49" s="11">
        <v>0</v>
      </c>
      <c r="H49" s="14">
        <f>SUM(B49:G49)</f>
        <v>860</v>
      </c>
      <c r="I49" s="1"/>
      <c r="J49" s="87" t="s">
        <v>178</v>
      </c>
      <c r="K49" s="71">
        <v>50</v>
      </c>
      <c r="L49" s="71">
        <v>12</v>
      </c>
      <c r="M49" s="71">
        <v>0</v>
      </c>
      <c r="N49" s="71">
        <v>0</v>
      </c>
      <c r="O49" s="71">
        <v>0</v>
      </c>
      <c r="P49" s="71">
        <v>0</v>
      </c>
      <c r="Q49" s="40">
        <f t="shared" si="8"/>
        <v>62</v>
      </c>
      <c r="R49" s="4"/>
      <c r="S49" s="1"/>
    </row>
    <row r="50" spans="1:19" x14ac:dyDescent="0.25">
      <c r="A50" s="18" t="s">
        <v>87</v>
      </c>
      <c r="B50" s="38">
        <v>0</v>
      </c>
      <c r="C50" s="19">
        <v>225</v>
      </c>
      <c r="D50" s="19">
        <v>576</v>
      </c>
      <c r="E50" s="19">
        <v>2</v>
      </c>
      <c r="F50" s="21">
        <v>13</v>
      </c>
      <c r="G50" s="19">
        <v>0</v>
      </c>
      <c r="H50" s="14">
        <f>SUM(B50:G50)</f>
        <v>816</v>
      </c>
      <c r="I50" s="1"/>
      <c r="J50" s="158"/>
      <c r="K50" s="158"/>
      <c r="L50" s="158"/>
      <c r="M50" s="158"/>
      <c r="N50" s="34"/>
      <c r="O50" s="34"/>
      <c r="P50" s="34"/>
      <c r="Q50" s="34"/>
      <c r="R50" s="4"/>
      <c r="S50" s="1"/>
    </row>
    <row r="51" spans="1:19" ht="15.75" thickBot="1" x14ac:dyDescent="0.3">
      <c r="A51" s="73" t="s">
        <v>139</v>
      </c>
      <c r="B51" s="75">
        <f t="shared" ref="B51:G51" si="9">SUM(B52:B68)</f>
        <v>4792</v>
      </c>
      <c r="C51" s="75">
        <f t="shared" si="9"/>
        <v>4726</v>
      </c>
      <c r="D51" s="77">
        <f t="shared" si="9"/>
        <v>2489</v>
      </c>
      <c r="E51" s="75">
        <f t="shared" si="9"/>
        <v>168</v>
      </c>
      <c r="F51" s="75">
        <f t="shared" si="9"/>
        <v>105</v>
      </c>
      <c r="G51" s="78">
        <f t="shared" si="9"/>
        <v>0</v>
      </c>
      <c r="H51" s="75">
        <f>SUM(B51:G51)</f>
        <v>12280</v>
      </c>
      <c r="I51" s="1"/>
      <c r="Q51" s="24"/>
      <c r="R51" s="4"/>
      <c r="S51" s="1"/>
    </row>
    <row r="52" spans="1:19" x14ac:dyDescent="0.25">
      <c r="A52" s="7" t="s">
        <v>90</v>
      </c>
      <c r="B52" s="13">
        <v>464</v>
      </c>
      <c r="C52" s="13">
        <v>110</v>
      </c>
      <c r="D52" s="25">
        <v>45</v>
      </c>
      <c r="E52" s="65">
        <v>0</v>
      </c>
      <c r="F52" s="65">
        <v>3</v>
      </c>
      <c r="G52" s="65">
        <v>0</v>
      </c>
      <c r="H52" s="26">
        <f t="shared" ref="H52:H113" si="10">SUM(B52:G52)</f>
        <v>622</v>
      </c>
      <c r="I52" s="1"/>
      <c r="J52" s="159" t="s">
        <v>152</v>
      </c>
      <c r="K52" s="160"/>
      <c r="L52" s="160"/>
      <c r="M52" s="160"/>
      <c r="N52" s="160"/>
      <c r="O52" s="160"/>
      <c r="P52" s="160"/>
      <c r="Q52" s="161"/>
      <c r="R52" s="4"/>
      <c r="S52" s="1"/>
    </row>
    <row r="53" spans="1:19" x14ac:dyDescent="0.25">
      <c r="A53" s="7" t="s">
        <v>91</v>
      </c>
      <c r="B53" s="13">
        <v>1</v>
      </c>
      <c r="C53" s="13">
        <v>2</v>
      </c>
      <c r="D53" s="25">
        <v>65</v>
      </c>
      <c r="E53" s="66">
        <v>9</v>
      </c>
      <c r="F53" s="66">
        <v>3</v>
      </c>
      <c r="G53" s="66">
        <v>0</v>
      </c>
      <c r="H53" s="26">
        <f t="shared" si="10"/>
        <v>80</v>
      </c>
      <c r="I53" s="1"/>
      <c r="J53" s="138" t="s">
        <v>72</v>
      </c>
      <c r="K53" s="139"/>
      <c r="L53" s="139"/>
      <c r="M53" s="139"/>
      <c r="N53" s="139"/>
      <c r="O53" s="139"/>
      <c r="P53" s="139"/>
      <c r="Q53" s="62" t="s">
        <v>11</v>
      </c>
      <c r="R53" s="4"/>
      <c r="S53" s="1"/>
    </row>
    <row r="54" spans="1:19" x14ac:dyDescent="0.25">
      <c r="A54" s="7" t="s">
        <v>32</v>
      </c>
      <c r="B54" s="13">
        <v>1279</v>
      </c>
      <c r="C54" s="13">
        <v>2160</v>
      </c>
      <c r="D54" s="25">
        <v>883</v>
      </c>
      <c r="E54" s="66">
        <v>87</v>
      </c>
      <c r="F54" s="66">
        <v>39</v>
      </c>
      <c r="G54" s="66">
        <v>0</v>
      </c>
      <c r="H54" s="26">
        <f t="shared" si="10"/>
        <v>4448</v>
      </c>
      <c r="I54" s="1"/>
      <c r="J54" s="138" t="s">
        <v>71</v>
      </c>
      <c r="K54" s="139"/>
      <c r="L54" s="139"/>
      <c r="M54" s="139"/>
      <c r="N54" s="139"/>
      <c r="O54" s="139"/>
      <c r="P54" s="139"/>
      <c r="Q54" s="47">
        <v>4</v>
      </c>
      <c r="R54" s="4"/>
      <c r="S54" s="1"/>
    </row>
    <row r="55" spans="1:19" x14ac:dyDescent="0.25">
      <c r="A55" s="7" t="s">
        <v>34</v>
      </c>
      <c r="B55" s="11">
        <v>6</v>
      </c>
      <c r="C55" s="13">
        <v>6</v>
      </c>
      <c r="D55" s="23">
        <v>8</v>
      </c>
      <c r="E55" s="66">
        <v>0</v>
      </c>
      <c r="F55" s="66">
        <v>2</v>
      </c>
      <c r="G55" s="66">
        <v>0</v>
      </c>
      <c r="H55" s="26">
        <f t="shared" si="10"/>
        <v>22</v>
      </c>
      <c r="I55" s="1"/>
      <c r="J55" s="138" t="s">
        <v>137</v>
      </c>
      <c r="K55" s="139"/>
      <c r="L55" s="139"/>
      <c r="M55" s="139"/>
      <c r="N55" s="139"/>
      <c r="O55" s="139"/>
      <c r="P55" s="139"/>
      <c r="Q55" s="47">
        <f>(H12)</f>
        <v>27315</v>
      </c>
      <c r="R55" s="4"/>
      <c r="S55" s="1"/>
    </row>
    <row r="56" spans="1:19" x14ac:dyDescent="0.25">
      <c r="A56" s="7" t="s">
        <v>33</v>
      </c>
      <c r="B56" s="13">
        <v>433</v>
      </c>
      <c r="C56" s="13">
        <v>746</v>
      </c>
      <c r="D56" s="25">
        <v>342</v>
      </c>
      <c r="E56" s="66">
        <v>15</v>
      </c>
      <c r="F56" s="66">
        <v>8</v>
      </c>
      <c r="G56" s="66">
        <v>0</v>
      </c>
      <c r="H56" s="26">
        <f t="shared" si="10"/>
        <v>1544</v>
      </c>
      <c r="I56" s="1"/>
      <c r="J56" s="138" t="s">
        <v>138</v>
      </c>
      <c r="K56" s="139"/>
      <c r="L56" s="139"/>
      <c r="M56" s="139"/>
      <c r="N56" s="139"/>
      <c r="O56" s="139"/>
      <c r="P56" s="139"/>
      <c r="Q56" s="48">
        <f>(H51)</f>
        <v>12280</v>
      </c>
      <c r="R56" s="4"/>
      <c r="S56" s="1"/>
    </row>
    <row r="57" spans="1:19" x14ac:dyDescent="0.25">
      <c r="A57" s="7" t="s">
        <v>2</v>
      </c>
      <c r="B57" s="11">
        <v>78</v>
      </c>
      <c r="C57" s="11">
        <v>1</v>
      </c>
      <c r="D57" s="23">
        <v>25</v>
      </c>
      <c r="E57" s="66">
        <v>4</v>
      </c>
      <c r="F57" s="66">
        <v>1</v>
      </c>
      <c r="G57" s="66">
        <v>0</v>
      </c>
      <c r="H57" s="26">
        <f t="shared" si="10"/>
        <v>109</v>
      </c>
      <c r="I57" s="1"/>
      <c r="J57" s="138" t="s">
        <v>140</v>
      </c>
      <c r="K57" s="139"/>
      <c r="L57" s="139"/>
      <c r="M57" s="139"/>
      <c r="N57" s="139"/>
      <c r="O57" s="139"/>
      <c r="P57" s="139"/>
      <c r="Q57" s="48">
        <f>(H69)</f>
        <v>684</v>
      </c>
      <c r="R57" s="4"/>
      <c r="S57" s="1"/>
    </row>
    <row r="58" spans="1:19" x14ac:dyDescent="0.25">
      <c r="A58" s="7" t="s">
        <v>88</v>
      </c>
      <c r="B58" s="11">
        <v>16</v>
      </c>
      <c r="C58" s="11">
        <v>0</v>
      </c>
      <c r="D58" s="23">
        <v>6</v>
      </c>
      <c r="E58" s="66">
        <v>0</v>
      </c>
      <c r="F58" s="66">
        <v>0</v>
      </c>
      <c r="G58" s="66">
        <v>0</v>
      </c>
      <c r="H58" s="26">
        <f t="shared" si="10"/>
        <v>22</v>
      </c>
      <c r="I58" s="1"/>
      <c r="J58" s="138" t="s">
        <v>144</v>
      </c>
      <c r="K58" s="139"/>
      <c r="L58" s="139"/>
      <c r="M58" s="139"/>
      <c r="N58" s="139"/>
      <c r="O58" s="139"/>
      <c r="P58" s="139"/>
      <c r="Q58" s="48">
        <f>H82</f>
        <v>1684</v>
      </c>
      <c r="R58" s="4"/>
      <c r="S58" s="1"/>
    </row>
    <row r="59" spans="1:19" x14ac:dyDescent="0.25">
      <c r="A59" s="7" t="s">
        <v>89</v>
      </c>
      <c r="B59" s="11">
        <v>1</v>
      </c>
      <c r="C59" s="11">
        <v>0</v>
      </c>
      <c r="D59" s="23">
        <v>2</v>
      </c>
      <c r="E59" s="66">
        <v>0</v>
      </c>
      <c r="F59" s="66">
        <v>0</v>
      </c>
      <c r="G59" s="66">
        <v>0</v>
      </c>
      <c r="H59" s="26">
        <f t="shared" si="10"/>
        <v>3</v>
      </c>
      <c r="I59" s="1"/>
      <c r="J59" s="138" t="s">
        <v>141</v>
      </c>
      <c r="K59" s="139"/>
      <c r="L59" s="139"/>
      <c r="M59" s="139"/>
      <c r="N59" s="139"/>
      <c r="O59" s="139"/>
      <c r="P59" s="139"/>
      <c r="Q59" s="48">
        <f>H95</f>
        <v>4069</v>
      </c>
      <c r="R59" s="4"/>
      <c r="S59" s="1"/>
    </row>
    <row r="60" spans="1:19" x14ac:dyDescent="0.25">
      <c r="A60" s="7" t="s">
        <v>35</v>
      </c>
      <c r="B60" s="11">
        <v>589</v>
      </c>
      <c r="C60" s="11">
        <v>860</v>
      </c>
      <c r="D60" s="23">
        <v>371</v>
      </c>
      <c r="E60" s="66">
        <v>20</v>
      </c>
      <c r="F60" s="66">
        <v>11</v>
      </c>
      <c r="G60" s="66">
        <v>0</v>
      </c>
      <c r="H60" s="26">
        <f t="shared" si="10"/>
        <v>1851</v>
      </c>
      <c r="I60" s="1"/>
      <c r="J60" s="138" t="s">
        <v>143</v>
      </c>
      <c r="K60" s="139"/>
      <c r="L60" s="139"/>
      <c r="M60" s="139"/>
      <c r="N60" s="139"/>
      <c r="O60" s="139"/>
      <c r="P60" s="139"/>
      <c r="Q60" s="63">
        <f>Q11</f>
        <v>1011</v>
      </c>
      <c r="R60" s="4"/>
      <c r="S60" s="1"/>
    </row>
    <row r="61" spans="1:19" x14ac:dyDescent="0.25">
      <c r="A61" s="7" t="s">
        <v>36</v>
      </c>
      <c r="B61" s="11">
        <v>18</v>
      </c>
      <c r="C61" s="11">
        <v>4</v>
      </c>
      <c r="D61" s="23">
        <v>10</v>
      </c>
      <c r="E61" s="66">
        <v>0</v>
      </c>
      <c r="F61" s="66">
        <v>1</v>
      </c>
      <c r="G61" s="66">
        <v>0</v>
      </c>
      <c r="H61" s="26">
        <f t="shared" si="10"/>
        <v>33</v>
      </c>
      <c r="I61" s="1"/>
      <c r="J61" s="138" t="s">
        <v>145</v>
      </c>
      <c r="K61" s="139"/>
      <c r="L61" s="139"/>
      <c r="M61" s="139"/>
      <c r="N61" s="139"/>
      <c r="O61" s="139"/>
      <c r="P61" s="139"/>
      <c r="Q61" s="41">
        <f>Q28</f>
        <v>850</v>
      </c>
      <c r="R61" s="4"/>
      <c r="S61" s="1"/>
    </row>
    <row r="62" spans="1:19" ht="15.75" thickBot="1" x14ac:dyDescent="0.3">
      <c r="A62" s="7" t="s">
        <v>119</v>
      </c>
      <c r="B62" s="11">
        <v>0</v>
      </c>
      <c r="C62" s="10">
        <v>0</v>
      </c>
      <c r="D62" s="23">
        <v>0</v>
      </c>
      <c r="E62" s="66">
        <v>0</v>
      </c>
      <c r="F62" s="66">
        <v>0</v>
      </c>
      <c r="G62" s="66">
        <v>0</v>
      </c>
      <c r="H62" s="26">
        <f>SUM(B62:G62)</f>
        <v>0</v>
      </c>
      <c r="I62" s="1"/>
      <c r="J62" s="144" t="s">
        <v>151</v>
      </c>
      <c r="K62" s="145"/>
      <c r="L62" s="145"/>
      <c r="M62" s="145"/>
      <c r="N62" s="145"/>
      <c r="O62" s="145"/>
      <c r="P62" s="145"/>
      <c r="Q62" s="64">
        <f>Q41</f>
        <v>1067</v>
      </c>
      <c r="R62" s="4"/>
      <c r="S62" s="1"/>
    </row>
    <row r="63" spans="1:19" ht="15.75" thickBot="1" x14ac:dyDescent="0.3">
      <c r="A63" s="7" t="s">
        <v>118</v>
      </c>
      <c r="B63" s="11">
        <v>18</v>
      </c>
      <c r="C63" s="11">
        <v>0</v>
      </c>
      <c r="D63" s="23">
        <v>7</v>
      </c>
      <c r="E63" s="66">
        <v>1</v>
      </c>
      <c r="F63" s="66">
        <v>1</v>
      </c>
      <c r="G63" s="66">
        <v>0</v>
      </c>
      <c r="H63" s="33">
        <f>SUM(B63:G63)</f>
        <v>27</v>
      </c>
      <c r="I63" s="1"/>
      <c r="M63" s="53"/>
      <c r="N63" s="53"/>
      <c r="O63" s="53"/>
      <c r="P63" s="39" t="s">
        <v>11</v>
      </c>
      <c r="Q63" s="61">
        <f>SUM(Q54:Q62)</f>
        <v>48964</v>
      </c>
      <c r="R63" s="4"/>
      <c r="S63" s="1"/>
    </row>
    <row r="64" spans="1:19" x14ac:dyDescent="0.25">
      <c r="A64" s="8" t="s">
        <v>37</v>
      </c>
      <c r="B64" s="31">
        <v>284</v>
      </c>
      <c r="C64" s="20">
        <v>98</v>
      </c>
      <c r="D64" s="42">
        <v>57</v>
      </c>
      <c r="E64" s="65">
        <v>3</v>
      </c>
      <c r="F64" s="65">
        <v>9</v>
      </c>
      <c r="G64" s="65">
        <v>0</v>
      </c>
      <c r="H64" s="26">
        <f t="shared" si="10"/>
        <v>451</v>
      </c>
      <c r="I64" s="1"/>
      <c r="P64" s="1"/>
      <c r="Q64" s="1"/>
      <c r="R64" s="4"/>
      <c r="S64" s="1"/>
    </row>
    <row r="65" spans="1:19" x14ac:dyDescent="0.25">
      <c r="A65" s="7" t="s">
        <v>38</v>
      </c>
      <c r="B65" s="11">
        <v>656</v>
      </c>
      <c r="C65" s="10">
        <v>310</v>
      </c>
      <c r="D65" s="23">
        <v>308</v>
      </c>
      <c r="E65" s="66">
        <v>13</v>
      </c>
      <c r="F65" s="66">
        <v>12</v>
      </c>
      <c r="G65" s="66">
        <v>0</v>
      </c>
      <c r="H65" s="26">
        <f t="shared" si="10"/>
        <v>1299</v>
      </c>
      <c r="I65" s="1"/>
      <c r="R65" s="4"/>
      <c r="S65" s="1"/>
    </row>
    <row r="66" spans="1:19" x14ac:dyDescent="0.25">
      <c r="A66" s="7" t="s">
        <v>73</v>
      </c>
      <c r="B66" s="11">
        <v>656</v>
      </c>
      <c r="C66" s="10">
        <v>310</v>
      </c>
      <c r="D66" s="23">
        <v>308</v>
      </c>
      <c r="E66" s="11">
        <v>13</v>
      </c>
      <c r="F66" s="11">
        <v>12</v>
      </c>
      <c r="G66" s="11">
        <v>0</v>
      </c>
      <c r="H66" s="26">
        <f t="shared" si="10"/>
        <v>1299</v>
      </c>
      <c r="I66" s="1"/>
      <c r="J66" s="1"/>
      <c r="K66" s="1"/>
      <c r="L66" s="1"/>
      <c r="M66" s="1"/>
      <c r="N66" s="1"/>
      <c r="O66" s="1"/>
      <c r="R66" s="4"/>
      <c r="S66" s="1"/>
    </row>
    <row r="67" spans="1:19" x14ac:dyDescent="0.25">
      <c r="A67" s="7" t="s">
        <v>39</v>
      </c>
      <c r="B67" s="11">
        <v>288</v>
      </c>
      <c r="C67" s="10">
        <v>113</v>
      </c>
      <c r="D67" s="23">
        <v>37</v>
      </c>
      <c r="E67" s="11">
        <v>3</v>
      </c>
      <c r="F67" s="11">
        <v>2</v>
      </c>
      <c r="G67" s="11">
        <v>0</v>
      </c>
      <c r="H67" s="26">
        <f t="shared" si="10"/>
        <v>443</v>
      </c>
      <c r="I67" s="1"/>
      <c r="R67" s="4"/>
      <c r="S67" s="1"/>
    </row>
    <row r="68" spans="1:19" x14ac:dyDescent="0.25">
      <c r="A68" s="18" t="s">
        <v>40</v>
      </c>
      <c r="B68" s="19">
        <v>5</v>
      </c>
      <c r="C68" s="21">
        <v>6</v>
      </c>
      <c r="D68" s="43">
        <v>15</v>
      </c>
      <c r="E68" s="19">
        <v>0</v>
      </c>
      <c r="F68" s="19">
        <v>1</v>
      </c>
      <c r="G68" s="19">
        <v>0</v>
      </c>
      <c r="H68" s="26">
        <f t="shared" si="10"/>
        <v>27</v>
      </c>
      <c r="I68" s="1"/>
      <c r="R68" s="4"/>
      <c r="S68" s="1"/>
    </row>
    <row r="69" spans="1:19" x14ac:dyDescent="0.25">
      <c r="A69" s="73" t="s">
        <v>54</v>
      </c>
      <c r="B69" s="74">
        <f t="shared" ref="B69:G69" si="11">SUM(B70:B81)</f>
        <v>434</v>
      </c>
      <c r="C69" s="74">
        <f t="shared" si="11"/>
        <v>81</v>
      </c>
      <c r="D69" s="74">
        <f t="shared" si="11"/>
        <v>154</v>
      </c>
      <c r="E69" s="74">
        <f t="shared" si="11"/>
        <v>15</v>
      </c>
      <c r="F69" s="74">
        <f t="shared" si="11"/>
        <v>0</v>
      </c>
      <c r="G69" s="76">
        <f t="shared" si="11"/>
        <v>0</v>
      </c>
      <c r="H69" s="75">
        <f t="shared" si="10"/>
        <v>684</v>
      </c>
      <c r="I69" s="1"/>
      <c r="R69" s="4"/>
      <c r="S69" s="1"/>
    </row>
    <row r="70" spans="1:19" x14ac:dyDescent="0.25">
      <c r="A70" s="52" t="s">
        <v>55</v>
      </c>
      <c r="B70" s="65">
        <v>73</v>
      </c>
      <c r="C70" s="10">
        <v>13</v>
      </c>
      <c r="D70" s="65">
        <v>112</v>
      </c>
      <c r="E70" s="65">
        <v>10</v>
      </c>
      <c r="F70" s="11">
        <v>0</v>
      </c>
      <c r="G70" s="65">
        <v>0</v>
      </c>
      <c r="H70" s="26">
        <f t="shared" si="10"/>
        <v>208</v>
      </c>
      <c r="I70" s="1"/>
      <c r="R70" s="4"/>
      <c r="S70" s="1"/>
    </row>
    <row r="71" spans="1:19" x14ac:dyDescent="0.25">
      <c r="A71" s="52" t="s">
        <v>56</v>
      </c>
      <c r="B71" s="66">
        <v>133</v>
      </c>
      <c r="C71" s="91">
        <v>45</v>
      </c>
      <c r="D71" s="66">
        <v>9</v>
      </c>
      <c r="E71" s="66">
        <v>0</v>
      </c>
      <c r="F71" s="11">
        <v>0</v>
      </c>
      <c r="G71" s="66">
        <v>0</v>
      </c>
      <c r="H71" s="26">
        <f t="shared" si="10"/>
        <v>187</v>
      </c>
      <c r="I71" s="1"/>
      <c r="R71" s="4"/>
      <c r="S71" s="1"/>
    </row>
    <row r="72" spans="1:19" x14ac:dyDescent="0.25">
      <c r="A72" s="52" t="s">
        <v>58</v>
      </c>
      <c r="B72" s="66">
        <v>7</v>
      </c>
      <c r="C72" s="10">
        <v>0</v>
      </c>
      <c r="D72" s="66">
        <v>0</v>
      </c>
      <c r="E72" s="66">
        <v>0</v>
      </c>
      <c r="F72" s="11">
        <v>0</v>
      </c>
      <c r="G72" s="66">
        <v>0</v>
      </c>
      <c r="H72" s="26">
        <f t="shared" si="10"/>
        <v>7</v>
      </c>
      <c r="I72" s="1"/>
      <c r="R72" s="4"/>
      <c r="S72" s="1"/>
    </row>
    <row r="73" spans="1:19" x14ac:dyDescent="0.25">
      <c r="A73" s="52" t="s">
        <v>68</v>
      </c>
      <c r="B73" s="66">
        <v>64</v>
      </c>
      <c r="C73" s="91">
        <v>4</v>
      </c>
      <c r="D73" s="66">
        <v>8</v>
      </c>
      <c r="E73" s="66">
        <v>4</v>
      </c>
      <c r="F73" s="92">
        <v>0</v>
      </c>
      <c r="G73" s="66">
        <v>0</v>
      </c>
      <c r="H73" s="26">
        <f t="shared" si="10"/>
        <v>80</v>
      </c>
      <c r="I73" s="1"/>
      <c r="R73" s="4"/>
      <c r="S73" s="1"/>
    </row>
    <row r="74" spans="1:19" x14ac:dyDescent="0.25">
      <c r="A74" s="52" t="s">
        <v>69</v>
      </c>
      <c r="B74" s="66">
        <v>14</v>
      </c>
      <c r="C74" s="91">
        <v>1</v>
      </c>
      <c r="D74" s="66">
        <v>1</v>
      </c>
      <c r="E74" s="66">
        <v>0</v>
      </c>
      <c r="F74" s="92">
        <v>0</v>
      </c>
      <c r="G74" s="66">
        <v>0</v>
      </c>
      <c r="H74" s="26">
        <f t="shared" si="10"/>
        <v>16</v>
      </c>
      <c r="I74" s="1"/>
      <c r="R74" s="4"/>
      <c r="S74" s="1"/>
    </row>
    <row r="75" spans="1:19" x14ac:dyDescent="0.25">
      <c r="A75" s="52" t="s">
        <v>57</v>
      </c>
      <c r="B75" s="66">
        <v>10</v>
      </c>
      <c r="C75" s="91">
        <v>2</v>
      </c>
      <c r="D75" s="66">
        <v>2</v>
      </c>
      <c r="E75" s="66">
        <v>1</v>
      </c>
      <c r="F75" s="91">
        <v>0</v>
      </c>
      <c r="G75" s="66">
        <v>0</v>
      </c>
      <c r="H75" s="26">
        <f t="shared" si="10"/>
        <v>15</v>
      </c>
      <c r="I75" s="1"/>
      <c r="R75" s="4"/>
      <c r="S75" s="1"/>
    </row>
    <row r="76" spans="1:19" x14ac:dyDescent="0.25">
      <c r="A76" s="52" t="s">
        <v>142</v>
      </c>
      <c r="B76" s="66">
        <v>42</v>
      </c>
      <c r="C76" s="91">
        <v>6</v>
      </c>
      <c r="D76" s="66">
        <v>7</v>
      </c>
      <c r="E76" s="66">
        <v>0</v>
      </c>
      <c r="F76" s="92">
        <v>0</v>
      </c>
      <c r="G76" s="66">
        <v>0</v>
      </c>
      <c r="H76" s="26">
        <f t="shared" si="10"/>
        <v>55</v>
      </c>
      <c r="I76" s="1"/>
      <c r="R76" s="4"/>
      <c r="S76" s="1"/>
    </row>
    <row r="77" spans="1:19" x14ac:dyDescent="0.25">
      <c r="A77" s="52" t="s">
        <v>59</v>
      </c>
      <c r="B77" s="66">
        <v>16</v>
      </c>
      <c r="C77" s="91">
        <v>3</v>
      </c>
      <c r="D77" s="66">
        <v>6</v>
      </c>
      <c r="E77" s="66">
        <v>0</v>
      </c>
      <c r="F77" s="92">
        <v>0</v>
      </c>
      <c r="G77" s="66">
        <v>0</v>
      </c>
      <c r="H77" s="26">
        <f t="shared" si="10"/>
        <v>25</v>
      </c>
      <c r="I77" s="1"/>
      <c r="R77" s="4"/>
      <c r="S77" s="1"/>
    </row>
    <row r="78" spans="1:19" x14ac:dyDescent="0.25">
      <c r="A78" s="52" t="s">
        <v>60</v>
      </c>
      <c r="B78" s="66">
        <v>31</v>
      </c>
      <c r="C78" s="91">
        <v>4</v>
      </c>
      <c r="D78" s="66">
        <v>5</v>
      </c>
      <c r="E78" s="66">
        <v>0</v>
      </c>
      <c r="F78" s="91">
        <v>0</v>
      </c>
      <c r="G78" s="66">
        <v>0</v>
      </c>
      <c r="H78" s="26">
        <f t="shared" si="10"/>
        <v>40</v>
      </c>
      <c r="I78" s="1"/>
      <c r="R78" s="4"/>
      <c r="S78" s="1"/>
    </row>
    <row r="79" spans="1:19" x14ac:dyDescent="0.25">
      <c r="A79" s="52" t="s">
        <v>106</v>
      </c>
      <c r="B79" s="66">
        <v>14</v>
      </c>
      <c r="C79" s="91">
        <v>1</v>
      </c>
      <c r="D79" s="66">
        <v>1</v>
      </c>
      <c r="E79" s="66">
        <v>0</v>
      </c>
      <c r="F79" s="91">
        <v>0</v>
      </c>
      <c r="G79" s="66">
        <v>0</v>
      </c>
      <c r="H79" s="26">
        <f t="shared" si="10"/>
        <v>16</v>
      </c>
      <c r="I79" s="1"/>
      <c r="R79" s="4"/>
      <c r="S79" s="1"/>
    </row>
    <row r="80" spans="1:19" x14ac:dyDescent="0.25">
      <c r="A80" s="52" t="s">
        <v>132</v>
      </c>
      <c r="B80" s="66">
        <v>14</v>
      </c>
      <c r="C80" s="91">
        <v>1</v>
      </c>
      <c r="D80" s="66">
        <v>1</v>
      </c>
      <c r="E80" s="66">
        <v>0</v>
      </c>
      <c r="F80" s="92">
        <v>0</v>
      </c>
      <c r="G80" s="66">
        <v>0</v>
      </c>
      <c r="H80" s="26">
        <f t="shared" si="10"/>
        <v>16</v>
      </c>
      <c r="I80" s="1"/>
      <c r="R80" s="4"/>
      <c r="S80" s="1"/>
    </row>
    <row r="81" spans="1:22" x14ac:dyDescent="0.25">
      <c r="A81" s="52" t="s">
        <v>133</v>
      </c>
      <c r="B81" s="93">
        <v>16</v>
      </c>
      <c r="C81" s="91">
        <v>1</v>
      </c>
      <c r="D81" s="93">
        <v>2</v>
      </c>
      <c r="E81" s="93">
        <v>0</v>
      </c>
      <c r="F81" s="92">
        <v>0</v>
      </c>
      <c r="G81" s="93">
        <v>0</v>
      </c>
      <c r="H81" s="26">
        <f t="shared" si="10"/>
        <v>19</v>
      </c>
      <c r="I81" s="1"/>
      <c r="R81" s="4"/>
      <c r="S81" s="1"/>
    </row>
    <row r="82" spans="1:22" x14ac:dyDescent="0.25">
      <c r="A82" s="73" t="s">
        <v>70</v>
      </c>
      <c r="B82" s="29">
        <f t="shared" ref="B82:G82" si="12">SUM(B83:B92)</f>
        <v>265</v>
      </c>
      <c r="C82" s="74">
        <f t="shared" si="12"/>
        <v>625</v>
      </c>
      <c r="D82" s="74">
        <f t="shared" si="12"/>
        <v>722</v>
      </c>
      <c r="E82" s="74">
        <f t="shared" si="12"/>
        <v>60</v>
      </c>
      <c r="F82" s="74">
        <f t="shared" si="12"/>
        <v>12</v>
      </c>
      <c r="G82" s="74">
        <f t="shared" si="12"/>
        <v>0</v>
      </c>
      <c r="H82" s="75">
        <f t="shared" si="10"/>
        <v>1684</v>
      </c>
      <c r="I82" s="1"/>
      <c r="R82" s="4"/>
      <c r="S82" s="1"/>
    </row>
    <row r="83" spans="1:22" x14ac:dyDescent="0.25">
      <c r="A83" s="22" t="s">
        <v>84</v>
      </c>
      <c r="B83" s="31">
        <v>21</v>
      </c>
      <c r="C83" s="10">
        <v>0</v>
      </c>
      <c r="D83" s="31">
        <v>31</v>
      </c>
      <c r="E83" s="31">
        <v>8</v>
      </c>
      <c r="F83" s="10">
        <v>3</v>
      </c>
      <c r="G83" s="31">
        <v>0</v>
      </c>
      <c r="H83" s="26">
        <f t="shared" si="10"/>
        <v>63</v>
      </c>
      <c r="I83" s="1"/>
      <c r="R83" s="4"/>
      <c r="S83" s="1"/>
    </row>
    <row r="84" spans="1:22" x14ac:dyDescent="0.25">
      <c r="A84" s="22" t="s">
        <v>114</v>
      </c>
      <c r="B84" s="11">
        <v>38</v>
      </c>
      <c r="C84" s="10">
        <v>0</v>
      </c>
      <c r="D84" s="11">
        <v>35</v>
      </c>
      <c r="E84" s="11">
        <v>7</v>
      </c>
      <c r="F84" s="10">
        <v>3</v>
      </c>
      <c r="G84" s="11">
        <v>0</v>
      </c>
      <c r="H84" s="26">
        <f t="shared" si="10"/>
        <v>83</v>
      </c>
      <c r="I84" s="1"/>
      <c r="R84" s="4"/>
      <c r="S84" s="1"/>
    </row>
    <row r="85" spans="1:22" ht="14.25" customHeight="1" x14ac:dyDescent="0.25">
      <c r="A85" s="22" t="s">
        <v>61</v>
      </c>
      <c r="B85" s="11">
        <v>3</v>
      </c>
      <c r="C85" s="10">
        <v>13</v>
      </c>
      <c r="D85" s="11">
        <v>5</v>
      </c>
      <c r="E85" s="11">
        <v>0</v>
      </c>
      <c r="F85" s="10">
        <v>0</v>
      </c>
      <c r="G85" s="11">
        <v>0</v>
      </c>
      <c r="H85" s="26">
        <f t="shared" si="10"/>
        <v>21</v>
      </c>
      <c r="I85" s="1"/>
      <c r="U85" s="4"/>
      <c r="V85" s="1"/>
    </row>
    <row r="86" spans="1:22" x14ac:dyDescent="0.25">
      <c r="A86" s="22" t="s">
        <v>62</v>
      </c>
      <c r="B86" s="11">
        <v>15</v>
      </c>
      <c r="C86" s="10">
        <v>1</v>
      </c>
      <c r="D86" s="11">
        <v>146</v>
      </c>
      <c r="E86" s="11">
        <v>4</v>
      </c>
      <c r="F86" s="10">
        <v>2</v>
      </c>
      <c r="G86" s="11">
        <v>0</v>
      </c>
      <c r="H86" s="26">
        <f t="shared" si="10"/>
        <v>168</v>
      </c>
      <c r="I86" s="1"/>
      <c r="J86" s="1"/>
      <c r="K86" s="1"/>
      <c r="L86" s="1"/>
      <c r="M86" s="133"/>
      <c r="N86" s="133"/>
      <c r="O86" s="133"/>
      <c r="P86" s="133"/>
      <c r="U86" s="4"/>
      <c r="V86" s="1"/>
    </row>
    <row r="87" spans="1:22" x14ac:dyDescent="0.25">
      <c r="A87" s="22" t="s">
        <v>93</v>
      </c>
      <c r="B87" s="11">
        <v>0</v>
      </c>
      <c r="C87" s="10">
        <v>0</v>
      </c>
      <c r="D87" s="11">
        <v>0</v>
      </c>
      <c r="E87" s="11">
        <v>0</v>
      </c>
      <c r="F87" s="10">
        <v>0</v>
      </c>
      <c r="G87" s="11">
        <v>0</v>
      </c>
      <c r="H87" s="26">
        <f t="shared" si="10"/>
        <v>0</v>
      </c>
      <c r="I87" s="1"/>
      <c r="J87" s="1"/>
      <c r="K87" s="1"/>
      <c r="L87" s="1"/>
      <c r="M87" s="133"/>
      <c r="U87" s="4"/>
      <c r="V87" s="1"/>
    </row>
    <row r="88" spans="1:22" x14ac:dyDescent="0.25">
      <c r="A88" s="22" t="s">
        <v>94</v>
      </c>
      <c r="B88" s="11">
        <v>0</v>
      </c>
      <c r="C88" s="10">
        <v>0</v>
      </c>
      <c r="D88" s="11">
        <v>0</v>
      </c>
      <c r="E88" s="11">
        <v>0</v>
      </c>
      <c r="F88" s="10">
        <v>0</v>
      </c>
      <c r="G88" s="11">
        <v>0</v>
      </c>
      <c r="H88" s="33">
        <f t="shared" si="10"/>
        <v>0</v>
      </c>
      <c r="I88" s="1"/>
      <c r="J88" s="1"/>
      <c r="K88" s="1"/>
      <c r="L88" s="1"/>
      <c r="M88" s="133"/>
      <c r="U88" s="4"/>
      <c r="V88" s="1"/>
    </row>
    <row r="89" spans="1:22" x14ac:dyDescent="0.25">
      <c r="A89" s="81" t="s">
        <v>108</v>
      </c>
      <c r="B89" s="82">
        <v>151</v>
      </c>
      <c r="C89" s="83">
        <v>593</v>
      </c>
      <c r="D89" s="82">
        <v>375</v>
      </c>
      <c r="E89" s="82">
        <v>35</v>
      </c>
      <c r="F89" s="85">
        <v>2</v>
      </c>
      <c r="G89" s="82">
        <v>0</v>
      </c>
      <c r="H89" s="84">
        <f>SUM(B89:G89)</f>
        <v>1156</v>
      </c>
      <c r="I89" s="1"/>
      <c r="J89" s="1"/>
      <c r="K89" s="1"/>
      <c r="L89" s="1"/>
      <c r="M89" s="133"/>
      <c r="U89" s="4"/>
      <c r="V89" s="1"/>
    </row>
    <row r="90" spans="1:22" x14ac:dyDescent="0.25">
      <c r="A90" s="32" t="s">
        <v>63</v>
      </c>
      <c r="B90" s="31">
        <v>0</v>
      </c>
      <c r="C90" s="20">
        <v>0</v>
      </c>
      <c r="D90" s="31">
        <v>1</v>
      </c>
      <c r="E90" s="31">
        <v>0</v>
      </c>
      <c r="F90" s="20">
        <v>0</v>
      </c>
      <c r="G90" s="31">
        <v>0</v>
      </c>
      <c r="H90" s="26">
        <f t="shared" si="10"/>
        <v>1</v>
      </c>
      <c r="I90" s="1"/>
      <c r="J90" s="1"/>
      <c r="K90" s="1"/>
      <c r="L90" s="1"/>
      <c r="M90" s="133"/>
      <c r="U90" s="4"/>
      <c r="V90" s="1"/>
    </row>
    <row r="91" spans="1:22" x14ac:dyDescent="0.25">
      <c r="A91" s="22" t="s">
        <v>153</v>
      </c>
      <c r="B91" s="11">
        <v>5</v>
      </c>
      <c r="C91" s="10">
        <v>0</v>
      </c>
      <c r="D91" s="11">
        <v>17</v>
      </c>
      <c r="E91" s="11">
        <v>1</v>
      </c>
      <c r="F91" s="10">
        <v>1</v>
      </c>
      <c r="G91" s="11">
        <v>0</v>
      </c>
      <c r="H91" s="26">
        <f t="shared" si="10"/>
        <v>24</v>
      </c>
      <c r="I91" s="1"/>
      <c r="J91" s="1"/>
      <c r="K91" s="1"/>
      <c r="L91" s="1"/>
      <c r="M91" s="133"/>
      <c r="U91" s="4"/>
      <c r="V91" s="1"/>
    </row>
    <row r="92" spans="1:22" x14ac:dyDescent="0.25">
      <c r="A92" s="22" t="s">
        <v>107</v>
      </c>
      <c r="B92" s="11">
        <v>32</v>
      </c>
      <c r="C92" s="10">
        <v>18</v>
      </c>
      <c r="D92" s="11">
        <v>112</v>
      </c>
      <c r="E92" s="11">
        <v>5</v>
      </c>
      <c r="F92" s="10">
        <v>1</v>
      </c>
      <c r="G92" s="11">
        <v>0</v>
      </c>
      <c r="H92" s="26">
        <f>SUM(B92:G92)</f>
        <v>168</v>
      </c>
      <c r="I92" s="1"/>
      <c r="J92" s="1"/>
      <c r="K92" s="1"/>
      <c r="L92" s="1"/>
      <c r="M92" s="133"/>
      <c r="R92" s="4"/>
      <c r="S92" s="1"/>
    </row>
    <row r="93" spans="1:22" x14ac:dyDescent="0.25">
      <c r="A93" s="22" t="s">
        <v>210</v>
      </c>
      <c r="B93" s="11">
        <v>0</v>
      </c>
      <c r="C93" s="10">
        <v>0</v>
      </c>
      <c r="D93" s="11">
        <v>14</v>
      </c>
      <c r="E93" s="11">
        <v>0</v>
      </c>
      <c r="F93" s="10">
        <v>0</v>
      </c>
      <c r="G93" s="11">
        <v>0</v>
      </c>
      <c r="H93" s="26">
        <f>SUM(B93:G93)</f>
        <v>14</v>
      </c>
      <c r="I93" s="1"/>
      <c r="R93" s="4"/>
      <c r="S93" s="1"/>
    </row>
    <row r="94" spans="1:22" x14ac:dyDescent="0.25">
      <c r="A94" s="22" t="s">
        <v>182</v>
      </c>
      <c r="B94" s="11">
        <v>0</v>
      </c>
      <c r="C94" s="10">
        <v>0</v>
      </c>
      <c r="D94" s="11">
        <v>1</v>
      </c>
      <c r="E94" s="11">
        <v>0</v>
      </c>
      <c r="F94" s="10">
        <v>0</v>
      </c>
      <c r="G94" s="11">
        <v>0</v>
      </c>
      <c r="H94" s="26">
        <f t="shared" si="10"/>
        <v>1</v>
      </c>
      <c r="I94" s="1"/>
      <c r="R94" s="4"/>
      <c r="S94" s="1"/>
    </row>
    <row r="95" spans="1:22" x14ac:dyDescent="0.25">
      <c r="A95" s="73" t="s">
        <v>3</v>
      </c>
      <c r="B95" s="74">
        <f>SUM(B96:B155)</f>
        <v>1274</v>
      </c>
      <c r="C95" s="74">
        <f t="shared" ref="C95:G95" si="13">SUM(C96:C155)</f>
        <v>824</v>
      </c>
      <c r="D95" s="74">
        <f t="shared" si="13"/>
        <v>1835</v>
      </c>
      <c r="E95" s="74">
        <f t="shared" si="13"/>
        <v>56</v>
      </c>
      <c r="F95" s="74">
        <f t="shared" si="13"/>
        <v>80</v>
      </c>
      <c r="G95" s="74">
        <f t="shared" si="13"/>
        <v>0</v>
      </c>
      <c r="H95" s="75">
        <f t="shared" si="10"/>
        <v>4069</v>
      </c>
      <c r="I95" s="1"/>
      <c r="R95" s="4"/>
      <c r="S95" s="1"/>
    </row>
    <row r="96" spans="1:22" x14ac:dyDescent="0.25">
      <c r="A96" s="7" t="s">
        <v>113</v>
      </c>
      <c r="B96" s="11">
        <v>107</v>
      </c>
      <c r="C96" s="11">
        <v>213</v>
      </c>
      <c r="D96" s="11">
        <v>230</v>
      </c>
      <c r="E96" s="11">
        <v>2</v>
      </c>
      <c r="F96" s="17">
        <v>7</v>
      </c>
      <c r="G96" s="11">
        <v>0</v>
      </c>
      <c r="H96" s="14">
        <f t="shared" si="10"/>
        <v>559</v>
      </c>
      <c r="I96" s="1"/>
      <c r="R96" s="4"/>
      <c r="S96" s="1"/>
    </row>
    <row r="97" spans="1:19" x14ac:dyDescent="0.25">
      <c r="A97" s="7" t="s">
        <v>112</v>
      </c>
      <c r="B97" s="11">
        <v>0</v>
      </c>
      <c r="C97" s="11">
        <v>0</v>
      </c>
      <c r="D97" s="11">
        <v>0</v>
      </c>
      <c r="E97" s="11">
        <v>0</v>
      </c>
      <c r="F97" s="17">
        <v>0</v>
      </c>
      <c r="G97" s="11">
        <v>0</v>
      </c>
      <c r="H97" s="27">
        <f t="shared" si="10"/>
        <v>0</v>
      </c>
      <c r="I97" s="1"/>
      <c r="R97" s="4"/>
      <c r="S97" s="1"/>
    </row>
    <row r="98" spans="1:19" x14ac:dyDescent="0.25">
      <c r="A98" s="7" t="s">
        <v>41</v>
      </c>
      <c r="B98" s="11">
        <v>1</v>
      </c>
      <c r="C98" s="11">
        <v>0</v>
      </c>
      <c r="D98" s="11">
        <v>0</v>
      </c>
      <c r="E98" s="11">
        <v>0</v>
      </c>
      <c r="F98" s="17">
        <v>0</v>
      </c>
      <c r="G98" s="11">
        <v>0</v>
      </c>
      <c r="H98" s="27">
        <f t="shared" si="10"/>
        <v>1</v>
      </c>
      <c r="I98" s="1"/>
      <c r="R98" s="4"/>
      <c r="S98" s="1"/>
    </row>
    <row r="99" spans="1:19" x14ac:dyDescent="0.25">
      <c r="A99" s="7" t="s">
        <v>192</v>
      </c>
      <c r="B99" s="11">
        <v>1</v>
      </c>
      <c r="C99" s="11">
        <v>0</v>
      </c>
      <c r="D99" s="11">
        <v>0</v>
      </c>
      <c r="E99" s="11">
        <v>0</v>
      </c>
      <c r="F99" s="17">
        <v>0</v>
      </c>
      <c r="G99" s="11">
        <v>0</v>
      </c>
      <c r="H99" s="27">
        <f t="shared" si="10"/>
        <v>1</v>
      </c>
      <c r="I99" s="1"/>
      <c r="R99" s="4"/>
      <c r="S99" s="1"/>
    </row>
    <row r="100" spans="1:19" x14ac:dyDescent="0.25">
      <c r="A100" s="7" t="s">
        <v>213</v>
      </c>
      <c r="B100" s="11"/>
      <c r="C100" s="11"/>
      <c r="D100" s="11"/>
      <c r="E100" s="11"/>
      <c r="F100" s="17"/>
      <c r="G100" s="11"/>
      <c r="H100" s="27"/>
      <c r="I100" s="1"/>
      <c r="R100" s="4"/>
      <c r="S100" s="1"/>
    </row>
    <row r="101" spans="1:19" x14ac:dyDescent="0.25">
      <c r="A101" s="7" t="s">
        <v>214</v>
      </c>
      <c r="B101" s="11"/>
      <c r="C101" s="11"/>
      <c r="D101" s="11"/>
      <c r="E101" s="11"/>
      <c r="F101" s="17"/>
      <c r="G101" s="11"/>
      <c r="H101" s="27"/>
      <c r="I101" s="1"/>
      <c r="R101" s="4"/>
      <c r="S101" s="1"/>
    </row>
    <row r="102" spans="1:19" x14ac:dyDescent="0.25">
      <c r="A102" s="7" t="s">
        <v>215</v>
      </c>
      <c r="B102" s="11"/>
      <c r="C102" s="11"/>
      <c r="D102" s="11"/>
      <c r="E102" s="11"/>
      <c r="F102" s="17"/>
      <c r="G102" s="11"/>
      <c r="H102" s="27"/>
      <c r="I102" s="1"/>
      <c r="R102" s="4"/>
      <c r="S102" s="1"/>
    </row>
    <row r="103" spans="1:19" x14ac:dyDescent="0.25">
      <c r="A103" s="7"/>
      <c r="B103" s="11"/>
      <c r="C103" s="11"/>
      <c r="D103" s="11"/>
      <c r="E103" s="11"/>
      <c r="F103" s="17"/>
      <c r="G103" s="11"/>
      <c r="H103" s="27"/>
      <c r="I103" s="1"/>
      <c r="R103" s="4"/>
      <c r="S103" s="1"/>
    </row>
    <row r="104" spans="1:19" x14ac:dyDescent="0.25">
      <c r="A104" s="7"/>
      <c r="B104" s="11"/>
      <c r="C104" s="11"/>
      <c r="D104" s="11"/>
      <c r="E104" s="11"/>
      <c r="F104" s="17"/>
      <c r="G104" s="11"/>
      <c r="H104" s="27"/>
      <c r="I104" s="1"/>
      <c r="R104" s="4"/>
      <c r="S104" s="1"/>
    </row>
    <row r="105" spans="1:19" x14ac:dyDescent="0.25">
      <c r="A105" s="7" t="s">
        <v>216</v>
      </c>
      <c r="B105" s="11"/>
      <c r="C105" s="11"/>
      <c r="D105" s="11"/>
      <c r="E105" s="11"/>
      <c r="F105" s="17"/>
      <c r="G105" s="11"/>
      <c r="H105" s="27"/>
      <c r="I105" s="1"/>
      <c r="R105" s="4"/>
      <c r="S105" s="1"/>
    </row>
    <row r="106" spans="1:19" x14ac:dyDescent="0.25">
      <c r="A106" s="7" t="s">
        <v>174</v>
      </c>
      <c r="B106" s="11">
        <v>0</v>
      </c>
      <c r="C106" s="11">
        <v>0</v>
      </c>
      <c r="D106" s="11">
        <v>15</v>
      </c>
      <c r="E106" s="11">
        <v>4</v>
      </c>
      <c r="F106" s="17">
        <v>0</v>
      </c>
      <c r="G106" s="11">
        <v>0</v>
      </c>
      <c r="H106" s="27">
        <f t="shared" si="10"/>
        <v>19</v>
      </c>
      <c r="I106" s="1"/>
      <c r="R106" s="4"/>
      <c r="S106" s="1"/>
    </row>
    <row r="107" spans="1:19" x14ac:dyDescent="0.25">
      <c r="A107" s="7" t="s">
        <v>175</v>
      </c>
      <c r="B107" s="11">
        <v>0</v>
      </c>
      <c r="C107" s="11">
        <v>0</v>
      </c>
      <c r="D107" s="11">
        <v>0</v>
      </c>
      <c r="E107" s="19">
        <v>0</v>
      </c>
      <c r="F107" s="17">
        <v>0</v>
      </c>
      <c r="G107" s="11">
        <v>0</v>
      </c>
      <c r="H107" s="27">
        <f t="shared" si="10"/>
        <v>0</v>
      </c>
      <c r="I107" s="1"/>
      <c r="R107" s="4"/>
      <c r="S107" s="1"/>
    </row>
    <row r="108" spans="1:19" x14ac:dyDescent="0.25">
      <c r="A108" s="143" t="s">
        <v>109</v>
      </c>
      <c r="B108" s="143"/>
      <c r="C108" s="143"/>
      <c r="D108" s="143"/>
      <c r="E108" s="143"/>
      <c r="F108" s="143"/>
      <c r="G108" s="143"/>
      <c r="H108" s="143"/>
      <c r="I108" s="1"/>
      <c r="R108" s="4"/>
      <c r="S108" s="1"/>
    </row>
    <row r="109" spans="1:19" x14ac:dyDescent="0.25">
      <c r="A109" s="7" t="s">
        <v>123</v>
      </c>
      <c r="B109" s="11">
        <v>63</v>
      </c>
      <c r="C109" s="11">
        <v>227</v>
      </c>
      <c r="D109" s="11">
        <v>148</v>
      </c>
      <c r="E109" s="11">
        <v>2</v>
      </c>
      <c r="F109" s="11">
        <v>11</v>
      </c>
      <c r="G109" s="11">
        <v>0</v>
      </c>
      <c r="H109" s="28">
        <f t="shared" si="10"/>
        <v>451</v>
      </c>
      <c r="I109" s="1"/>
      <c r="R109" s="4"/>
      <c r="S109" s="1"/>
    </row>
    <row r="110" spans="1:19" x14ac:dyDescent="0.25">
      <c r="A110" s="7" t="s">
        <v>122</v>
      </c>
      <c r="B110" s="11">
        <v>76</v>
      </c>
      <c r="C110" s="11">
        <v>220</v>
      </c>
      <c r="D110" s="10">
        <v>175</v>
      </c>
      <c r="E110" s="11">
        <v>3</v>
      </c>
      <c r="F110" s="11">
        <v>15</v>
      </c>
      <c r="G110" s="11">
        <v>0</v>
      </c>
      <c r="H110" s="14">
        <f t="shared" si="10"/>
        <v>489</v>
      </c>
      <c r="I110" s="1"/>
      <c r="J110" s="133"/>
      <c r="K110" s="133"/>
      <c r="R110" s="4"/>
      <c r="S110" s="1"/>
    </row>
    <row r="111" spans="1:19" x14ac:dyDescent="0.25">
      <c r="A111" s="7" t="s">
        <v>121</v>
      </c>
      <c r="B111" s="11">
        <v>64</v>
      </c>
      <c r="C111" s="11">
        <v>26</v>
      </c>
      <c r="D111" s="11">
        <v>74</v>
      </c>
      <c r="E111" s="11">
        <v>3</v>
      </c>
      <c r="F111" s="11">
        <v>9</v>
      </c>
      <c r="G111" s="11">
        <v>0</v>
      </c>
      <c r="H111" s="14">
        <f t="shared" si="10"/>
        <v>176</v>
      </c>
      <c r="I111" s="1"/>
      <c r="J111" s="133"/>
      <c r="K111" s="133"/>
      <c r="R111" s="4"/>
      <c r="S111" s="1"/>
    </row>
    <row r="112" spans="1:19" x14ac:dyDescent="0.25">
      <c r="A112" s="7" t="s">
        <v>120</v>
      </c>
      <c r="B112" s="11">
        <v>68</v>
      </c>
      <c r="C112" s="11">
        <v>25</v>
      </c>
      <c r="D112" s="11">
        <v>82</v>
      </c>
      <c r="E112" s="11">
        <v>3</v>
      </c>
      <c r="F112" s="11">
        <v>10</v>
      </c>
      <c r="G112" s="11">
        <v>0</v>
      </c>
      <c r="H112" s="14">
        <f t="shared" si="10"/>
        <v>188</v>
      </c>
      <c r="I112" s="1"/>
      <c r="R112" s="4"/>
      <c r="S112" s="1"/>
    </row>
    <row r="113" spans="1:19" x14ac:dyDescent="0.25">
      <c r="A113" s="7" t="s">
        <v>124</v>
      </c>
      <c r="B113" s="11">
        <v>48</v>
      </c>
      <c r="C113" s="11">
        <v>0</v>
      </c>
      <c r="D113" s="11">
        <v>16</v>
      </c>
      <c r="E113" s="11">
        <v>0</v>
      </c>
      <c r="F113" s="11">
        <v>0</v>
      </c>
      <c r="G113" s="11">
        <v>0</v>
      </c>
      <c r="H113" s="14">
        <f t="shared" si="10"/>
        <v>64</v>
      </c>
      <c r="I113" s="1"/>
      <c r="R113" s="4"/>
      <c r="S113" s="1"/>
    </row>
    <row r="114" spans="1:19" x14ac:dyDescent="0.25">
      <c r="A114" s="7" t="s">
        <v>48</v>
      </c>
      <c r="B114" s="11">
        <v>0</v>
      </c>
      <c r="C114" s="11">
        <v>0</v>
      </c>
      <c r="D114" s="11">
        <v>0</v>
      </c>
      <c r="E114" s="11">
        <v>0</v>
      </c>
      <c r="F114" s="11">
        <v>0</v>
      </c>
      <c r="G114" s="11">
        <v>0</v>
      </c>
      <c r="H114" s="14">
        <f>SUM(B114:G114)</f>
        <v>0</v>
      </c>
      <c r="I114" s="1"/>
      <c r="R114" s="4"/>
      <c r="S114" s="1"/>
    </row>
    <row r="115" spans="1:19" x14ac:dyDescent="0.25">
      <c r="A115" s="140" t="s">
        <v>110</v>
      </c>
      <c r="B115" s="141"/>
      <c r="C115" s="141"/>
      <c r="D115" s="141"/>
      <c r="E115" s="141"/>
      <c r="F115" s="141"/>
      <c r="G115" s="141"/>
      <c r="H115" s="142"/>
      <c r="I115" s="1"/>
      <c r="R115" s="4"/>
      <c r="S115" s="1"/>
    </row>
    <row r="116" spans="1:19" x14ac:dyDescent="0.25">
      <c r="A116" s="32" t="s">
        <v>111</v>
      </c>
      <c r="B116" s="42">
        <v>48</v>
      </c>
      <c r="C116" s="31">
        <v>5</v>
      </c>
      <c r="D116" s="31">
        <v>162</v>
      </c>
      <c r="E116" s="31">
        <v>1</v>
      </c>
      <c r="F116" s="42">
        <v>0</v>
      </c>
      <c r="G116" s="31">
        <v>0</v>
      </c>
      <c r="H116" s="26">
        <f t="shared" ref="H116:H149" si="14">SUM(B116:G116)</f>
        <v>216</v>
      </c>
      <c r="I116" s="1"/>
      <c r="R116" s="4"/>
      <c r="S116" s="1"/>
    </row>
    <row r="117" spans="1:19" x14ac:dyDescent="0.25">
      <c r="A117" s="22" t="s">
        <v>158</v>
      </c>
      <c r="B117" s="23">
        <v>40</v>
      </c>
      <c r="C117" s="11">
        <v>6</v>
      </c>
      <c r="D117" s="11">
        <v>116</v>
      </c>
      <c r="E117" s="11">
        <v>2</v>
      </c>
      <c r="F117" s="23">
        <v>0</v>
      </c>
      <c r="G117" s="11">
        <v>0</v>
      </c>
      <c r="H117" s="26">
        <f t="shared" si="14"/>
        <v>164</v>
      </c>
      <c r="I117" s="1"/>
      <c r="R117" s="4"/>
      <c r="S117" s="1"/>
    </row>
    <row r="118" spans="1:19" x14ac:dyDescent="0.25">
      <c r="A118" s="22" t="s">
        <v>156</v>
      </c>
      <c r="B118" s="23">
        <v>28</v>
      </c>
      <c r="C118" s="11">
        <v>0</v>
      </c>
      <c r="D118" s="11">
        <v>44</v>
      </c>
      <c r="E118" s="11">
        <v>1</v>
      </c>
      <c r="F118" s="23">
        <v>0</v>
      </c>
      <c r="G118" s="11">
        <v>0</v>
      </c>
      <c r="H118" s="26">
        <f t="shared" si="14"/>
        <v>73</v>
      </c>
      <c r="I118" s="1"/>
      <c r="R118" s="4"/>
      <c r="S118" s="1"/>
    </row>
    <row r="119" spans="1:19" x14ac:dyDescent="0.25">
      <c r="A119" s="22" t="s">
        <v>187</v>
      </c>
      <c r="B119" s="23">
        <v>0</v>
      </c>
      <c r="C119" s="11">
        <v>0</v>
      </c>
      <c r="D119" s="11">
        <v>0</v>
      </c>
      <c r="E119" s="11">
        <v>0</v>
      </c>
      <c r="F119" s="23">
        <v>0</v>
      </c>
      <c r="G119" s="11">
        <v>0</v>
      </c>
      <c r="H119" s="26">
        <f t="shared" si="14"/>
        <v>0</v>
      </c>
      <c r="I119" s="1"/>
      <c r="R119" s="4"/>
      <c r="S119" s="1"/>
    </row>
    <row r="120" spans="1:19" x14ac:dyDescent="0.25">
      <c r="A120" s="22" t="s">
        <v>157</v>
      </c>
      <c r="B120" s="23">
        <v>44</v>
      </c>
      <c r="C120" s="11">
        <v>1</v>
      </c>
      <c r="D120" s="11">
        <v>52</v>
      </c>
      <c r="E120" s="11">
        <v>0</v>
      </c>
      <c r="F120" s="23">
        <v>0</v>
      </c>
      <c r="G120" s="11">
        <v>0</v>
      </c>
      <c r="H120" s="26">
        <f t="shared" si="14"/>
        <v>97</v>
      </c>
      <c r="I120" s="1"/>
      <c r="R120" s="4"/>
      <c r="S120" s="1"/>
    </row>
    <row r="121" spans="1:19" x14ac:dyDescent="0.25">
      <c r="A121" s="22" t="s">
        <v>125</v>
      </c>
      <c r="B121" s="23">
        <v>49</v>
      </c>
      <c r="C121" s="11">
        <v>5</v>
      </c>
      <c r="D121" s="11">
        <v>29</v>
      </c>
      <c r="E121" s="11">
        <v>1</v>
      </c>
      <c r="F121" s="23">
        <v>0</v>
      </c>
      <c r="G121" s="11">
        <v>0</v>
      </c>
      <c r="H121" s="26">
        <f t="shared" si="14"/>
        <v>84</v>
      </c>
      <c r="I121" s="1"/>
      <c r="R121" s="4"/>
      <c r="S121" s="1"/>
    </row>
    <row r="122" spans="1:19" x14ac:dyDescent="0.25">
      <c r="A122" s="22" t="s">
        <v>126</v>
      </c>
      <c r="B122" s="23">
        <v>44</v>
      </c>
      <c r="C122" s="11">
        <v>2</v>
      </c>
      <c r="D122" s="11">
        <v>22</v>
      </c>
      <c r="E122" s="11">
        <v>1</v>
      </c>
      <c r="F122" s="23">
        <v>0</v>
      </c>
      <c r="G122" s="11">
        <v>0</v>
      </c>
      <c r="H122" s="26">
        <f t="shared" si="14"/>
        <v>69</v>
      </c>
      <c r="I122" s="1"/>
      <c r="R122" s="4"/>
      <c r="S122" s="1"/>
    </row>
    <row r="123" spans="1:19" x14ac:dyDescent="0.25">
      <c r="A123" s="22" t="s">
        <v>103</v>
      </c>
      <c r="B123" s="23">
        <v>9</v>
      </c>
      <c r="C123" s="11">
        <v>1</v>
      </c>
      <c r="D123" s="11">
        <v>28</v>
      </c>
      <c r="E123" s="11">
        <v>1</v>
      </c>
      <c r="F123" s="23">
        <v>0</v>
      </c>
      <c r="G123" s="11">
        <v>0</v>
      </c>
      <c r="H123" s="26">
        <f t="shared" si="14"/>
        <v>39</v>
      </c>
      <c r="I123" s="1"/>
      <c r="R123" s="4"/>
      <c r="S123" s="1"/>
    </row>
    <row r="124" spans="1:19" x14ac:dyDescent="0.25">
      <c r="A124" s="22" t="s">
        <v>127</v>
      </c>
      <c r="B124" s="23">
        <v>46</v>
      </c>
      <c r="C124" s="11">
        <v>4</v>
      </c>
      <c r="D124" s="11">
        <v>23</v>
      </c>
      <c r="E124" s="11">
        <v>1</v>
      </c>
      <c r="F124" s="23">
        <v>0</v>
      </c>
      <c r="G124" s="11">
        <v>0</v>
      </c>
      <c r="H124" s="26">
        <f t="shared" si="14"/>
        <v>74</v>
      </c>
      <c r="I124" s="1"/>
      <c r="R124" s="4"/>
      <c r="S124" s="1"/>
    </row>
    <row r="125" spans="1:19" x14ac:dyDescent="0.25">
      <c r="A125" s="22" t="s">
        <v>128</v>
      </c>
      <c r="B125" s="23">
        <v>34</v>
      </c>
      <c r="C125" s="11">
        <v>0</v>
      </c>
      <c r="D125" s="11">
        <v>15</v>
      </c>
      <c r="E125" s="11">
        <v>0</v>
      </c>
      <c r="F125" s="23">
        <v>0</v>
      </c>
      <c r="G125" s="11">
        <v>0</v>
      </c>
      <c r="H125" s="26">
        <f t="shared" si="14"/>
        <v>49</v>
      </c>
      <c r="I125" s="1"/>
      <c r="R125" s="4"/>
      <c r="S125" s="1"/>
    </row>
    <row r="126" spans="1:19" x14ac:dyDescent="0.25">
      <c r="A126" s="22" t="s">
        <v>129</v>
      </c>
      <c r="B126" s="23">
        <v>26</v>
      </c>
      <c r="C126" s="11">
        <v>1</v>
      </c>
      <c r="D126" s="11">
        <v>15</v>
      </c>
      <c r="E126" s="11">
        <v>0</v>
      </c>
      <c r="F126" s="23">
        <v>0</v>
      </c>
      <c r="G126" s="11">
        <v>0</v>
      </c>
      <c r="H126" s="26">
        <f t="shared" si="14"/>
        <v>42</v>
      </c>
      <c r="I126" s="1"/>
      <c r="R126" s="4"/>
      <c r="S126" s="1"/>
    </row>
    <row r="127" spans="1:19" x14ac:dyDescent="0.25">
      <c r="A127" s="22" t="s">
        <v>44</v>
      </c>
      <c r="B127" s="23">
        <v>22</v>
      </c>
      <c r="C127" s="11">
        <v>2</v>
      </c>
      <c r="D127" s="11">
        <v>58</v>
      </c>
      <c r="E127" s="11">
        <v>6</v>
      </c>
      <c r="F127" s="23">
        <v>5</v>
      </c>
      <c r="G127" s="11">
        <v>0</v>
      </c>
      <c r="H127" s="26">
        <f t="shared" si="14"/>
        <v>93</v>
      </c>
      <c r="I127" s="1"/>
      <c r="R127" s="4"/>
      <c r="S127" s="1"/>
    </row>
    <row r="128" spans="1:19" x14ac:dyDescent="0.25">
      <c r="A128" s="22" t="s">
        <v>92</v>
      </c>
      <c r="B128" s="23">
        <v>14</v>
      </c>
      <c r="C128" s="11">
        <v>1</v>
      </c>
      <c r="D128" s="11">
        <v>28</v>
      </c>
      <c r="E128" s="11">
        <v>6</v>
      </c>
      <c r="F128" s="23">
        <v>4</v>
      </c>
      <c r="G128" s="11">
        <v>0</v>
      </c>
      <c r="H128" s="26">
        <f t="shared" si="14"/>
        <v>53</v>
      </c>
      <c r="I128" s="1"/>
      <c r="R128" s="4"/>
      <c r="S128" s="1"/>
    </row>
    <row r="129" spans="1:19" x14ac:dyDescent="0.25">
      <c r="A129" s="22" t="s">
        <v>45</v>
      </c>
      <c r="B129" s="23">
        <v>7</v>
      </c>
      <c r="C129" s="11">
        <v>3</v>
      </c>
      <c r="D129" s="11">
        <v>8</v>
      </c>
      <c r="E129" s="11">
        <v>0</v>
      </c>
      <c r="F129" s="23">
        <v>0</v>
      </c>
      <c r="G129" s="11">
        <v>0</v>
      </c>
      <c r="H129" s="26">
        <f t="shared" si="14"/>
        <v>18</v>
      </c>
      <c r="I129" s="1"/>
      <c r="R129" s="4"/>
      <c r="S129" s="1"/>
    </row>
    <row r="130" spans="1:19" x14ac:dyDescent="0.25">
      <c r="A130" s="22" t="s">
        <v>99</v>
      </c>
      <c r="B130" s="23">
        <v>102</v>
      </c>
      <c r="C130" s="11">
        <v>13</v>
      </c>
      <c r="D130" s="11">
        <v>1</v>
      </c>
      <c r="E130" s="11">
        <v>0</v>
      </c>
      <c r="F130" s="23">
        <v>1</v>
      </c>
      <c r="G130" s="11">
        <v>0</v>
      </c>
      <c r="H130" s="26">
        <f t="shared" si="14"/>
        <v>117</v>
      </c>
      <c r="I130" s="1"/>
      <c r="R130" s="4"/>
      <c r="S130" s="1"/>
    </row>
    <row r="131" spans="1:19" x14ac:dyDescent="0.25">
      <c r="A131" s="22" t="s">
        <v>100</v>
      </c>
      <c r="B131" s="23">
        <v>0</v>
      </c>
      <c r="C131" s="11">
        <v>0</v>
      </c>
      <c r="D131" s="11">
        <v>0</v>
      </c>
      <c r="E131" s="11">
        <v>0</v>
      </c>
      <c r="F131" s="23">
        <v>2</v>
      </c>
      <c r="G131" s="11">
        <v>0</v>
      </c>
      <c r="H131" s="26">
        <f t="shared" si="14"/>
        <v>2</v>
      </c>
      <c r="I131" s="1"/>
      <c r="R131" s="4"/>
      <c r="S131" s="1"/>
    </row>
    <row r="132" spans="1:19" x14ac:dyDescent="0.25">
      <c r="A132" s="22" t="s">
        <v>46</v>
      </c>
      <c r="B132" s="23">
        <v>0</v>
      </c>
      <c r="C132" s="11">
        <v>1</v>
      </c>
      <c r="D132" s="11">
        <v>1</v>
      </c>
      <c r="E132" s="11">
        <v>0</v>
      </c>
      <c r="F132" s="23">
        <v>1</v>
      </c>
      <c r="G132" s="11">
        <v>0</v>
      </c>
      <c r="H132" s="26">
        <f t="shared" si="14"/>
        <v>3</v>
      </c>
      <c r="I132" s="1"/>
      <c r="R132" s="4"/>
      <c r="S132" s="1"/>
    </row>
    <row r="133" spans="1:19" x14ac:dyDescent="0.25">
      <c r="A133" s="22" t="s">
        <v>47</v>
      </c>
      <c r="B133" s="23">
        <v>0</v>
      </c>
      <c r="C133" s="11">
        <v>1</v>
      </c>
      <c r="D133" s="11">
        <v>0</v>
      </c>
      <c r="E133" s="11">
        <v>0</v>
      </c>
      <c r="F133" s="23">
        <v>0</v>
      </c>
      <c r="G133" s="11">
        <v>0</v>
      </c>
      <c r="H133" s="26">
        <f t="shared" si="14"/>
        <v>1</v>
      </c>
      <c r="I133" s="1"/>
      <c r="R133" s="4"/>
      <c r="S133" s="1"/>
    </row>
    <row r="134" spans="1:19" x14ac:dyDescent="0.25">
      <c r="A134" s="22" t="s">
        <v>53</v>
      </c>
      <c r="B134" s="23">
        <v>0</v>
      </c>
      <c r="C134" s="11">
        <v>0</v>
      </c>
      <c r="D134" s="11">
        <v>3</v>
      </c>
      <c r="E134" s="11">
        <v>0</v>
      </c>
      <c r="F134" s="23">
        <v>0</v>
      </c>
      <c r="G134" s="11">
        <v>0</v>
      </c>
      <c r="H134" s="26">
        <f t="shared" si="14"/>
        <v>3</v>
      </c>
      <c r="I134" s="1"/>
      <c r="R134" s="4"/>
      <c r="S134" s="1"/>
    </row>
    <row r="135" spans="1:19" x14ac:dyDescent="0.25">
      <c r="A135" s="22" t="s">
        <v>134</v>
      </c>
      <c r="B135" s="23">
        <v>64</v>
      </c>
      <c r="C135" s="11">
        <v>3</v>
      </c>
      <c r="D135" s="11">
        <v>67</v>
      </c>
      <c r="E135" s="11">
        <v>2</v>
      </c>
      <c r="F135" s="23">
        <v>2</v>
      </c>
      <c r="G135" s="11">
        <v>0</v>
      </c>
      <c r="H135" s="26">
        <f t="shared" si="14"/>
        <v>138</v>
      </c>
      <c r="I135" s="1"/>
      <c r="R135" s="4"/>
      <c r="S135" s="1"/>
    </row>
    <row r="136" spans="1:19" x14ac:dyDescent="0.25">
      <c r="A136" s="22" t="s">
        <v>135</v>
      </c>
      <c r="B136" s="23">
        <v>75</v>
      </c>
      <c r="C136" s="11">
        <v>7</v>
      </c>
      <c r="D136" s="11">
        <v>134</v>
      </c>
      <c r="E136" s="11">
        <v>8</v>
      </c>
      <c r="F136" s="23">
        <v>5</v>
      </c>
      <c r="G136" s="11">
        <v>0</v>
      </c>
      <c r="H136" s="26">
        <f t="shared" si="14"/>
        <v>229</v>
      </c>
      <c r="I136" s="1"/>
      <c r="R136" s="4"/>
      <c r="S136" s="1"/>
    </row>
    <row r="137" spans="1:19" x14ac:dyDescent="0.25">
      <c r="A137" s="22" t="s">
        <v>49</v>
      </c>
      <c r="B137" s="23">
        <v>76</v>
      </c>
      <c r="C137" s="11">
        <v>7</v>
      </c>
      <c r="D137" s="11">
        <v>135</v>
      </c>
      <c r="E137" s="11">
        <v>8</v>
      </c>
      <c r="F137" s="23">
        <v>6</v>
      </c>
      <c r="G137" s="11">
        <v>0</v>
      </c>
      <c r="H137" s="26">
        <f t="shared" si="14"/>
        <v>232</v>
      </c>
      <c r="I137" s="1"/>
      <c r="R137" s="4"/>
      <c r="S137" s="1"/>
    </row>
    <row r="138" spans="1:19" x14ac:dyDescent="0.25">
      <c r="A138" s="22" t="s">
        <v>189</v>
      </c>
      <c r="B138" s="23">
        <v>24</v>
      </c>
      <c r="C138" s="11">
        <v>0</v>
      </c>
      <c r="D138" s="11">
        <v>16</v>
      </c>
      <c r="E138" s="11">
        <v>1</v>
      </c>
      <c r="F138" s="23">
        <v>0</v>
      </c>
      <c r="G138" s="11">
        <v>0</v>
      </c>
      <c r="H138" s="26">
        <f t="shared" si="14"/>
        <v>41</v>
      </c>
      <c r="I138" s="1"/>
      <c r="R138" s="4"/>
      <c r="S138" s="1"/>
    </row>
    <row r="139" spans="1:19" x14ac:dyDescent="0.25">
      <c r="A139" s="22" t="s">
        <v>50</v>
      </c>
      <c r="B139" s="23">
        <v>18</v>
      </c>
      <c r="C139" s="11">
        <v>45</v>
      </c>
      <c r="D139" s="11">
        <v>0</v>
      </c>
      <c r="E139" s="11">
        <v>0</v>
      </c>
      <c r="F139" s="23">
        <v>0</v>
      </c>
      <c r="G139" s="11">
        <v>0</v>
      </c>
      <c r="H139" s="26">
        <f t="shared" si="14"/>
        <v>63</v>
      </c>
      <c r="I139" s="1"/>
      <c r="R139" s="4"/>
      <c r="S139" s="1"/>
    </row>
    <row r="140" spans="1:19" x14ac:dyDescent="0.25">
      <c r="A140" s="22" t="s">
        <v>104</v>
      </c>
      <c r="B140" s="23">
        <v>7</v>
      </c>
      <c r="C140" s="11">
        <v>0</v>
      </c>
      <c r="D140" s="11">
        <v>3</v>
      </c>
      <c r="E140" s="11">
        <v>0</v>
      </c>
      <c r="F140" s="23">
        <v>0</v>
      </c>
      <c r="G140" s="11">
        <v>0</v>
      </c>
      <c r="H140" s="26">
        <f t="shared" si="14"/>
        <v>10</v>
      </c>
      <c r="I140" s="1"/>
      <c r="R140" s="4"/>
      <c r="S140" s="1"/>
    </row>
    <row r="141" spans="1:19" x14ac:dyDescent="0.25">
      <c r="A141" s="22" t="s">
        <v>51</v>
      </c>
      <c r="B141" s="23">
        <v>10</v>
      </c>
      <c r="C141" s="11">
        <v>0</v>
      </c>
      <c r="D141" s="11">
        <v>8</v>
      </c>
      <c r="E141" s="11">
        <v>0</v>
      </c>
      <c r="F141" s="23">
        <v>0</v>
      </c>
      <c r="G141" s="11">
        <v>0</v>
      </c>
      <c r="H141" s="26">
        <f t="shared" si="14"/>
        <v>18</v>
      </c>
      <c r="I141" s="1"/>
      <c r="R141" s="6"/>
      <c r="S141" s="1"/>
    </row>
    <row r="142" spans="1:19" x14ac:dyDescent="0.25">
      <c r="A142" s="22" t="s">
        <v>52</v>
      </c>
      <c r="B142" s="23">
        <v>10</v>
      </c>
      <c r="C142" s="11">
        <v>0</v>
      </c>
      <c r="D142" s="11">
        <v>5</v>
      </c>
      <c r="E142" s="11">
        <v>0</v>
      </c>
      <c r="F142" s="23">
        <v>1</v>
      </c>
      <c r="G142" s="11">
        <v>0</v>
      </c>
      <c r="H142" s="14">
        <f t="shared" si="14"/>
        <v>16</v>
      </c>
    </row>
    <row r="143" spans="1:19" x14ac:dyDescent="0.25">
      <c r="A143" s="22" t="s">
        <v>115</v>
      </c>
      <c r="B143" s="23">
        <v>2</v>
      </c>
      <c r="C143" s="11">
        <v>0</v>
      </c>
      <c r="D143" s="11">
        <v>1</v>
      </c>
      <c r="E143" s="11">
        <v>0</v>
      </c>
      <c r="F143" s="23">
        <v>0</v>
      </c>
      <c r="G143" s="11">
        <v>0</v>
      </c>
      <c r="H143" s="26">
        <f t="shared" si="14"/>
        <v>3</v>
      </c>
    </row>
    <row r="144" spans="1:19" x14ac:dyDescent="0.25">
      <c r="A144" s="22" t="s">
        <v>116</v>
      </c>
      <c r="B144" s="23">
        <v>7</v>
      </c>
      <c r="C144" s="11">
        <v>0</v>
      </c>
      <c r="D144" s="11">
        <v>3</v>
      </c>
      <c r="E144" s="11">
        <v>0</v>
      </c>
      <c r="F144" s="23">
        <v>0</v>
      </c>
      <c r="G144" s="11">
        <v>0</v>
      </c>
      <c r="H144" s="26">
        <f t="shared" si="14"/>
        <v>10</v>
      </c>
    </row>
    <row r="145" spans="1:13" x14ac:dyDescent="0.25">
      <c r="A145" s="22" t="s">
        <v>102</v>
      </c>
      <c r="B145" s="23">
        <v>29</v>
      </c>
      <c r="C145" s="11">
        <v>2</v>
      </c>
      <c r="D145" s="11">
        <v>54</v>
      </c>
      <c r="E145" s="11">
        <v>0</v>
      </c>
      <c r="F145" s="23">
        <v>0</v>
      </c>
      <c r="G145" s="11">
        <v>0</v>
      </c>
      <c r="H145" s="26">
        <f t="shared" si="14"/>
        <v>85</v>
      </c>
    </row>
    <row r="146" spans="1:13" x14ac:dyDescent="0.25">
      <c r="A146" s="22" t="s">
        <v>203</v>
      </c>
      <c r="B146" s="23">
        <v>0</v>
      </c>
      <c r="C146" s="11">
        <v>0</v>
      </c>
      <c r="D146" s="11">
        <v>7</v>
      </c>
      <c r="E146" s="11">
        <v>0</v>
      </c>
      <c r="F146" s="23">
        <v>0</v>
      </c>
      <c r="G146" s="11">
        <v>0</v>
      </c>
      <c r="H146" s="26">
        <f t="shared" si="14"/>
        <v>7</v>
      </c>
    </row>
    <row r="147" spans="1:13" x14ac:dyDescent="0.25">
      <c r="A147" s="22" t="s">
        <v>197</v>
      </c>
      <c r="B147" s="23">
        <v>3</v>
      </c>
      <c r="C147" s="11">
        <v>0</v>
      </c>
      <c r="D147" s="11">
        <v>3</v>
      </c>
      <c r="E147" s="11">
        <v>0</v>
      </c>
      <c r="F147" s="23">
        <v>0</v>
      </c>
      <c r="G147" s="11">
        <v>0</v>
      </c>
      <c r="H147" s="26">
        <f t="shared" si="14"/>
        <v>6</v>
      </c>
    </row>
    <row r="148" spans="1:13" x14ac:dyDescent="0.25">
      <c r="A148" s="22"/>
      <c r="B148" s="23"/>
      <c r="C148" s="11"/>
      <c r="D148" s="11"/>
      <c r="E148" s="11"/>
      <c r="F148" s="23"/>
      <c r="G148" s="11"/>
      <c r="H148" s="26"/>
    </row>
    <row r="149" spans="1:13" x14ac:dyDescent="0.25">
      <c r="A149" s="22" t="s">
        <v>198</v>
      </c>
      <c r="B149" s="23">
        <v>0</v>
      </c>
      <c r="C149" s="11">
        <v>1</v>
      </c>
      <c r="D149" s="11">
        <v>3</v>
      </c>
      <c r="E149" s="11">
        <v>0</v>
      </c>
      <c r="F149" s="23">
        <v>0</v>
      </c>
      <c r="G149" s="11">
        <v>0</v>
      </c>
      <c r="H149" s="26">
        <f t="shared" si="14"/>
        <v>4</v>
      </c>
    </row>
    <row r="150" spans="1:13" x14ac:dyDescent="0.25">
      <c r="A150" s="22" t="s">
        <v>199</v>
      </c>
      <c r="B150" s="23">
        <v>0</v>
      </c>
      <c r="C150" s="11">
        <v>1</v>
      </c>
      <c r="D150" s="11">
        <v>3</v>
      </c>
      <c r="E150" s="11">
        <v>0</v>
      </c>
      <c r="F150" s="23">
        <v>0</v>
      </c>
      <c r="G150" s="11">
        <v>0</v>
      </c>
      <c r="H150" s="26">
        <f>SUM(B150:G150)</f>
        <v>4</v>
      </c>
    </row>
    <row r="151" spans="1:13" x14ac:dyDescent="0.25">
      <c r="A151" s="22" t="s">
        <v>200</v>
      </c>
      <c r="B151" s="23">
        <v>0</v>
      </c>
      <c r="C151" s="11">
        <v>0</v>
      </c>
      <c r="D151" s="11">
        <v>0</v>
      </c>
      <c r="E151" s="11">
        <v>0</v>
      </c>
      <c r="F151" s="23">
        <v>0</v>
      </c>
      <c r="G151" s="11">
        <v>0</v>
      </c>
      <c r="H151" s="26">
        <f>SUM(B151:G151)</f>
        <v>0</v>
      </c>
    </row>
    <row r="152" spans="1:13" x14ac:dyDescent="0.25">
      <c r="A152" s="22"/>
      <c r="B152" s="23"/>
      <c r="C152" s="11"/>
      <c r="D152" s="11"/>
      <c r="E152" s="11"/>
      <c r="F152" s="23"/>
      <c r="G152" s="11"/>
      <c r="H152" s="26"/>
    </row>
    <row r="153" spans="1:13" x14ac:dyDescent="0.25">
      <c r="A153" s="22" t="s">
        <v>105</v>
      </c>
      <c r="B153" s="23">
        <v>6</v>
      </c>
      <c r="C153" s="11">
        <v>1</v>
      </c>
      <c r="D153" s="11">
        <v>48</v>
      </c>
      <c r="E153" s="11">
        <v>0</v>
      </c>
      <c r="F153" s="23">
        <v>1</v>
      </c>
      <c r="G153" s="11">
        <v>0</v>
      </c>
      <c r="H153" s="26">
        <f>SUM(B153:G153)</f>
        <v>56</v>
      </c>
    </row>
    <row r="154" spans="1:13" x14ac:dyDescent="0.25">
      <c r="A154" s="22" t="s">
        <v>206</v>
      </c>
      <c r="B154" s="23">
        <v>1</v>
      </c>
      <c r="C154" s="11">
        <v>0</v>
      </c>
      <c r="D154" s="11">
        <v>0</v>
      </c>
      <c r="E154" s="11">
        <v>0</v>
      </c>
      <c r="F154" s="23">
        <v>0</v>
      </c>
      <c r="G154" s="11">
        <v>0</v>
      </c>
      <c r="H154" s="26">
        <f t="shared" ref="H154:H155" si="15">SUM(B154:G154)</f>
        <v>1</v>
      </c>
    </row>
    <row r="155" spans="1:13" x14ac:dyDescent="0.25">
      <c r="A155" s="116" t="s">
        <v>207</v>
      </c>
      <c r="B155" s="117">
        <v>1</v>
      </c>
      <c r="C155" s="93">
        <v>0</v>
      </c>
      <c r="D155" s="93">
        <v>0</v>
      </c>
      <c r="E155" s="93">
        <v>0</v>
      </c>
      <c r="F155" s="117">
        <v>0</v>
      </c>
      <c r="G155" s="93">
        <v>0</v>
      </c>
      <c r="H155" s="26">
        <f t="shared" si="15"/>
        <v>1</v>
      </c>
    </row>
    <row r="159" spans="1:13" x14ac:dyDescent="0.25">
      <c r="J159" s="133"/>
      <c r="K159" s="133"/>
      <c r="L159" s="133"/>
      <c r="M159" s="133"/>
    </row>
    <row r="160" spans="1:13" x14ac:dyDescent="0.25">
      <c r="J160" s="133"/>
    </row>
    <row r="167" spans="10:17" x14ac:dyDescent="0.25">
      <c r="P167" s="5"/>
      <c r="Q167" s="5"/>
    </row>
    <row r="169" spans="10:17" x14ac:dyDescent="0.25">
      <c r="J169" s="5"/>
      <c r="K169" s="5"/>
      <c r="L169" s="5"/>
      <c r="M169" s="5"/>
      <c r="N169" s="1"/>
      <c r="O169" s="1"/>
    </row>
  </sheetData>
  <mergeCells count="31">
    <mergeCell ref="J110:J111"/>
    <mergeCell ref="K110:K111"/>
    <mergeCell ref="A108:H108"/>
    <mergeCell ref="A115:H115"/>
    <mergeCell ref="J159:J160"/>
    <mergeCell ref="K159:M159"/>
    <mergeCell ref="J59:P59"/>
    <mergeCell ref="J60:P60"/>
    <mergeCell ref="J61:P61"/>
    <mergeCell ref="J62:P62"/>
    <mergeCell ref="M86:M92"/>
    <mergeCell ref="N86:P86"/>
    <mergeCell ref="J58:P58"/>
    <mergeCell ref="J26:J27"/>
    <mergeCell ref="K26:Q26"/>
    <mergeCell ref="J39:J40"/>
    <mergeCell ref="K39:Q39"/>
    <mergeCell ref="J50:M50"/>
    <mergeCell ref="J52:Q52"/>
    <mergeCell ref="J53:P53"/>
    <mergeCell ref="J54:P54"/>
    <mergeCell ref="J55:P55"/>
    <mergeCell ref="J56:P56"/>
    <mergeCell ref="J57:P57"/>
    <mergeCell ref="A3:R3"/>
    <mergeCell ref="B4:J4"/>
    <mergeCell ref="L4:R4"/>
    <mergeCell ref="A9:A10"/>
    <mergeCell ref="B9:H9"/>
    <mergeCell ref="J9:J10"/>
    <mergeCell ref="K9:Q9"/>
  </mergeCells>
  <pageMargins left="1" right="1" top="1" bottom="1" header="0.5" footer="0.5"/>
  <pageSetup paperSize="9" scale="43" fitToHeight="0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S168"/>
  <sheetViews>
    <sheetView topLeftCell="F19" zoomScale="80" zoomScaleNormal="80" workbookViewId="0">
      <selection activeCell="A50" sqref="A50:XFD50"/>
    </sheetView>
  </sheetViews>
  <sheetFormatPr baseColWidth="10" defaultRowHeight="15" x14ac:dyDescent="0.25"/>
  <cols>
    <col min="1" max="1" width="49.85546875" customWidth="1"/>
    <col min="2" max="6" width="9.85546875" customWidth="1"/>
    <col min="7" max="7" width="13.5703125" customWidth="1"/>
    <col min="8" max="8" width="9.28515625" customWidth="1"/>
    <col min="9" max="9" width="9.42578125" customWidth="1"/>
    <col min="10" max="10" width="43.7109375" customWidth="1"/>
    <col min="11" max="15" width="9.28515625" customWidth="1"/>
    <col min="16" max="16" width="10.42578125" customWidth="1"/>
    <col min="17" max="17" width="10" customWidth="1"/>
    <col min="18" max="18" width="2.85546875" customWidth="1"/>
  </cols>
  <sheetData>
    <row r="3" spans="1:19" ht="26.25" x14ac:dyDescent="0.25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"/>
    </row>
    <row r="4" spans="1:19" ht="15.75" x14ac:dyDescent="0.25">
      <c r="A4" s="1" t="s">
        <v>12</v>
      </c>
      <c r="B4" s="155" t="s">
        <v>16</v>
      </c>
      <c r="C4" s="156"/>
      <c r="D4" s="156"/>
      <c r="E4" s="156"/>
      <c r="F4" s="156"/>
      <c r="G4" s="156"/>
      <c r="H4" s="156"/>
      <c r="I4" s="156"/>
      <c r="J4" s="157"/>
      <c r="K4" s="9" t="s">
        <v>14</v>
      </c>
      <c r="L4" s="147" t="s">
        <v>173</v>
      </c>
      <c r="M4" s="148"/>
      <c r="N4" s="148"/>
      <c r="O4" s="148"/>
      <c r="P4" s="148"/>
      <c r="Q4" s="148"/>
      <c r="R4" s="149"/>
      <c r="S4" s="1"/>
    </row>
    <row r="5" spans="1:19" x14ac:dyDescent="0.25">
      <c r="A5" s="1"/>
      <c r="B5" s="1"/>
      <c r="C5" s="1"/>
      <c r="D5" s="10"/>
      <c r="E5" s="1"/>
      <c r="F5" s="1"/>
      <c r="G5" s="1"/>
      <c r="H5" s="1"/>
      <c r="I5" s="1"/>
      <c r="J5" s="1"/>
      <c r="K5" s="9"/>
      <c r="L5" s="10"/>
      <c r="M5" s="10"/>
      <c r="N5" s="10"/>
      <c r="O5" s="10"/>
      <c r="P5" s="10"/>
      <c r="Q5" s="10"/>
      <c r="R5" s="10"/>
      <c r="S5" s="1"/>
    </row>
    <row r="6" spans="1:19" x14ac:dyDescent="0.25">
      <c r="A6" s="1" t="s">
        <v>15</v>
      </c>
      <c r="B6" s="30">
        <v>3</v>
      </c>
      <c r="C6" s="1"/>
      <c r="D6" s="10"/>
      <c r="E6" s="1"/>
      <c r="F6" s="1"/>
      <c r="G6" s="1"/>
      <c r="H6" s="1"/>
      <c r="I6" s="1"/>
      <c r="J6" s="1"/>
      <c r="K6" s="9" t="s">
        <v>13</v>
      </c>
      <c r="L6" s="30">
        <v>2025</v>
      </c>
      <c r="M6" s="1"/>
      <c r="N6" s="1"/>
      <c r="O6" s="1"/>
      <c r="P6" s="1"/>
      <c r="Q6" s="1"/>
      <c r="R6" s="1"/>
      <c r="S6" s="1"/>
    </row>
    <row r="7" spans="1:19" x14ac:dyDescent="0.25">
      <c r="A7" s="1"/>
      <c r="B7" s="1"/>
      <c r="C7" s="1"/>
      <c r="D7" s="10"/>
      <c r="E7" s="1"/>
      <c r="F7" s="1"/>
      <c r="G7" s="1"/>
      <c r="H7" s="1"/>
      <c r="I7" s="1"/>
      <c r="J7" s="1"/>
      <c r="K7" s="1"/>
      <c r="L7" s="44"/>
      <c r="M7" s="1"/>
      <c r="N7" s="1"/>
      <c r="O7" s="1"/>
      <c r="P7" s="1"/>
      <c r="Q7" s="1"/>
      <c r="R7" s="1"/>
      <c r="S7" s="1"/>
    </row>
    <row r="8" spans="1:19" ht="15.75" thickBot="1" x14ac:dyDescent="0.3">
      <c r="A8" s="2"/>
      <c r="B8" s="2"/>
      <c r="C8" s="2"/>
      <c r="D8" s="20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3"/>
      <c r="S8" s="1"/>
    </row>
    <row r="9" spans="1:19" x14ac:dyDescent="0.25">
      <c r="A9" s="150" t="s">
        <v>148</v>
      </c>
      <c r="B9" s="152" t="s">
        <v>11</v>
      </c>
      <c r="C9" s="152"/>
      <c r="D9" s="152"/>
      <c r="E9" s="152"/>
      <c r="F9" s="152"/>
      <c r="G9" s="152"/>
      <c r="H9" s="152"/>
      <c r="I9" s="1"/>
      <c r="J9" s="153" t="s">
        <v>149</v>
      </c>
      <c r="K9" s="136" t="s">
        <v>11</v>
      </c>
      <c r="L9" s="136"/>
      <c r="M9" s="136"/>
      <c r="N9" s="136"/>
      <c r="O9" s="136"/>
      <c r="P9" s="136"/>
      <c r="Q9" s="137"/>
      <c r="R9" s="4"/>
      <c r="S9" s="1"/>
    </row>
    <row r="10" spans="1:19" x14ac:dyDescent="0.25">
      <c r="A10" s="151"/>
      <c r="B10" s="30" t="s">
        <v>8</v>
      </c>
      <c r="C10" s="30" t="s">
        <v>9</v>
      </c>
      <c r="D10" s="30" t="s">
        <v>10</v>
      </c>
      <c r="E10" s="30" t="s">
        <v>154</v>
      </c>
      <c r="F10" s="30" t="s">
        <v>155</v>
      </c>
      <c r="G10" s="30" t="s">
        <v>147</v>
      </c>
      <c r="H10" s="30" t="s">
        <v>11</v>
      </c>
      <c r="I10" s="1"/>
      <c r="J10" s="154"/>
      <c r="K10" s="30" t="s">
        <v>8</v>
      </c>
      <c r="L10" s="30" t="s">
        <v>9</v>
      </c>
      <c r="M10" s="30" t="s">
        <v>10</v>
      </c>
      <c r="N10" s="30" t="s">
        <v>154</v>
      </c>
      <c r="O10" s="30" t="s">
        <v>155</v>
      </c>
      <c r="P10" s="30" t="s">
        <v>147</v>
      </c>
      <c r="Q10" s="54" t="s">
        <v>11</v>
      </c>
      <c r="R10" s="4"/>
      <c r="S10" s="1"/>
    </row>
    <row r="11" spans="1:19" x14ac:dyDescent="0.25">
      <c r="A11" s="15" t="s">
        <v>0</v>
      </c>
      <c r="B11" s="16">
        <f t="shared" ref="B11:G11" si="0">B12+B51+B69+B82+B95</f>
        <v>15039</v>
      </c>
      <c r="C11" s="16">
        <f t="shared" si="0"/>
        <v>17147</v>
      </c>
      <c r="D11" s="16">
        <f t="shared" si="0"/>
        <v>14878</v>
      </c>
      <c r="E11" s="16">
        <f t="shared" si="0"/>
        <v>786</v>
      </c>
      <c r="F11" s="16">
        <f t="shared" si="0"/>
        <v>551</v>
      </c>
      <c r="G11" s="16">
        <f t="shared" si="0"/>
        <v>20</v>
      </c>
      <c r="H11" s="12">
        <f>SUM(B11:G11)</f>
        <v>48421</v>
      </c>
      <c r="I11" s="1"/>
      <c r="J11" s="79" t="s">
        <v>85</v>
      </c>
      <c r="K11" s="74">
        <f t="shared" ref="K11:P11" si="1">SUM(K12:K23)</f>
        <v>1037</v>
      </c>
      <c r="L11" s="74">
        <f t="shared" si="1"/>
        <v>0</v>
      </c>
      <c r="M11" s="74">
        <f t="shared" si="1"/>
        <v>422</v>
      </c>
      <c r="N11" s="74">
        <f t="shared" si="1"/>
        <v>7</v>
      </c>
      <c r="O11" s="74">
        <f t="shared" si="1"/>
        <v>1</v>
      </c>
      <c r="P11" s="74">
        <f t="shared" si="1"/>
        <v>0</v>
      </c>
      <c r="Q11" s="80">
        <f t="shared" ref="Q11:Q23" si="2">SUM(K11:P11)</f>
        <v>1467</v>
      </c>
      <c r="R11" s="4"/>
      <c r="S11" s="1"/>
    </row>
    <row r="12" spans="1:19" x14ac:dyDescent="0.25">
      <c r="A12" s="73" t="s">
        <v>1</v>
      </c>
      <c r="B12" s="74">
        <f t="shared" ref="B12:G12" si="3">SUM(B13:B50)</f>
        <v>8844</v>
      </c>
      <c r="C12" s="74">
        <f t="shared" si="3"/>
        <v>10835</v>
      </c>
      <c r="D12" s="74">
        <f t="shared" si="3"/>
        <v>8499</v>
      </c>
      <c r="E12" s="74">
        <f t="shared" si="3"/>
        <v>509</v>
      </c>
      <c r="F12" s="74">
        <f t="shared" si="3"/>
        <v>351</v>
      </c>
      <c r="G12" s="74">
        <f t="shared" si="3"/>
        <v>20</v>
      </c>
      <c r="H12" s="74">
        <f>SUM(B12:G12)</f>
        <v>29058</v>
      </c>
      <c r="I12" s="1"/>
      <c r="J12" s="55" t="s">
        <v>4</v>
      </c>
      <c r="K12" s="68">
        <v>0</v>
      </c>
      <c r="L12" s="68">
        <v>0</v>
      </c>
      <c r="M12" s="68">
        <v>45</v>
      </c>
      <c r="N12" s="68">
        <v>6</v>
      </c>
      <c r="O12" s="68">
        <v>0</v>
      </c>
      <c r="P12" s="68">
        <v>0</v>
      </c>
      <c r="Q12" s="40">
        <f t="shared" si="2"/>
        <v>51</v>
      </c>
      <c r="R12" s="4"/>
      <c r="S12" s="1"/>
    </row>
    <row r="13" spans="1:19" x14ac:dyDescent="0.25">
      <c r="A13" s="8" t="s">
        <v>17</v>
      </c>
      <c r="B13" s="17">
        <v>31</v>
      </c>
      <c r="C13" s="11">
        <v>2</v>
      </c>
      <c r="D13" s="11">
        <v>69</v>
      </c>
      <c r="E13" s="11">
        <v>0</v>
      </c>
      <c r="F13" s="11">
        <v>3</v>
      </c>
      <c r="G13" s="11">
        <v>4</v>
      </c>
      <c r="H13" s="12">
        <f>SUM(B13:G13)</f>
        <v>109</v>
      </c>
      <c r="I13" s="1"/>
      <c r="J13" s="55" t="s">
        <v>81</v>
      </c>
      <c r="K13" s="68">
        <v>4</v>
      </c>
      <c r="L13" s="68">
        <v>0</v>
      </c>
      <c r="M13" s="68">
        <v>3</v>
      </c>
      <c r="N13" s="68">
        <v>0</v>
      </c>
      <c r="O13" s="68">
        <v>0</v>
      </c>
      <c r="P13" s="68">
        <v>0</v>
      </c>
      <c r="Q13" s="40">
        <f t="shared" si="2"/>
        <v>7</v>
      </c>
      <c r="R13" s="4"/>
      <c r="S13" s="1"/>
    </row>
    <row r="14" spans="1:19" x14ac:dyDescent="0.25">
      <c r="A14" s="7" t="s">
        <v>18</v>
      </c>
      <c r="B14" s="17">
        <v>30</v>
      </c>
      <c r="C14" s="11">
        <v>1</v>
      </c>
      <c r="D14" s="11">
        <v>39</v>
      </c>
      <c r="E14" s="11">
        <v>5</v>
      </c>
      <c r="F14" s="11">
        <v>1</v>
      </c>
      <c r="G14" s="11">
        <v>0</v>
      </c>
      <c r="H14" s="12">
        <f t="shared" ref="H14:H48" si="4">SUM(B14:G14)</f>
        <v>76</v>
      </c>
      <c r="I14" s="1"/>
      <c r="J14" s="56" t="s">
        <v>5</v>
      </c>
      <c r="K14" s="68">
        <v>3</v>
      </c>
      <c r="L14" s="68">
        <v>0</v>
      </c>
      <c r="M14" s="68">
        <v>46</v>
      </c>
      <c r="N14" s="68">
        <v>0</v>
      </c>
      <c r="O14" s="68">
        <v>1</v>
      </c>
      <c r="P14" s="68">
        <v>0</v>
      </c>
      <c r="Q14" s="40">
        <f>SUM(K14:P14)</f>
        <v>50</v>
      </c>
      <c r="R14" s="4"/>
      <c r="S14" s="1"/>
    </row>
    <row r="15" spans="1:19" x14ac:dyDescent="0.25">
      <c r="A15" s="7" t="s">
        <v>19</v>
      </c>
      <c r="B15" s="17">
        <v>10</v>
      </c>
      <c r="C15" s="11">
        <v>116</v>
      </c>
      <c r="D15" s="13">
        <v>31</v>
      </c>
      <c r="E15" s="13">
        <v>2</v>
      </c>
      <c r="F15" s="13">
        <v>0</v>
      </c>
      <c r="G15" s="13">
        <v>2</v>
      </c>
      <c r="H15" s="12">
        <f>SUM(B15:G15)</f>
        <v>161</v>
      </c>
      <c r="I15" s="1"/>
      <c r="J15" s="56" t="s">
        <v>80</v>
      </c>
      <c r="K15" s="68">
        <v>81</v>
      </c>
      <c r="L15" s="68">
        <v>0</v>
      </c>
      <c r="M15" s="68">
        <v>26</v>
      </c>
      <c r="N15" s="68">
        <v>1</v>
      </c>
      <c r="O15" s="68">
        <v>0</v>
      </c>
      <c r="P15" s="68">
        <v>0</v>
      </c>
      <c r="Q15" s="40">
        <f t="shared" si="2"/>
        <v>108</v>
      </c>
      <c r="R15" s="4"/>
      <c r="S15" s="1"/>
    </row>
    <row r="16" spans="1:19" x14ac:dyDescent="0.25">
      <c r="A16" s="7" t="s">
        <v>27</v>
      </c>
      <c r="B16" s="10">
        <v>780</v>
      </c>
      <c r="C16" s="11">
        <v>1566</v>
      </c>
      <c r="D16" s="11">
        <v>960</v>
      </c>
      <c r="E16" s="11">
        <v>72</v>
      </c>
      <c r="F16" s="11">
        <v>35</v>
      </c>
      <c r="G16" s="11">
        <v>3</v>
      </c>
      <c r="H16" s="12">
        <f t="shared" si="4"/>
        <v>3416</v>
      </c>
      <c r="I16" s="1"/>
      <c r="J16" s="57" t="s">
        <v>83</v>
      </c>
      <c r="K16" s="69">
        <v>0</v>
      </c>
      <c r="L16" s="69">
        <v>0</v>
      </c>
      <c r="M16" s="69">
        <v>2</v>
      </c>
      <c r="N16" s="69">
        <v>0</v>
      </c>
      <c r="O16" s="69">
        <v>0</v>
      </c>
      <c r="P16" s="69">
        <v>0</v>
      </c>
      <c r="Q16" s="40">
        <f t="shared" si="2"/>
        <v>2</v>
      </c>
      <c r="R16" s="4"/>
      <c r="S16" s="1"/>
    </row>
    <row r="17" spans="1:19" x14ac:dyDescent="0.25">
      <c r="A17" s="7" t="s">
        <v>186</v>
      </c>
      <c r="B17" s="10">
        <v>0</v>
      </c>
      <c r="C17" s="11">
        <v>0</v>
      </c>
      <c r="D17" s="11">
        <v>12</v>
      </c>
      <c r="E17" s="11">
        <v>0</v>
      </c>
      <c r="F17" s="11">
        <v>1</v>
      </c>
      <c r="G17" s="11">
        <v>0</v>
      </c>
      <c r="H17" s="12">
        <f t="shared" si="4"/>
        <v>13</v>
      </c>
      <c r="I17" s="1"/>
      <c r="J17" s="50" t="s">
        <v>162</v>
      </c>
      <c r="K17" s="69">
        <v>313</v>
      </c>
      <c r="L17" s="69">
        <v>0</v>
      </c>
      <c r="M17" s="69">
        <v>100</v>
      </c>
      <c r="N17" s="69">
        <v>0</v>
      </c>
      <c r="O17" s="69">
        <v>0</v>
      </c>
      <c r="P17" s="69">
        <v>0</v>
      </c>
      <c r="Q17" s="40">
        <f t="shared" si="2"/>
        <v>413</v>
      </c>
      <c r="R17" s="4"/>
      <c r="S17" s="1"/>
    </row>
    <row r="18" spans="1:19" x14ac:dyDescent="0.25">
      <c r="A18" s="7" t="s">
        <v>188</v>
      </c>
      <c r="B18" s="10">
        <v>18</v>
      </c>
      <c r="C18" s="11">
        <v>0</v>
      </c>
      <c r="D18" s="11">
        <v>23</v>
      </c>
      <c r="E18" s="11">
        <v>0</v>
      </c>
      <c r="F18" s="11">
        <v>0</v>
      </c>
      <c r="G18" s="11">
        <v>0</v>
      </c>
      <c r="H18" s="12">
        <f t="shared" si="4"/>
        <v>41</v>
      </c>
      <c r="I18" s="1"/>
      <c r="J18" s="50" t="s">
        <v>163</v>
      </c>
      <c r="K18" s="69">
        <v>315</v>
      </c>
      <c r="L18" s="69">
        <v>0</v>
      </c>
      <c r="M18" s="69">
        <v>100</v>
      </c>
      <c r="N18" s="69">
        <v>0</v>
      </c>
      <c r="O18" s="69">
        <v>0</v>
      </c>
      <c r="P18" s="69">
        <v>0</v>
      </c>
      <c r="Q18" s="40">
        <f t="shared" si="2"/>
        <v>415</v>
      </c>
      <c r="R18" s="4"/>
      <c r="S18" s="1"/>
    </row>
    <row r="19" spans="1:19" x14ac:dyDescent="0.25">
      <c r="A19" s="7" t="s">
        <v>28</v>
      </c>
      <c r="B19" s="17">
        <v>102</v>
      </c>
      <c r="C19" s="11">
        <v>62</v>
      </c>
      <c r="D19" s="11">
        <v>210</v>
      </c>
      <c r="E19" s="11">
        <v>9</v>
      </c>
      <c r="F19" s="11">
        <v>11</v>
      </c>
      <c r="G19" s="11">
        <v>0</v>
      </c>
      <c r="H19" s="12">
        <f t="shared" si="4"/>
        <v>394</v>
      </c>
      <c r="I19" s="1"/>
      <c r="J19" s="50" t="s">
        <v>164</v>
      </c>
      <c r="K19" s="69">
        <v>315</v>
      </c>
      <c r="L19" s="69">
        <v>0</v>
      </c>
      <c r="M19" s="69">
        <v>100</v>
      </c>
      <c r="N19" s="69">
        <v>0</v>
      </c>
      <c r="O19" s="69">
        <v>0</v>
      </c>
      <c r="P19" s="69">
        <v>0</v>
      </c>
      <c r="Q19" s="40">
        <f t="shared" si="2"/>
        <v>415</v>
      </c>
      <c r="R19" s="4"/>
      <c r="S19" s="1"/>
    </row>
    <row r="20" spans="1:19" x14ac:dyDescent="0.25">
      <c r="A20" s="7" t="s">
        <v>29</v>
      </c>
      <c r="B20" s="10">
        <v>2</v>
      </c>
      <c r="C20" s="11">
        <v>1</v>
      </c>
      <c r="D20" s="11">
        <v>33</v>
      </c>
      <c r="E20" s="11">
        <v>1</v>
      </c>
      <c r="F20" s="11">
        <v>1</v>
      </c>
      <c r="G20" s="11">
        <v>0</v>
      </c>
      <c r="H20" s="12">
        <f t="shared" si="4"/>
        <v>38</v>
      </c>
      <c r="I20" s="1"/>
      <c r="J20" s="50" t="s">
        <v>194</v>
      </c>
      <c r="K20" s="69">
        <v>6</v>
      </c>
      <c r="L20" s="69">
        <v>0</v>
      </c>
      <c r="M20" s="69">
        <v>0</v>
      </c>
      <c r="N20" s="69">
        <v>0</v>
      </c>
      <c r="O20" s="69">
        <v>0</v>
      </c>
      <c r="P20" s="69">
        <v>0</v>
      </c>
      <c r="Q20" s="40">
        <f t="shared" si="2"/>
        <v>6</v>
      </c>
      <c r="R20" s="4"/>
      <c r="S20" s="1"/>
    </row>
    <row r="21" spans="1:19" x14ac:dyDescent="0.25">
      <c r="A21" s="7" t="s">
        <v>20</v>
      </c>
      <c r="B21" s="17">
        <v>801</v>
      </c>
      <c r="C21" s="11">
        <v>1554</v>
      </c>
      <c r="D21" s="11">
        <v>980</v>
      </c>
      <c r="E21" s="11">
        <v>68</v>
      </c>
      <c r="F21" s="11">
        <v>40</v>
      </c>
      <c r="G21" s="11">
        <v>0</v>
      </c>
      <c r="H21" s="12">
        <f t="shared" si="4"/>
        <v>3443</v>
      </c>
      <c r="I21" s="1"/>
      <c r="J21" s="50" t="s">
        <v>221</v>
      </c>
      <c r="K21" s="69"/>
      <c r="L21" s="69"/>
      <c r="M21" s="69"/>
      <c r="N21" s="69"/>
      <c r="O21" s="69"/>
      <c r="P21" s="69"/>
      <c r="Q21" s="40"/>
      <c r="R21" s="4"/>
      <c r="S21" s="1"/>
    </row>
    <row r="22" spans="1:19" x14ac:dyDescent="0.25">
      <c r="A22" s="7" t="s">
        <v>25</v>
      </c>
      <c r="B22" s="17">
        <v>2</v>
      </c>
      <c r="C22" s="11">
        <v>0</v>
      </c>
      <c r="D22" s="11">
        <v>5</v>
      </c>
      <c r="E22" s="11">
        <v>0</v>
      </c>
      <c r="F22" s="11">
        <v>0</v>
      </c>
      <c r="G22" s="11">
        <v>0</v>
      </c>
      <c r="H22" s="12">
        <f t="shared" si="4"/>
        <v>7</v>
      </c>
      <c r="I22" s="1"/>
      <c r="J22" s="58" t="s">
        <v>6</v>
      </c>
      <c r="K22" s="68">
        <v>0</v>
      </c>
      <c r="L22" s="68">
        <v>0</v>
      </c>
      <c r="M22" s="68">
        <v>0</v>
      </c>
      <c r="N22" s="68">
        <v>0</v>
      </c>
      <c r="O22" s="68">
        <v>0</v>
      </c>
      <c r="P22" s="68">
        <v>0</v>
      </c>
      <c r="Q22" s="40">
        <f t="shared" si="2"/>
        <v>0</v>
      </c>
      <c r="R22" s="4"/>
      <c r="S22" s="1"/>
    </row>
    <row r="23" spans="1:19" ht="15.75" thickBot="1" x14ac:dyDescent="0.3">
      <c r="A23" s="7"/>
      <c r="B23" s="17"/>
      <c r="C23" s="11"/>
      <c r="D23" s="11"/>
      <c r="E23" s="11"/>
      <c r="F23" s="11"/>
      <c r="G23" s="11"/>
      <c r="H23" s="12"/>
      <c r="I23" s="1"/>
      <c r="J23" s="59" t="s">
        <v>7</v>
      </c>
      <c r="K23" s="94">
        <v>0</v>
      </c>
      <c r="L23" s="94">
        <v>0</v>
      </c>
      <c r="M23" s="94">
        <v>0</v>
      </c>
      <c r="N23" s="94">
        <v>0</v>
      </c>
      <c r="O23" s="94">
        <v>0</v>
      </c>
      <c r="P23" s="94">
        <v>0</v>
      </c>
      <c r="Q23" s="46">
        <f t="shared" si="2"/>
        <v>0</v>
      </c>
      <c r="R23" s="4"/>
      <c r="S23" s="1"/>
    </row>
    <row r="24" spans="1:19" x14ac:dyDescent="0.25">
      <c r="A24" s="7" t="s">
        <v>21</v>
      </c>
      <c r="B24" s="17">
        <v>860</v>
      </c>
      <c r="C24" s="11">
        <v>1552</v>
      </c>
      <c r="D24" s="11">
        <v>954</v>
      </c>
      <c r="E24" s="11">
        <v>66</v>
      </c>
      <c r="F24" s="11">
        <v>40</v>
      </c>
      <c r="G24" s="11">
        <v>0</v>
      </c>
      <c r="H24" s="12">
        <f t="shared" si="4"/>
        <v>3472</v>
      </c>
      <c r="I24" s="1"/>
      <c r="J24" s="1"/>
      <c r="K24" s="1"/>
      <c r="L24" s="1"/>
      <c r="M24" s="1"/>
      <c r="N24" s="1"/>
      <c r="O24" s="1"/>
      <c r="P24" s="1"/>
      <c r="Q24" s="1"/>
      <c r="R24" s="4"/>
      <c r="S24" s="1"/>
    </row>
    <row r="25" spans="1:19" ht="15.75" thickBot="1" x14ac:dyDescent="0.3">
      <c r="A25" s="7" t="s">
        <v>24</v>
      </c>
      <c r="B25" s="17">
        <v>8</v>
      </c>
      <c r="C25" s="11">
        <v>0</v>
      </c>
      <c r="D25" s="11">
        <v>15</v>
      </c>
      <c r="E25" s="11">
        <v>0</v>
      </c>
      <c r="F25" s="11">
        <v>0</v>
      </c>
      <c r="G25" s="11">
        <v>0</v>
      </c>
      <c r="H25" s="12">
        <f t="shared" si="4"/>
        <v>23</v>
      </c>
      <c r="I25" s="1"/>
      <c r="J25" s="1"/>
      <c r="K25" s="1"/>
      <c r="L25" s="1"/>
      <c r="M25" s="1"/>
      <c r="N25" s="1"/>
      <c r="O25" s="1"/>
      <c r="P25" s="1"/>
      <c r="Q25" s="1"/>
      <c r="R25" s="4"/>
      <c r="S25" s="1"/>
    </row>
    <row r="26" spans="1:19" x14ac:dyDescent="0.25">
      <c r="A26" s="7" t="s">
        <v>79</v>
      </c>
      <c r="B26" s="17">
        <v>621</v>
      </c>
      <c r="C26" s="11">
        <v>470</v>
      </c>
      <c r="D26" s="11">
        <v>405</v>
      </c>
      <c r="E26" s="11">
        <v>13</v>
      </c>
      <c r="F26" s="11">
        <v>17</v>
      </c>
      <c r="G26" s="11">
        <v>0</v>
      </c>
      <c r="H26" s="12">
        <f t="shared" si="4"/>
        <v>1526</v>
      </c>
      <c r="I26" s="1"/>
      <c r="J26" s="134" t="s">
        <v>169</v>
      </c>
      <c r="K26" s="136" t="s">
        <v>11</v>
      </c>
      <c r="L26" s="136"/>
      <c r="M26" s="136"/>
      <c r="N26" s="136"/>
      <c r="O26" s="136"/>
      <c r="P26" s="136"/>
      <c r="Q26" s="137"/>
      <c r="R26" s="4"/>
      <c r="S26" s="1"/>
    </row>
    <row r="27" spans="1:19" x14ac:dyDescent="0.25">
      <c r="A27" s="7" t="s">
        <v>75</v>
      </c>
      <c r="B27" s="17">
        <v>618</v>
      </c>
      <c r="C27" s="11">
        <v>470</v>
      </c>
      <c r="D27" s="11">
        <v>401</v>
      </c>
      <c r="E27" s="11">
        <v>13</v>
      </c>
      <c r="F27" s="11">
        <v>17</v>
      </c>
      <c r="G27" s="11">
        <v>0</v>
      </c>
      <c r="H27" s="12">
        <f t="shared" si="4"/>
        <v>1519</v>
      </c>
      <c r="I27" s="1"/>
      <c r="J27" s="135"/>
      <c r="K27" s="30" t="s">
        <v>8</v>
      </c>
      <c r="L27" s="30" t="s">
        <v>9</v>
      </c>
      <c r="M27" s="30" t="s">
        <v>176</v>
      </c>
      <c r="N27" s="30" t="s">
        <v>154</v>
      </c>
      <c r="O27" s="30" t="s">
        <v>155</v>
      </c>
      <c r="P27" s="60" t="s">
        <v>147</v>
      </c>
      <c r="Q27" s="54" t="s">
        <v>11</v>
      </c>
      <c r="R27" s="4"/>
      <c r="S27" s="1"/>
    </row>
    <row r="28" spans="1:19" x14ac:dyDescent="0.25">
      <c r="A28" s="7" t="s">
        <v>76</v>
      </c>
      <c r="B28" s="17">
        <v>558</v>
      </c>
      <c r="C28" s="11">
        <v>451</v>
      </c>
      <c r="D28" s="11">
        <v>481</v>
      </c>
      <c r="E28" s="11">
        <v>14</v>
      </c>
      <c r="F28" s="11">
        <v>18</v>
      </c>
      <c r="G28" s="11">
        <v>0</v>
      </c>
      <c r="H28" s="12">
        <f t="shared" si="4"/>
        <v>1522</v>
      </c>
      <c r="I28" s="1"/>
      <c r="J28" s="79" t="s">
        <v>146</v>
      </c>
      <c r="K28" s="74">
        <f t="shared" ref="K28:P28" si="5">SUM(K29:K37)</f>
        <v>161</v>
      </c>
      <c r="L28" s="74">
        <f t="shared" si="5"/>
        <v>495</v>
      </c>
      <c r="M28" s="74">
        <f t="shared" si="5"/>
        <v>207</v>
      </c>
      <c r="N28" s="74">
        <f t="shared" si="5"/>
        <v>3</v>
      </c>
      <c r="O28" s="74">
        <f t="shared" si="5"/>
        <v>0</v>
      </c>
      <c r="P28" s="74">
        <f t="shared" si="5"/>
        <v>0</v>
      </c>
      <c r="Q28" s="80">
        <f>SUM(K28:P28)</f>
        <v>866</v>
      </c>
      <c r="R28" s="4"/>
      <c r="S28" s="1"/>
    </row>
    <row r="29" spans="1:19" x14ac:dyDescent="0.25">
      <c r="A29" s="7" t="s">
        <v>74</v>
      </c>
      <c r="B29" s="17">
        <v>545</v>
      </c>
      <c r="C29" s="11">
        <v>458</v>
      </c>
      <c r="D29" s="11">
        <v>475</v>
      </c>
      <c r="E29" s="11">
        <v>6</v>
      </c>
      <c r="F29" s="11">
        <v>18</v>
      </c>
      <c r="G29" s="11">
        <v>0</v>
      </c>
      <c r="H29" s="12">
        <f t="shared" si="4"/>
        <v>1502</v>
      </c>
      <c r="I29" s="1"/>
      <c r="J29" s="45" t="s">
        <v>64</v>
      </c>
      <c r="K29" s="68">
        <v>114</v>
      </c>
      <c r="L29" s="68">
        <v>27</v>
      </c>
      <c r="M29" s="68">
        <v>125</v>
      </c>
      <c r="N29" s="68">
        <v>0</v>
      </c>
      <c r="O29" s="68">
        <v>0</v>
      </c>
      <c r="P29" s="69">
        <v>0</v>
      </c>
      <c r="Q29" s="40">
        <f>SUM(K29:P29)</f>
        <v>266</v>
      </c>
      <c r="R29" s="4"/>
      <c r="S29" s="1"/>
    </row>
    <row r="30" spans="1:19" x14ac:dyDescent="0.25">
      <c r="A30" s="7" t="s">
        <v>22</v>
      </c>
      <c r="B30" s="17">
        <v>615</v>
      </c>
      <c r="C30" s="11">
        <v>538</v>
      </c>
      <c r="D30" s="11">
        <v>672</v>
      </c>
      <c r="E30" s="11">
        <v>33</v>
      </c>
      <c r="F30" s="11">
        <v>27</v>
      </c>
      <c r="G30" s="11">
        <v>0</v>
      </c>
      <c r="H30" s="12">
        <f t="shared" si="4"/>
        <v>1885</v>
      </c>
      <c r="I30" s="1"/>
      <c r="J30" s="45" t="s">
        <v>170</v>
      </c>
      <c r="K30" s="68">
        <v>0</v>
      </c>
      <c r="L30" s="68">
        <v>0</v>
      </c>
      <c r="M30" s="68">
        <v>4</v>
      </c>
      <c r="N30" s="68">
        <v>0</v>
      </c>
      <c r="O30" s="68">
        <v>0</v>
      </c>
      <c r="P30" s="69">
        <v>0</v>
      </c>
      <c r="Q30" s="40">
        <f>SUM(K30:P30)</f>
        <v>4</v>
      </c>
      <c r="R30" s="4"/>
      <c r="S30" s="1"/>
    </row>
    <row r="31" spans="1:19" x14ac:dyDescent="0.25">
      <c r="A31" s="7" t="s">
        <v>23</v>
      </c>
      <c r="B31" s="17">
        <v>612</v>
      </c>
      <c r="C31" s="11">
        <v>538</v>
      </c>
      <c r="D31" s="11">
        <v>672</v>
      </c>
      <c r="E31" s="11">
        <v>32</v>
      </c>
      <c r="F31" s="11">
        <v>27</v>
      </c>
      <c r="G31" s="11">
        <v>0</v>
      </c>
      <c r="H31" s="12">
        <f t="shared" si="4"/>
        <v>1881</v>
      </c>
      <c r="I31" s="1"/>
      <c r="J31" s="45" t="s">
        <v>171</v>
      </c>
      <c r="K31" s="68">
        <v>0</v>
      </c>
      <c r="L31" s="68">
        <v>0</v>
      </c>
      <c r="M31" s="68">
        <v>6</v>
      </c>
      <c r="N31" s="68">
        <v>0</v>
      </c>
      <c r="O31" s="68">
        <v>0</v>
      </c>
      <c r="P31" s="69">
        <v>0</v>
      </c>
      <c r="Q31" s="40">
        <f>SUM(K31:P31)</f>
        <v>6</v>
      </c>
      <c r="R31" s="4"/>
      <c r="S31" s="1"/>
    </row>
    <row r="32" spans="1:19" x14ac:dyDescent="0.25">
      <c r="A32" s="7" t="s">
        <v>202</v>
      </c>
      <c r="B32" s="17">
        <v>0</v>
      </c>
      <c r="C32" s="11">
        <v>2</v>
      </c>
      <c r="D32" s="11">
        <v>2</v>
      </c>
      <c r="E32" s="11">
        <v>1</v>
      </c>
      <c r="F32" s="11">
        <v>0</v>
      </c>
      <c r="G32" s="11">
        <v>0</v>
      </c>
      <c r="H32" s="12">
        <f t="shared" si="4"/>
        <v>5</v>
      </c>
      <c r="I32" s="1"/>
      <c r="J32" s="49" t="s">
        <v>65</v>
      </c>
      <c r="K32" s="68">
        <v>35</v>
      </c>
      <c r="L32" s="68">
        <v>367</v>
      </c>
      <c r="M32" s="68">
        <v>40</v>
      </c>
      <c r="N32" s="68">
        <v>0</v>
      </c>
      <c r="O32" s="68">
        <v>0</v>
      </c>
      <c r="P32" s="69">
        <v>0</v>
      </c>
      <c r="Q32" s="40">
        <f t="shared" ref="Q32:Q37" si="6">SUM(K32:P32)</f>
        <v>442</v>
      </c>
      <c r="R32" s="4"/>
      <c r="S32" s="1"/>
    </row>
    <row r="33" spans="1:19" x14ac:dyDescent="0.25">
      <c r="A33" s="7" t="s">
        <v>159</v>
      </c>
      <c r="B33" s="17">
        <v>147</v>
      </c>
      <c r="C33" s="11">
        <v>115</v>
      </c>
      <c r="D33" s="11">
        <v>65</v>
      </c>
      <c r="E33" s="11">
        <v>5</v>
      </c>
      <c r="F33" s="11">
        <v>3</v>
      </c>
      <c r="G33" s="11">
        <v>0</v>
      </c>
      <c r="H33" s="12">
        <f t="shared" si="4"/>
        <v>335</v>
      </c>
      <c r="I33" s="1"/>
      <c r="J33" s="50" t="s">
        <v>130</v>
      </c>
      <c r="K33" s="70">
        <v>0</v>
      </c>
      <c r="L33" s="70">
        <v>27</v>
      </c>
      <c r="M33" s="70">
        <v>0</v>
      </c>
      <c r="N33" s="70">
        <v>0</v>
      </c>
      <c r="O33" s="70">
        <v>0</v>
      </c>
      <c r="P33" s="69">
        <v>0</v>
      </c>
      <c r="Q33" s="40">
        <f t="shared" si="6"/>
        <v>27</v>
      </c>
      <c r="R33" s="4"/>
      <c r="S33" s="1"/>
    </row>
    <row r="34" spans="1:19" x14ac:dyDescent="0.25">
      <c r="A34" s="7" t="s">
        <v>26</v>
      </c>
      <c r="B34" s="17">
        <v>787</v>
      </c>
      <c r="C34" s="11">
        <v>1297</v>
      </c>
      <c r="D34" s="11">
        <v>148</v>
      </c>
      <c r="E34" s="11">
        <v>40</v>
      </c>
      <c r="F34" s="11">
        <v>8</v>
      </c>
      <c r="G34" s="11">
        <v>0</v>
      </c>
      <c r="H34" s="12">
        <f t="shared" si="4"/>
        <v>2280</v>
      </c>
      <c r="I34" s="1"/>
      <c r="J34" s="67" t="s">
        <v>131</v>
      </c>
      <c r="K34" s="65">
        <v>0</v>
      </c>
      <c r="L34" s="65">
        <v>0</v>
      </c>
      <c r="M34" s="65">
        <v>28</v>
      </c>
      <c r="N34" s="65">
        <v>0</v>
      </c>
      <c r="O34" s="65">
        <v>0</v>
      </c>
      <c r="P34" s="31">
        <v>0</v>
      </c>
      <c r="Q34" s="40">
        <f t="shared" si="6"/>
        <v>28</v>
      </c>
      <c r="R34" s="4"/>
      <c r="S34" s="1"/>
    </row>
    <row r="35" spans="1:19" x14ac:dyDescent="0.25">
      <c r="A35" s="7" t="s">
        <v>82</v>
      </c>
      <c r="B35" s="17">
        <v>478</v>
      </c>
      <c r="C35" s="11">
        <v>314</v>
      </c>
      <c r="D35" s="11">
        <v>367</v>
      </c>
      <c r="E35" s="11">
        <v>9</v>
      </c>
      <c r="F35" s="11">
        <v>17</v>
      </c>
      <c r="G35" s="11">
        <v>0</v>
      </c>
      <c r="H35" s="12">
        <f t="shared" si="4"/>
        <v>1185</v>
      </c>
      <c r="I35" s="1"/>
      <c r="J35" s="67" t="s">
        <v>160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31">
        <v>0</v>
      </c>
      <c r="Q35" s="40">
        <f t="shared" si="6"/>
        <v>0</v>
      </c>
      <c r="R35" s="4"/>
      <c r="S35" s="1"/>
    </row>
    <row r="36" spans="1:19" x14ac:dyDescent="0.25">
      <c r="A36" s="7" t="s">
        <v>30</v>
      </c>
      <c r="B36" s="17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2">
        <f t="shared" si="4"/>
        <v>0</v>
      </c>
      <c r="I36" s="1"/>
      <c r="J36" s="67" t="s">
        <v>211</v>
      </c>
      <c r="K36" s="65">
        <v>12</v>
      </c>
      <c r="L36" s="65">
        <v>51</v>
      </c>
      <c r="M36" s="65">
        <v>4</v>
      </c>
      <c r="N36" s="65">
        <v>3</v>
      </c>
      <c r="O36" s="65">
        <v>0</v>
      </c>
      <c r="P36" s="31">
        <v>0</v>
      </c>
      <c r="Q36" s="40">
        <f t="shared" si="6"/>
        <v>70</v>
      </c>
      <c r="R36" s="4"/>
      <c r="S36" s="1"/>
    </row>
    <row r="37" spans="1:19" ht="15.75" thickBot="1" x14ac:dyDescent="0.3">
      <c r="A37" s="7" t="s">
        <v>31</v>
      </c>
      <c r="B37" s="17">
        <v>0</v>
      </c>
      <c r="C37" s="11">
        <v>4</v>
      </c>
      <c r="D37" s="11">
        <v>0</v>
      </c>
      <c r="E37" s="11">
        <v>0</v>
      </c>
      <c r="F37" s="11">
        <v>0</v>
      </c>
      <c r="G37" s="11">
        <v>0</v>
      </c>
      <c r="H37" s="12">
        <f t="shared" si="4"/>
        <v>4</v>
      </c>
      <c r="I37" s="1"/>
      <c r="J37" s="51" t="s">
        <v>212</v>
      </c>
      <c r="K37" s="71">
        <v>0</v>
      </c>
      <c r="L37" s="71">
        <v>23</v>
      </c>
      <c r="M37" s="71">
        <v>0</v>
      </c>
      <c r="N37" s="71">
        <v>0</v>
      </c>
      <c r="O37" s="71">
        <v>0</v>
      </c>
      <c r="P37" s="72">
        <v>0</v>
      </c>
      <c r="Q37" s="46">
        <f t="shared" si="6"/>
        <v>23</v>
      </c>
      <c r="R37" s="4"/>
      <c r="S37" s="1"/>
    </row>
    <row r="38" spans="1:19" ht="15.75" thickBot="1" x14ac:dyDescent="0.3">
      <c r="A38" s="7" t="s">
        <v>66</v>
      </c>
      <c r="B38" s="17">
        <v>131</v>
      </c>
      <c r="C38" s="11">
        <v>18</v>
      </c>
      <c r="D38" s="11">
        <v>420</v>
      </c>
      <c r="E38" s="11">
        <v>28</v>
      </c>
      <c r="F38" s="11">
        <v>17</v>
      </c>
      <c r="G38" s="11">
        <v>3</v>
      </c>
      <c r="H38" s="12">
        <f t="shared" si="4"/>
        <v>617</v>
      </c>
      <c r="I38" s="1"/>
      <c r="J38" s="34"/>
      <c r="K38" s="34"/>
      <c r="L38" s="34"/>
      <c r="M38" s="34"/>
      <c r="N38" s="34"/>
      <c r="O38" s="34"/>
      <c r="P38" s="34"/>
      <c r="R38" s="4"/>
      <c r="S38" s="1"/>
    </row>
    <row r="39" spans="1:19" x14ac:dyDescent="0.25">
      <c r="A39" s="7" t="s">
        <v>67</v>
      </c>
      <c r="B39" s="17">
        <v>135</v>
      </c>
      <c r="C39" s="11">
        <v>18</v>
      </c>
      <c r="D39" s="11">
        <v>421</v>
      </c>
      <c r="E39" s="11">
        <v>27</v>
      </c>
      <c r="F39" s="11">
        <v>17</v>
      </c>
      <c r="G39" s="11">
        <v>0</v>
      </c>
      <c r="H39" s="12">
        <f t="shared" si="4"/>
        <v>618</v>
      </c>
      <c r="I39" s="1"/>
      <c r="J39" s="134" t="s">
        <v>136</v>
      </c>
      <c r="K39" s="136" t="s">
        <v>11</v>
      </c>
      <c r="L39" s="136"/>
      <c r="M39" s="136"/>
      <c r="N39" s="136"/>
      <c r="O39" s="136"/>
      <c r="P39" s="136"/>
      <c r="Q39" s="137"/>
      <c r="R39" s="4"/>
      <c r="S39" s="1"/>
    </row>
    <row r="40" spans="1:19" x14ac:dyDescent="0.25">
      <c r="A40" s="7" t="s">
        <v>77</v>
      </c>
      <c r="B40" s="17">
        <v>269</v>
      </c>
      <c r="C40" s="11">
        <v>2</v>
      </c>
      <c r="D40" s="11">
        <v>113</v>
      </c>
      <c r="E40" s="11">
        <v>20</v>
      </c>
      <c r="F40" s="11">
        <v>14</v>
      </c>
      <c r="G40" s="11">
        <v>4</v>
      </c>
      <c r="H40" s="12">
        <f t="shared" si="4"/>
        <v>422</v>
      </c>
      <c r="I40" s="1"/>
      <c r="J40" s="135"/>
      <c r="K40" s="30" t="s">
        <v>8</v>
      </c>
      <c r="L40" s="30" t="s">
        <v>9</v>
      </c>
      <c r="M40" s="30" t="s">
        <v>10</v>
      </c>
      <c r="N40" s="30" t="s">
        <v>154</v>
      </c>
      <c r="O40" s="30" t="s">
        <v>155</v>
      </c>
      <c r="P40" s="30" t="s">
        <v>147</v>
      </c>
      <c r="Q40" s="54" t="s">
        <v>11</v>
      </c>
      <c r="R40" s="4"/>
      <c r="S40" s="1"/>
    </row>
    <row r="41" spans="1:19" ht="15.75" thickBot="1" x14ac:dyDescent="0.3">
      <c r="A41" s="7" t="s">
        <v>78</v>
      </c>
      <c r="B41" s="17">
        <v>110</v>
      </c>
      <c r="C41" s="11">
        <v>2</v>
      </c>
      <c r="D41" s="11">
        <v>279</v>
      </c>
      <c r="E41" s="11">
        <v>20</v>
      </c>
      <c r="F41" s="11">
        <v>14</v>
      </c>
      <c r="G41" s="11">
        <v>4</v>
      </c>
      <c r="H41" s="12">
        <f t="shared" si="4"/>
        <v>429</v>
      </c>
      <c r="I41" s="1"/>
      <c r="J41" s="95" t="s">
        <v>150</v>
      </c>
      <c r="K41" s="29">
        <f t="shared" ref="K41:P41" si="7">SUM(K42:K49)</f>
        <v>671</v>
      </c>
      <c r="L41" s="29">
        <f t="shared" si="7"/>
        <v>146</v>
      </c>
      <c r="M41" s="29">
        <f t="shared" si="7"/>
        <v>0</v>
      </c>
      <c r="N41" s="29">
        <f t="shared" si="7"/>
        <v>0</v>
      </c>
      <c r="O41" s="29">
        <f t="shared" si="7"/>
        <v>5</v>
      </c>
      <c r="P41" s="29">
        <f t="shared" si="7"/>
        <v>0</v>
      </c>
      <c r="Q41" s="96">
        <f>SUM(K41:P41)</f>
        <v>822</v>
      </c>
      <c r="R41" s="4"/>
      <c r="S41" s="1"/>
    </row>
    <row r="42" spans="1:19" x14ac:dyDescent="0.25">
      <c r="A42" s="7" t="s">
        <v>42</v>
      </c>
      <c r="B42" s="17">
        <v>4</v>
      </c>
      <c r="C42" s="11">
        <v>0</v>
      </c>
      <c r="D42" s="11">
        <v>7</v>
      </c>
      <c r="E42" s="11">
        <v>0</v>
      </c>
      <c r="F42" s="11">
        <v>0</v>
      </c>
      <c r="G42" s="11">
        <v>0</v>
      </c>
      <c r="H42" s="12">
        <f t="shared" si="4"/>
        <v>11</v>
      </c>
      <c r="I42" s="1"/>
      <c r="J42" s="97" t="s">
        <v>165</v>
      </c>
      <c r="K42" s="98">
        <v>0</v>
      </c>
      <c r="L42" s="98">
        <v>0</v>
      </c>
      <c r="M42" s="98">
        <v>0</v>
      </c>
      <c r="N42" s="98">
        <v>0</v>
      </c>
      <c r="O42" s="98">
        <v>0</v>
      </c>
      <c r="P42" s="98">
        <v>0</v>
      </c>
      <c r="Q42" s="99">
        <f t="shared" ref="Q42:Q49" si="8">SUM(K42:P42)</f>
        <v>0</v>
      </c>
      <c r="R42" s="4"/>
      <c r="S42" s="1"/>
    </row>
    <row r="43" spans="1:19" x14ac:dyDescent="0.25">
      <c r="A43" s="7" t="s">
        <v>43</v>
      </c>
      <c r="B43" s="17">
        <v>6</v>
      </c>
      <c r="C43" s="11">
        <v>2</v>
      </c>
      <c r="D43" s="11">
        <v>11</v>
      </c>
      <c r="E43" s="11">
        <v>2</v>
      </c>
      <c r="F43" s="11">
        <v>1</v>
      </c>
      <c r="G43" s="11">
        <v>0</v>
      </c>
      <c r="H43" s="12">
        <f t="shared" si="4"/>
        <v>22</v>
      </c>
      <c r="I43" s="1"/>
      <c r="J43" s="86" t="s">
        <v>166</v>
      </c>
      <c r="K43" s="89">
        <v>186</v>
      </c>
      <c r="L43" s="89">
        <v>56</v>
      </c>
      <c r="M43" s="89">
        <v>0</v>
      </c>
      <c r="N43" s="89">
        <v>0</v>
      </c>
      <c r="O43" s="89">
        <v>2</v>
      </c>
      <c r="P43" s="89">
        <v>0</v>
      </c>
      <c r="Q43" s="40">
        <f t="shared" si="8"/>
        <v>244</v>
      </c>
      <c r="R43" s="4"/>
      <c r="S43" s="1"/>
    </row>
    <row r="44" spans="1:19" x14ac:dyDescent="0.25">
      <c r="A44" s="7" t="s">
        <v>101</v>
      </c>
      <c r="B44" s="17">
        <v>26</v>
      </c>
      <c r="C44" s="11">
        <v>1</v>
      </c>
      <c r="D44" s="11">
        <v>21</v>
      </c>
      <c r="E44" s="11">
        <v>0</v>
      </c>
      <c r="F44" s="11">
        <v>1</v>
      </c>
      <c r="G44" s="11">
        <v>0</v>
      </c>
      <c r="H44" s="12">
        <f t="shared" si="4"/>
        <v>49</v>
      </c>
      <c r="I44" s="1"/>
      <c r="J44" s="86" t="s">
        <v>167</v>
      </c>
      <c r="K44" s="89">
        <v>17</v>
      </c>
      <c r="L44" s="89">
        <v>0</v>
      </c>
      <c r="M44" s="89">
        <v>0</v>
      </c>
      <c r="N44" s="89">
        <v>0</v>
      </c>
      <c r="O44" s="89">
        <v>0</v>
      </c>
      <c r="P44" s="89">
        <v>0</v>
      </c>
      <c r="Q44" s="40">
        <f t="shared" si="8"/>
        <v>17</v>
      </c>
      <c r="R44" s="4"/>
      <c r="S44" s="1"/>
    </row>
    <row r="45" spans="1:19" x14ac:dyDescent="0.25">
      <c r="A45" s="7" t="s">
        <v>95</v>
      </c>
      <c r="B45" s="37">
        <v>16</v>
      </c>
      <c r="C45" s="11">
        <v>94</v>
      </c>
      <c r="D45" s="11">
        <v>29</v>
      </c>
      <c r="E45" s="11">
        <v>1</v>
      </c>
      <c r="F45" s="11">
        <v>0</v>
      </c>
      <c r="G45" s="11">
        <v>0</v>
      </c>
      <c r="H45" s="12">
        <f t="shared" si="4"/>
        <v>140</v>
      </c>
      <c r="I45" s="1"/>
      <c r="J45" s="86" t="s">
        <v>168</v>
      </c>
      <c r="K45" s="89">
        <v>5</v>
      </c>
      <c r="L45" s="89">
        <v>0</v>
      </c>
      <c r="M45" s="89">
        <v>0</v>
      </c>
      <c r="N45" s="89">
        <v>0</v>
      </c>
      <c r="O45" s="89">
        <v>0</v>
      </c>
      <c r="P45" s="89">
        <v>0</v>
      </c>
      <c r="Q45" s="40">
        <f>SUM(K45:P45)</f>
        <v>5</v>
      </c>
      <c r="R45" s="4"/>
      <c r="S45" s="1"/>
    </row>
    <row r="46" spans="1:19" x14ac:dyDescent="0.25">
      <c r="A46" s="7" t="s">
        <v>96</v>
      </c>
      <c r="B46" s="37">
        <v>18</v>
      </c>
      <c r="C46" s="11">
        <v>1</v>
      </c>
      <c r="D46" s="11">
        <v>9</v>
      </c>
      <c r="E46" s="11">
        <v>0</v>
      </c>
      <c r="F46" s="11">
        <v>1</v>
      </c>
      <c r="G46" s="11">
        <v>0</v>
      </c>
      <c r="H46" s="12">
        <f t="shared" si="4"/>
        <v>29</v>
      </c>
      <c r="J46" s="86" t="s">
        <v>34</v>
      </c>
      <c r="K46" s="89">
        <v>44</v>
      </c>
      <c r="L46" s="89">
        <v>1</v>
      </c>
      <c r="M46" s="89">
        <v>0</v>
      </c>
      <c r="N46" s="89">
        <v>0</v>
      </c>
      <c r="O46" s="89">
        <v>0</v>
      </c>
      <c r="P46" s="89">
        <v>0</v>
      </c>
      <c r="Q46" s="40">
        <f t="shared" si="8"/>
        <v>45</v>
      </c>
      <c r="R46" s="4"/>
      <c r="S46" s="1"/>
    </row>
    <row r="47" spans="1:19" x14ac:dyDescent="0.25">
      <c r="A47" s="7" t="s">
        <v>97</v>
      </c>
      <c r="B47" s="37">
        <v>37</v>
      </c>
      <c r="C47" s="11">
        <v>0</v>
      </c>
      <c r="D47" s="11">
        <v>34</v>
      </c>
      <c r="E47" s="11">
        <v>0</v>
      </c>
      <c r="F47" s="11">
        <v>0</v>
      </c>
      <c r="G47" s="11">
        <v>0</v>
      </c>
      <c r="H47" s="12">
        <f t="shared" si="4"/>
        <v>71</v>
      </c>
      <c r="I47" s="1"/>
      <c r="J47" s="86" t="s">
        <v>179</v>
      </c>
      <c r="K47" s="89">
        <v>140</v>
      </c>
      <c r="L47" s="89">
        <v>22</v>
      </c>
      <c r="M47" s="89">
        <v>0</v>
      </c>
      <c r="N47" s="89">
        <v>0</v>
      </c>
      <c r="O47" s="89">
        <v>1</v>
      </c>
      <c r="P47" s="89">
        <v>0</v>
      </c>
      <c r="Q47" s="40">
        <f t="shared" si="8"/>
        <v>163</v>
      </c>
      <c r="R47" s="4"/>
      <c r="S47" s="1"/>
    </row>
    <row r="48" spans="1:19" x14ac:dyDescent="0.25">
      <c r="A48" s="36" t="s">
        <v>98</v>
      </c>
      <c r="B48" s="37">
        <v>37</v>
      </c>
      <c r="C48" s="11">
        <v>0</v>
      </c>
      <c r="D48" s="11">
        <v>34</v>
      </c>
      <c r="E48" s="11">
        <v>0</v>
      </c>
      <c r="F48" s="11">
        <v>0</v>
      </c>
      <c r="G48" s="11">
        <v>0</v>
      </c>
      <c r="H48" s="12">
        <f t="shared" si="4"/>
        <v>71</v>
      </c>
      <c r="I48" s="1"/>
      <c r="J48" s="86" t="s">
        <v>177</v>
      </c>
      <c r="K48" s="89">
        <v>257</v>
      </c>
      <c r="L48" s="89">
        <v>67</v>
      </c>
      <c r="M48" s="89">
        <v>0</v>
      </c>
      <c r="N48" s="89">
        <v>0</v>
      </c>
      <c r="O48" s="89">
        <v>2</v>
      </c>
      <c r="P48" s="89">
        <v>0</v>
      </c>
      <c r="Q48" s="40">
        <f t="shared" si="8"/>
        <v>326</v>
      </c>
      <c r="R48" s="4"/>
      <c r="S48" s="1"/>
    </row>
    <row r="49" spans="1:19" ht="15.75" thickBot="1" x14ac:dyDescent="0.3">
      <c r="A49" s="7" t="s">
        <v>86</v>
      </c>
      <c r="B49" s="17">
        <v>0</v>
      </c>
      <c r="C49" s="11">
        <v>794</v>
      </c>
      <c r="D49" s="11">
        <v>0</v>
      </c>
      <c r="E49" s="11">
        <v>5</v>
      </c>
      <c r="F49" s="11">
        <v>0</v>
      </c>
      <c r="G49" s="11">
        <v>0</v>
      </c>
      <c r="H49" s="14">
        <f>SUM(B49:G49)</f>
        <v>799</v>
      </c>
      <c r="I49" s="1"/>
      <c r="J49" s="87" t="s">
        <v>178</v>
      </c>
      <c r="K49" s="71">
        <v>22</v>
      </c>
      <c r="L49" s="71">
        <v>0</v>
      </c>
      <c r="M49" s="71">
        <v>0</v>
      </c>
      <c r="N49" s="71">
        <v>0</v>
      </c>
      <c r="O49" s="71">
        <v>0</v>
      </c>
      <c r="P49" s="71">
        <v>0</v>
      </c>
      <c r="Q49" s="46">
        <f t="shared" si="8"/>
        <v>22</v>
      </c>
      <c r="R49" s="4"/>
      <c r="S49" s="1"/>
    </row>
    <row r="50" spans="1:19" x14ac:dyDescent="0.25">
      <c r="A50" s="18" t="s">
        <v>87</v>
      </c>
      <c r="B50" s="38">
        <v>430</v>
      </c>
      <c r="C50" s="19">
        <v>392</v>
      </c>
      <c r="D50" s="19">
        <v>102</v>
      </c>
      <c r="E50" s="19">
        <v>17</v>
      </c>
      <c r="F50" s="21">
        <v>2</v>
      </c>
      <c r="G50" s="19">
        <v>0</v>
      </c>
      <c r="H50" s="14">
        <f>SUM(B50:G50)</f>
        <v>943</v>
      </c>
      <c r="I50" s="1"/>
      <c r="J50" s="158"/>
      <c r="K50" s="158"/>
      <c r="L50" s="158"/>
      <c r="M50" s="158"/>
      <c r="N50" s="34"/>
      <c r="O50" s="34"/>
      <c r="P50" s="34"/>
      <c r="Q50" s="35"/>
      <c r="R50" s="4"/>
      <c r="S50" s="1"/>
    </row>
    <row r="51" spans="1:19" ht="15.75" thickBot="1" x14ac:dyDescent="0.3">
      <c r="A51" s="73" t="s">
        <v>139</v>
      </c>
      <c r="B51" s="75">
        <f t="shared" ref="B51:G51" si="9">SUM(B52:B68)</f>
        <v>4267</v>
      </c>
      <c r="C51" s="75">
        <f t="shared" si="9"/>
        <v>4667</v>
      </c>
      <c r="D51" s="77">
        <f t="shared" si="9"/>
        <v>3205</v>
      </c>
      <c r="E51" s="75">
        <f t="shared" si="9"/>
        <v>139</v>
      </c>
      <c r="F51" s="75">
        <f t="shared" si="9"/>
        <v>93</v>
      </c>
      <c r="G51" s="78">
        <f t="shared" si="9"/>
        <v>0</v>
      </c>
      <c r="H51" s="75">
        <f>SUM(B51:G51)</f>
        <v>12371</v>
      </c>
      <c r="I51" s="1"/>
      <c r="Q51" s="24"/>
      <c r="R51" s="4"/>
      <c r="S51" s="1"/>
    </row>
    <row r="52" spans="1:19" x14ac:dyDescent="0.25">
      <c r="A52" s="7" t="s">
        <v>90</v>
      </c>
      <c r="B52" s="13">
        <v>32</v>
      </c>
      <c r="C52" s="13">
        <v>118</v>
      </c>
      <c r="D52" s="25">
        <v>548</v>
      </c>
      <c r="E52" s="65">
        <v>3</v>
      </c>
      <c r="F52" s="65">
        <v>0</v>
      </c>
      <c r="G52" s="65">
        <v>0</v>
      </c>
      <c r="H52" s="26">
        <f t="shared" ref="H52:H113" si="10">SUM(B52:G52)</f>
        <v>701</v>
      </c>
      <c r="I52" s="1"/>
      <c r="J52" s="159" t="s">
        <v>152</v>
      </c>
      <c r="K52" s="160"/>
      <c r="L52" s="160"/>
      <c r="M52" s="160"/>
      <c r="N52" s="160"/>
      <c r="O52" s="160"/>
      <c r="P52" s="160"/>
      <c r="Q52" s="161"/>
      <c r="R52" s="4"/>
      <c r="S52" s="1"/>
    </row>
    <row r="53" spans="1:19" x14ac:dyDescent="0.25">
      <c r="A53" s="7" t="s">
        <v>91</v>
      </c>
      <c r="B53" s="13">
        <v>10</v>
      </c>
      <c r="C53" s="13">
        <v>0</v>
      </c>
      <c r="D53" s="25">
        <v>36</v>
      </c>
      <c r="E53" s="66">
        <v>6</v>
      </c>
      <c r="F53" s="66">
        <v>1</v>
      </c>
      <c r="G53" s="66">
        <v>0</v>
      </c>
      <c r="H53" s="26">
        <f t="shared" si="10"/>
        <v>53</v>
      </c>
      <c r="I53" s="1"/>
      <c r="J53" s="138" t="s">
        <v>72</v>
      </c>
      <c r="K53" s="139"/>
      <c r="L53" s="139"/>
      <c r="M53" s="139"/>
      <c r="N53" s="139"/>
      <c r="O53" s="139"/>
      <c r="P53" s="139"/>
      <c r="Q53" s="62" t="s">
        <v>11</v>
      </c>
      <c r="R53" s="4"/>
      <c r="S53" s="1"/>
    </row>
    <row r="54" spans="1:19" x14ac:dyDescent="0.25">
      <c r="A54" s="7" t="s">
        <v>32</v>
      </c>
      <c r="B54" s="13">
        <v>1346</v>
      </c>
      <c r="C54" s="13">
        <v>2461</v>
      </c>
      <c r="D54" s="25">
        <v>1041</v>
      </c>
      <c r="E54" s="66">
        <v>81</v>
      </c>
      <c r="F54" s="66">
        <v>37</v>
      </c>
      <c r="G54" s="66">
        <v>0</v>
      </c>
      <c r="H54" s="26">
        <f t="shared" si="10"/>
        <v>4966</v>
      </c>
      <c r="I54" s="1"/>
      <c r="J54" s="138" t="s">
        <v>71</v>
      </c>
      <c r="K54" s="139"/>
      <c r="L54" s="139"/>
      <c r="M54" s="139"/>
      <c r="N54" s="139"/>
      <c r="O54" s="139"/>
      <c r="P54" s="139"/>
      <c r="Q54" s="47">
        <v>4</v>
      </c>
      <c r="R54" s="4"/>
      <c r="S54" s="1"/>
    </row>
    <row r="55" spans="1:19" x14ac:dyDescent="0.25">
      <c r="A55" s="7" t="s">
        <v>34</v>
      </c>
      <c r="B55" s="11">
        <v>1</v>
      </c>
      <c r="C55" s="13">
        <v>5</v>
      </c>
      <c r="D55" s="23">
        <v>1</v>
      </c>
      <c r="E55" s="66">
        <v>2</v>
      </c>
      <c r="F55" s="66">
        <v>0</v>
      </c>
      <c r="G55" s="66">
        <v>0</v>
      </c>
      <c r="H55" s="26">
        <f t="shared" si="10"/>
        <v>9</v>
      </c>
      <c r="I55" s="1"/>
      <c r="J55" s="138" t="s">
        <v>137</v>
      </c>
      <c r="K55" s="139"/>
      <c r="L55" s="139"/>
      <c r="M55" s="139"/>
      <c r="N55" s="139"/>
      <c r="O55" s="139"/>
      <c r="P55" s="139"/>
      <c r="Q55" s="47">
        <f>(H12)</f>
        <v>29058</v>
      </c>
      <c r="R55" s="4"/>
      <c r="S55" s="1"/>
    </row>
    <row r="56" spans="1:19" x14ac:dyDescent="0.25">
      <c r="A56" s="7" t="s">
        <v>33</v>
      </c>
      <c r="B56" s="13">
        <v>387</v>
      </c>
      <c r="C56" s="13">
        <v>715</v>
      </c>
      <c r="D56" s="25">
        <v>342</v>
      </c>
      <c r="E56" s="66">
        <v>14</v>
      </c>
      <c r="F56" s="66">
        <v>10</v>
      </c>
      <c r="G56" s="66">
        <v>0</v>
      </c>
      <c r="H56" s="26">
        <f t="shared" si="10"/>
        <v>1468</v>
      </c>
      <c r="I56" s="1"/>
      <c r="J56" s="138" t="s">
        <v>138</v>
      </c>
      <c r="K56" s="139"/>
      <c r="L56" s="139"/>
      <c r="M56" s="139"/>
      <c r="N56" s="139"/>
      <c r="O56" s="139"/>
      <c r="P56" s="139"/>
      <c r="Q56" s="48">
        <f>(H51)</f>
        <v>12371</v>
      </c>
      <c r="R56" s="4"/>
      <c r="S56" s="1"/>
    </row>
    <row r="57" spans="1:19" x14ac:dyDescent="0.25">
      <c r="A57" s="7" t="s">
        <v>2</v>
      </c>
      <c r="B57" s="11">
        <v>116</v>
      </c>
      <c r="C57" s="11">
        <v>3</v>
      </c>
      <c r="D57" s="23">
        <v>40</v>
      </c>
      <c r="E57" s="66">
        <v>2</v>
      </c>
      <c r="F57" s="66">
        <v>3</v>
      </c>
      <c r="G57" s="66">
        <v>0</v>
      </c>
      <c r="H57" s="26">
        <f t="shared" si="10"/>
        <v>164</v>
      </c>
      <c r="I57" s="1"/>
      <c r="J57" s="138" t="s">
        <v>140</v>
      </c>
      <c r="K57" s="139"/>
      <c r="L57" s="139"/>
      <c r="M57" s="139"/>
      <c r="N57" s="139"/>
      <c r="O57" s="139"/>
      <c r="P57" s="139"/>
      <c r="Q57" s="48">
        <f>(H69)</f>
        <v>785</v>
      </c>
      <c r="R57" s="4"/>
      <c r="S57" s="1"/>
    </row>
    <row r="58" spans="1:19" x14ac:dyDescent="0.25">
      <c r="A58" s="7" t="s">
        <v>88</v>
      </c>
      <c r="B58" s="11">
        <v>28</v>
      </c>
      <c r="C58" s="11">
        <v>0</v>
      </c>
      <c r="D58" s="23">
        <v>12</v>
      </c>
      <c r="E58" s="66">
        <v>0</v>
      </c>
      <c r="F58" s="66">
        <v>0</v>
      </c>
      <c r="G58" s="66">
        <v>0</v>
      </c>
      <c r="H58" s="26">
        <f t="shared" si="10"/>
        <v>40</v>
      </c>
      <c r="I58" s="1"/>
      <c r="J58" s="138" t="s">
        <v>144</v>
      </c>
      <c r="K58" s="139"/>
      <c r="L58" s="139"/>
      <c r="M58" s="139"/>
      <c r="N58" s="139"/>
      <c r="O58" s="139"/>
      <c r="P58" s="139"/>
      <c r="Q58" s="48">
        <f>H82</f>
        <v>1661</v>
      </c>
      <c r="R58" s="4"/>
      <c r="S58" s="1"/>
    </row>
    <row r="59" spans="1:19" x14ac:dyDescent="0.25">
      <c r="A59" s="7" t="s">
        <v>89</v>
      </c>
      <c r="B59" s="11">
        <v>5</v>
      </c>
      <c r="C59" s="11">
        <v>0</v>
      </c>
      <c r="D59" s="23">
        <v>2</v>
      </c>
      <c r="E59" s="66">
        <v>0</v>
      </c>
      <c r="F59" s="66">
        <v>0</v>
      </c>
      <c r="G59" s="66">
        <v>0</v>
      </c>
      <c r="H59" s="26">
        <f t="shared" si="10"/>
        <v>7</v>
      </c>
      <c r="I59" s="1"/>
      <c r="J59" s="138" t="s">
        <v>141</v>
      </c>
      <c r="K59" s="139"/>
      <c r="L59" s="139"/>
      <c r="M59" s="139"/>
      <c r="N59" s="139"/>
      <c r="O59" s="139"/>
      <c r="P59" s="139"/>
      <c r="Q59" s="48">
        <f>H95</f>
        <v>4546</v>
      </c>
      <c r="R59" s="4"/>
      <c r="S59" s="1"/>
    </row>
    <row r="60" spans="1:19" x14ac:dyDescent="0.25">
      <c r="A60" s="7" t="s">
        <v>35</v>
      </c>
      <c r="B60" s="11">
        <v>575</v>
      </c>
      <c r="C60" s="11">
        <v>881</v>
      </c>
      <c r="D60" s="23">
        <v>354</v>
      </c>
      <c r="E60" s="66">
        <v>12</v>
      </c>
      <c r="F60" s="66">
        <v>8</v>
      </c>
      <c r="G60" s="66">
        <v>0</v>
      </c>
      <c r="H60" s="26">
        <f t="shared" si="10"/>
        <v>1830</v>
      </c>
      <c r="I60" s="1"/>
      <c r="J60" s="138" t="s">
        <v>143</v>
      </c>
      <c r="K60" s="139"/>
      <c r="L60" s="139"/>
      <c r="M60" s="139"/>
      <c r="N60" s="139"/>
      <c r="O60" s="139"/>
      <c r="P60" s="139"/>
      <c r="Q60" s="63">
        <f>Q11</f>
        <v>1467</v>
      </c>
      <c r="R60" s="4"/>
      <c r="S60" s="1"/>
    </row>
    <row r="61" spans="1:19" x14ac:dyDescent="0.25">
      <c r="A61" s="7" t="s">
        <v>36</v>
      </c>
      <c r="B61" s="11">
        <v>38</v>
      </c>
      <c r="C61" s="11">
        <v>5</v>
      </c>
      <c r="D61" s="23">
        <v>20</v>
      </c>
      <c r="E61" s="66">
        <v>0</v>
      </c>
      <c r="F61" s="66">
        <v>1</v>
      </c>
      <c r="G61" s="66">
        <v>0</v>
      </c>
      <c r="H61" s="26">
        <f t="shared" si="10"/>
        <v>64</v>
      </c>
      <c r="I61" s="1"/>
      <c r="J61" s="138" t="s">
        <v>145</v>
      </c>
      <c r="K61" s="139"/>
      <c r="L61" s="139"/>
      <c r="M61" s="139"/>
      <c r="N61" s="139"/>
      <c r="O61" s="139"/>
      <c r="P61" s="139"/>
      <c r="Q61" s="41">
        <f>Q28</f>
        <v>866</v>
      </c>
      <c r="R61" s="4"/>
      <c r="S61" s="1"/>
    </row>
    <row r="62" spans="1:19" ht="15.75" thickBot="1" x14ac:dyDescent="0.3">
      <c r="A62" s="7" t="s">
        <v>119</v>
      </c>
      <c r="B62" s="11">
        <v>0</v>
      </c>
      <c r="C62" s="10">
        <v>0</v>
      </c>
      <c r="D62" s="23">
        <v>0</v>
      </c>
      <c r="E62" s="66">
        <v>0</v>
      </c>
      <c r="F62" s="66">
        <v>0</v>
      </c>
      <c r="G62" s="66">
        <v>0</v>
      </c>
      <c r="H62" s="26">
        <f>SUM(B62:G62)</f>
        <v>0</v>
      </c>
      <c r="I62" s="1"/>
      <c r="J62" s="144" t="s">
        <v>151</v>
      </c>
      <c r="K62" s="145"/>
      <c r="L62" s="145"/>
      <c r="M62" s="145"/>
      <c r="N62" s="145"/>
      <c r="O62" s="145"/>
      <c r="P62" s="145"/>
      <c r="Q62" s="64">
        <f>Q41</f>
        <v>822</v>
      </c>
      <c r="R62" s="4"/>
      <c r="S62" s="1"/>
    </row>
    <row r="63" spans="1:19" ht="15.75" thickBot="1" x14ac:dyDescent="0.3">
      <c r="A63" s="7" t="s">
        <v>118</v>
      </c>
      <c r="B63" s="11">
        <v>29</v>
      </c>
      <c r="C63" s="11">
        <v>1</v>
      </c>
      <c r="D63" s="23">
        <v>7</v>
      </c>
      <c r="E63" s="66">
        <v>0</v>
      </c>
      <c r="F63" s="66">
        <v>0</v>
      </c>
      <c r="G63" s="66">
        <v>0</v>
      </c>
      <c r="H63" s="33">
        <f>SUM(B63:G63)</f>
        <v>37</v>
      </c>
      <c r="I63" s="1"/>
      <c r="M63" s="53"/>
      <c r="N63" s="53"/>
      <c r="O63" s="53"/>
      <c r="P63" s="39" t="s">
        <v>11</v>
      </c>
      <c r="Q63" s="61">
        <f>SUM(Q54:Q62)</f>
        <v>51580</v>
      </c>
      <c r="R63" s="4"/>
      <c r="S63" s="1"/>
    </row>
    <row r="64" spans="1:19" x14ac:dyDescent="0.25">
      <c r="A64" s="8" t="s">
        <v>37</v>
      </c>
      <c r="B64" s="31">
        <v>231</v>
      </c>
      <c r="C64" s="20">
        <v>66</v>
      </c>
      <c r="D64" s="42">
        <v>61</v>
      </c>
      <c r="E64" s="65">
        <v>3</v>
      </c>
      <c r="F64" s="65">
        <v>5</v>
      </c>
      <c r="G64" s="65">
        <v>0</v>
      </c>
      <c r="H64" s="26">
        <f t="shared" si="10"/>
        <v>366</v>
      </c>
      <c r="I64" s="1"/>
      <c r="P64" s="1"/>
      <c r="Q64" s="1"/>
      <c r="R64" s="4"/>
      <c r="S64" s="1"/>
    </row>
    <row r="65" spans="1:19" x14ac:dyDescent="0.25">
      <c r="A65" s="7" t="s">
        <v>38</v>
      </c>
      <c r="B65" s="11">
        <v>621</v>
      </c>
      <c r="C65" s="10">
        <v>156</v>
      </c>
      <c r="D65" s="23">
        <v>342</v>
      </c>
      <c r="E65" s="66">
        <v>6</v>
      </c>
      <c r="F65" s="66">
        <v>14</v>
      </c>
      <c r="G65" s="66">
        <v>0</v>
      </c>
      <c r="H65" s="26">
        <f t="shared" si="10"/>
        <v>1139</v>
      </c>
      <c r="I65" s="1"/>
      <c r="R65" s="1"/>
      <c r="S65" s="1"/>
    </row>
    <row r="66" spans="1:19" x14ac:dyDescent="0.25">
      <c r="A66" s="7" t="s">
        <v>73</v>
      </c>
      <c r="B66" s="11">
        <v>621</v>
      </c>
      <c r="C66" s="10">
        <v>156</v>
      </c>
      <c r="D66" s="23">
        <v>342</v>
      </c>
      <c r="E66" s="11">
        <v>6</v>
      </c>
      <c r="F66" s="11">
        <v>14</v>
      </c>
      <c r="G66" s="11">
        <v>0</v>
      </c>
      <c r="H66" s="26">
        <f t="shared" si="10"/>
        <v>1139</v>
      </c>
      <c r="I66" s="1"/>
      <c r="J66" s="1"/>
      <c r="K66" s="1"/>
      <c r="L66" s="1"/>
      <c r="M66" s="1"/>
      <c r="N66" s="1"/>
      <c r="O66" s="1"/>
      <c r="R66" s="1"/>
      <c r="S66" s="1"/>
    </row>
    <row r="67" spans="1:19" x14ac:dyDescent="0.25">
      <c r="A67" s="7" t="s">
        <v>39</v>
      </c>
      <c r="B67" s="11">
        <v>217</v>
      </c>
      <c r="C67" s="10">
        <v>97</v>
      </c>
      <c r="D67" s="23">
        <v>47</v>
      </c>
      <c r="E67" s="11">
        <v>3</v>
      </c>
      <c r="F67" s="11">
        <v>0</v>
      </c>
      <c r="G67" s="11">
        <v>0</v>
      </c>
      <c r="H67" s="26">
        <f t="shared" si="10"/>
        <v>364</v>
      </c>
      <c r="I67" s="1"/>
      <c r="R67" s="1"/>
      <c r="S67" s="1"/>
    </row>
    <row r="68" spans="1:19" x14ac:dyDescent="0.25">
      <c r="A68" s="18" t="s">
        <v>40</v>
      </c>
      <c r="B68" s="19">
        <v>10</v>
      </c>
      <c r="C68" s="21">
        <v>3</v>
      </c>
      <c r="D68" s="43">
        <v>10</v>
      </c>
      <c r="E68" s="19">
        <v>1</v>
      </c>
      <c r="F68" s="19">
        <v>0</v>
      </c>
      <c r="G68" s="19">
        <v>0</v>
      </c>
      <c r="H68" s="26">
        <f t="shared" si="10"/>
        <v>24</v>
      </c>
      <c r="I68" s="1"/>
      <c r="R68" s="1"/>
      <c r="S68" s="1"/>
    </row>
    <row r="69" spans="1:19" x14ac:dyDescent="0.25">
      <c r="A69" s="73" t="s">
        <v>54</v>
      </c>
      <c r="B69" s="74">
        <f t="shared" ref="B69:G69" si="11">SUM(B70:B81)</f>
        <v>551</v>
      </c>
      <c r="C69" s="74">
        <f t="shared" si="11"/>
        <v>72</v>
      </c>
      <c r="D69" s="74">
        <f t="shared" si="11"/>
        <v>151</v>
      </c>
      <c r="E69" s="74">
        <f t="shared" si="11"/>
        <v>11</v>
      </c>
      <c r="F69" s="74">
        <f t="shared" si="11"/>
        <v>0</v>
      </c>
      <c r="G69" s="76">
        <f t="shared" si="11"/>
        <v>0</v>
      </c>
      <c r="H69" s="75">
        <f t="shared" si="10"/>
        <v>785</v>
      </c>
      <c r="I69" s="1"/>
      <c r="R69" s="1"/>
      <c r="S69" s="1"/>
    </row>
    <row r="70" spans="1:19" x14ac:dyDescent="0.25">
      <c r="A70" s="52" t="s">
        <v>55</v>
      </c>
      <c r="B70" s="65">
        <v>91</v>
      </c>
      <c r="C70" s="10">
        <v>13</v>
      </c>
      <c r="D70" s="65">
        <v>107</v>
      </c>
      <c r="E70" s="65">
        <v>6</v>
      </c>
      <c r="F70" s="11">
        <v>0</v>
      </c>
      <c r="G70" s="65">
        <v>0</v>
      </c>
      <c r="H70" s="26">
        <f t="shared" si="10"/>
        <v>217</v>
      </c>
      <c r="I70" s="1"/>
      <c r="R70" s="1"/>
      <c r="S70" s="1"/>
    </row>
    <row r="71" spans="1:19" x14ac:dyDescent="0.25">
      <c r="A71" s="52" t="s">
        <v>56</v>
      </c>
      <c r="B71" s="66">
        <v>146</v>
      </c>
      <c r="C71" s="91">
        <v>51</v>
      </c>
      <c r="D71" s="66">
        <v>12</v>
      </c>
      <c r="E71" s="66">
        <v>1</v>
      </c>
      <c r="F71" s="11">
        <v>0</v>
      </c>
      <c r="G71" s="66">
        <v>0</v>
      </c>
      <c r="H71" s="26">
        <f t="shared" si="10"/>
        <v>210</v>
      </c>
      <c r="I71" s="1"/>
      <c r="R71" s="1"/>
      <c r="S71" s="1"/>
    </row>
    <row r="72" spans="1:19" x14ac:dyDescent="0.25">
      <c r="A72" s="52" t="s">
        <v>58</v>
      </c>
      <c r="B72" s="66">
        <v>10</v>
      </c>
      <c r="C72" s="10">
        <v>0</v>
      </c>
      <c r="D72" s="66">
        <v>0</v>
      </c>
      <c r="E72" s="66">
        <v>0</v>
      </c>
      <c r="F72" s="11">
        <v>0</v>
      </c>
      <c r="G72" s="66">
        <v>0</v>
      </c>
      <c r="H72" s="26">
        <f t="shared" si="10"/>
        <v>10</v>
      </c>
      <c r="I72" s="1"/>
      <c r="R72" s="1"/>
      <c r="S72" s="1"/>
    </row>
    <row r="73" spans="1:19" x14ac:dyDescent="0.25">
      <c r="A73" s="52" t="s">
        <v>68</v>
      </c>
      <c r="B73" s="66">
        <v>77</v>
      </c>
      <c r="C73" s="91">
        <v>4</v>
      </c>
      <c r="D73" s="66">
        <v>7</v>
      </c>
      <c r="E73" s="66">
        <v>3</v>
      </c>
      <c r="F73" s="92">
        <v>0</v>
      </c>
      <c r="G73" s="66">
        <v>0</v>
      </c>
      <c r="H73" s="26">
        <f t="shared" si="10"/>
        <v>91</v>
      </c>
      <c r="I73" s="1"/>
      <c r="R73" s="1"/>
      <c r="S73" s="1"/>
    </row>
    <row r="74" spans="1:19" x14ac:dyDescent="0.25">
      <c r="A74" s="52" t="s">
        <v>69</v>
      </c>
      <c r="B74" s="66">
        <v>21</v>
      </c>
      <c r="C74" s="91">
        <v>1</v>
      </c>
      <c r="D74" s="66">
        <v>2</v>
      </c>
      <c r="E74" s="66">
        <v>0</v>
      </c>
      <c r="F74" s="92">
        <v>0</v>
      </c>
      <c r="G74" s="66">
        <v>0</v>
      </c>
      <c r="H74" s="26">
        <f t="shared" si="10"/>
        <v>24</v>
      </c>
      <c r="I74" s="1"/>
      <c r="R74" s="1"/>
      <c r="S74" s="1"/>
    </row>
    <row r="75" spans="1:19" x14ac:dyDescent="0.25">
      <c r="A75" s="52" t="s">
        <v>57</v>
      </c>
      <c r="B75" s="66">
        <v>11</v>
      </c>
      <c r="C75" s="91">
        <v>1</v>
      </c>
      <c r="D75" s="66">
        <v>5</v>
      </c>
      <c r="E75" s="66">
        <v>0</v>
      </c>
      <c r="F75" s="91">
        <v>0</v>
      </c>
      <c r="G75" s="66">
        <v>0</v>
      </c>
      <c r="H75" s="26">
        <f t="shared" si="10"/>
        <v>17</v>
      </c>
      <c r="I75" s="1"/>
      <c r="R75" s="1"/>
      <c r="S75" s="1"/>
    </row>
    <row r="76" spans="1:19" x14ac:dyDescent="0.25">
      <c r="A76" s="52" t="s">
        <v>142</v>
      </c>
      <c r="B76" s="66">
        <v>55</v>
      </c>
      <c r="C76" s="91">
        <v>0</v>
      </c>
      <c r="D76" s="66">
        <v>5</v>
      </c>
      <c r="E76" s="66">
        <v>0</v>
      </c>
      <c r="F76" s="92">
        <v>0</v>
      </c>
      <c r="G76" s="66">
        <v>0</v>
      </c>
      <c r="H76" s="26">
        <f t="shared" si="10"/>
        <v>60</v>
      </c>
      <c r="I76" s="1"/>
      <c r="R76" s="1"/>
      <c r="S76" s="1"/>
    </row>
    <row r="77" spans="1:19" x14ac:dyDescent="0.25">
      <c r="A77" s="52" t="s">
        <v>59</v>
      </c>
      <c r="B77" s="66">
        <v>26</v>
      </c>
      <c r="C77" s="91">
        <v>0</v>
      </c>
      <c r="D77" s="66">
        <v>9</v>
      </c>
      <c r="E77" s="66">
        <v>1</v>
      </c>
      <c r="F77" s="92">
        <v>0</v>
      </c>
      <c r="G77" s="66">
        <v>0</v>
      </c>
      <c r="H77" s="26">
        <f t="shared" si="10"/>
        <v>36</v>
      </c>
      <c r="I77" s="1"/>
      <c r="R77" s="1"/>
      <c r="S77" s="1"/>
    </row>
    <row r="78" spans="1:19" x14ac:dyDescent="0.25">
      <c r="A78" s="52" t="s">
        <v>60</v>
      </c>
      <c r="B78" s="66">
        <v>46</v>
      </c>
      <c r="C78" s="91">
        <v>0</v>
      </c>
      <c r="D78" s="66">
        <v>0</v>
      </c>
      <c r="E78" s="66">
        <v>0</v>
      </c>
      <c r="F78" s="91">
        <v>0</v>
      </c>
      <c r="G78" s="66">
        <v>0</v>
      </c>
      <c r="H78" s="26">
        <f t="shared" si="10"/>
        <v>46</v>
      </c>
      <c r="I78" s="1"/>
      <c r="R78" s="1"/>
      <c r="S78" s="1"/>
    </row>
    <row r="79" spans="1:19" x14ac:dyDescent="0.25">
      <c r="A79" s="52" t="s">
        <v>106</v>
      </c>
      <c r="B79" s="66">
        <v>21</v>
      </c>
      <c r="C79" s="91">
        <v>1</v>
      </c>
      <c r="D79" s="66">
        <v>2</v>
      </c>
      <c r="E79" s="66">
        <v>0</v>
      </c>
      <c r="F79" s="91">
        <v>0</v>
      </c>
      <c r="G79" s="66">
        <v>0</v>
      </c>
      <c r="H79" s="26">
        <f t="shared" si="10"/>
        <v>24</v>
      </c>
      <c r="I79" s="1"/>
      <c r="R79" s="1"/>
      <c r="S79" s="1"/>
    </row>
    <row r="80" spans="1:19" x14ac:dyDescent="0.25">
      <c r="A80" s="52" t="s">
        <v>132</v>
      </c>
      <c r="B80" s="66">
        <v>21</v>
      </c>
      <c r="C80" s="91">
        <v>1</v>
      </c>
      <c r="D80" s="66">
        <v>2</v>
      </c>
      <c r="E80" s="66">
        <v>0</v>
      </c>
      <c r="F80" s="92">
        <v>0</v>
      </c>
      <c r="G80" s="66">
        <v>0</v>
      </c>
      <c r="H80" s="26">
        <f t="shared" si="10"/>
        <v>24</v>
      </c>
      <c r="I80" s="1"/>
      <c r="R80" s="1"/>
      <c r="S80" s="1"/>
    </row>
    <row r="81" spans="1:19" x14ac:dyDescent="0.25">
      <c r="A81" s="52" t="s">
        <v>133</v>
      </c>
      <c r="B81" s="93">
        <v>26</v>
      </c>
      <c r="C81" s="91">
        <v>0</v>
      </c>
      <c r="D81" s="93">
        <v>0</v>
      </c>
      <c r="E81" s="93">
        <v>0</v>
      </c>
      <c r="F81" s="92">
        <v>0</v>
      </c>
      <c r="G81" s="93">
        <v>0</v>
      </c>
      <c r="H81" s="26">
        <f t="shared" si="10"/>
        <v>26</v>
      </c>
      <c r="I81" s="1"/>
      <c r="R81" s="1"/>
      <c r="S81" s="1"/>
    </row>
    <row r="82" spans="1:19" x14ac:dyDescent="0.25">
      <c r="A82" s="73" t="s">
        <v>70</v>
      </c>
      <c r="B82" s="74">
        <f>SUM(B83:B94)</f>
        <v>157</v>
      </c>
      <c r="C82" s="74">
        <f t="shared" ref="C82:G82" si="12">SUM(C83:C94)</f>
        <v>750</v>
      </c>
      <c r="D82" s="74">
        <f t="shared" si="12"/>
        <v>672</v>
      </c>
      <c r="E82" s="74">
        <f t="shared" si="12"/>
        <v>75</v>
      </c>
      <c r="F82" s="74">
        <f t="shared" si="12"/>
        <v>7</v>
      </c>
      <c r="G82" s="74">
        <f t="shared" si="12"/>
        <v>0</v>
      </c>
      <c r="H82" s="75">
        <f t="shared" si="10"/>
        <v>1661</v>
      </c>
      <c r="I82" s="1"/>
      <c r="R82" s="1"/>
      <c r="S82" s="1"/>
    </row>
    <row r="83" spans="1:19" x14ac:dyDescent="0.25">
      <c r="A83" s="22" t="s">
        <v>84</v>
      </c>
      <c r="B83" s="11">
        <v>29</v>
      </c>
      <c r="C83" s="10">
        <v>0</v>
      </c>
      <c r="D83" s="11">
        <v>69</v>
      </c>
      <c r="E83" s="11">
        <v>5</v>
      </c>
      <c r="F83" s="10">
        <v>0</v>
      </c>
      <c r="G83" s="11">
        <v>0</v>
      </c>
      <c r="H83" s="26">
        <f t="shared" si="10"/>
        <v>103</v>
      </c>
      <c r="I83" s="1"/>
      <c r="R83" s="1"/>
      <c r="S83" s="1"/>
    </row>
    <row r="84" spans="1:19" x14ac:dyDescent="0.25">
      <c r="A84" s="22" t="s">
        <v>114</v>
      </c>
      <c r="B84" s="11">
        <v>20</v>
      </c>
      <c r="C84" s="10">
        <v>0</v>
      </c>
      <c r="D84" s="11">
        <v>66</v>
      </c>
      <c r="E84" s="11">
        <v>8</v>
      </c>
      <c r="F84" s="10">
        <v>1</v>
      </c>
      <c r="G84" s="11">
        <v>0</v>
      </c>
      <c r="H84" s="26">
        <f t="shared" si="10"/>
        <v>95</v>
      </c>
      <c r="I84" s="1"/>
      <c r="R84" s="1"/>
      <c r="S84" s="1"/>
    </row>
    <row r="85" spans="1:19" ht="14.25" customHeight="1" x14ac:dyDescent="0.25">
      <c r="A85" s="22" t="s">
        <v>61</v>
      </c>
      <c r="B85" s="11">
        <v>5</v>
      </c>
      <c r="C85" s="10">
        <v>27</v>
      </c>
      <c r="D85" s="11">
        <v>10</v>
      </c>
      <c r="E85" s="11">
        <v>0</v>
      </c>
      <c r="F85" s="10">
        <v>0</v>
      </c>
      <c r="G85" s="11">
        <v>0</v>
      </c>
      <c r="H85" s="26">
        <f t="shared" si="10"/>
        <v>42</v>
      </c>
      <c r="I85" s="1"/>
      <c r="R85" s="1"/>
      <c r="S85" s="1"/>
    </row>
    <row r="86" spans="1:19" x14ac:dyDescent="0.25">
      <c r="A86" s="22" t="s">
        <v>62</v>
      </c>
      <c r="B86" s="11">
        <v>33</v>
      </c>
      <c r="C86" s="10">
        <v>0</v>
      </c>
      <c r="D86" s="11">
        <v>175</v>
      </c>
      <c r="E86" s="11">
        <v>10</v>
      </c>
      <c r="F86" s="10">
        <v>0</v>
      </c>
      <c r="G86" s="11">
        <v>0</v>
      </c>
      <c r="H86" s="26">
        <f t="shared" si="10"/>
        <v>218</v>
      </c>
      <c r="I86" s="1"/>
      <c r="K86" s="133"/>
      <c r="L86" s="133"/>
      <c r="M86" s="133"/>
      <c r="R86" s="1"/>
      <c r="S86" s="1"/>
    </row>
    <row r="87" spans="1:19" x14ac:dyDescent="0.25">
      <c r="A87" s="22" t="s">
        <v>93</v>
      </c>
      <c r="B87" s="11">
        <v>0</v>
      </c>
      <c r="C87" s="10">
        <v>0</v>
      </c>
      <c r="D87" s="11">
        <v>0</v>
      </c>
      <c r="E87" s="11">
        <v>0</v>
      </c>
      <c r="F87" s="10">
        <v>0</v>
      </c>
      <c r="G87" s="11">
        <v>0</v>
      </c>
      <c r="H87" s="26">
        <f t="shared" si="10"/>
        <v>0</v>
      </c>
      <c r="I87" s="1"/>
      <c r="R87" s="1"/>
      <c r="S87" s="1"/>
    </row>
    <row r="88" spans="1:19" x14ac:dyDescent="0.25">
      <c r="A88" s="22" t="s">
        <v>94</v>
      </c>
      <c r="B88" s="11">
        <v>0</v>
      </c>
      <c r="C88" s="10">
        <v>0</v>
      </c>
      <c r="D88" s="11">
        <v>0</v>
      </c>
      <c r="E88" s="11">
        <v>0</v>
      </c>
      <c r="F88" s="10">
        <v>0</v>
      </c>
      <c r="G88" s="11">
        <v>0</v>
      </c>
      <c r="H88" s="33">
        <f t="shared" si="10"/>
        <v>0</v>
      </c>
      <c r="I88" s="1"/>
      <c r="R88" s="1"/>
      <c r="S88" s="1"/>
    </row>
    <row r="89" spans="1:19" x14ac:dyDescent="0.25">
      <c r="A89" s="81" t="s">
        <v>108</v>
      </c>
      <c r="B89" s="82">
        <v>51</v>
      </c>
      <c r="C89" s="83">
        <v>683</v>
      </c>
      <c r="D89" s="82">
        <v>226</v>
      </c>
      <c r="E89" s="82">
        <v>39</v>
      </c>
      <c r="F89" s="85">
        <v>4</v>
      </c>
      <c r="G89" s="82">
        <v>0</v>
      </c>
      <c r="H89" s="84">
        <f>SUM(B89:G89)</f>
        <v>1003</v>
      </c>
      <c r="I89" s="1"/>
      <c r="R89" s="1"/>
      <c r="S89" s="1"/>
    </row>
    <row r="90" spans="1:19" x14ac:dyDescent="0.25">
      <c r="A90" s="32" t="s">
        <v>63</v>
      </c>
      <c r="B90" s="31">
        <v>0</v>
      </c>
      <c r="C90" s="20">
        <v>0</v>
      </c>
      <c r="D90" s="31">
        <v>2</v>
      </c>
      <c r="E90" s="31">
        <v>0</v>
      </c>
      <c r="F90" s="20">
        <v>0</v>
      </c>
      <c r="G90" s="31">
        <v>0</v>
      </c>
      <c r="H90" s="26">
        <f t="shared" si="10"/>
        <v>2</v>
      </c>
      <c r="I90" s="1"/>
      <c r="R90" s="1"/>
      <c r="S90" s="1"/>
    </row>
    <row r="91" spans="1:19" x14ac:dyDescent="0.25">
      <c r="A91" s="22" t="s">
        <v>153</v>
      </c>
      <c r="B91" s="11">
        <v>0</v>
      </c>
      <c r="C91" s="10">
        <v>0</v>
      </c>
      <c r="D91" s="11">
        <v>8</v>
      </c>
      <c r="E91" s="11">
        <v>0</v>
      </c>
      <c r="F91" s="10">
        <v>2</v>
      </c>
      <c r="G91" s="11">
        <v>0</v>
      </c>
      <c r="H91" s="26">
        <f t="shared" si="10"/>
        <v>10</v>
      </c>
      <c r="I91" s="1"/>
      <c r="R91" s="1"/>
      <c r="S91" s="1"/>
    </row>
    <row r="92" spans="1:19" x14ac:dyDescent="0.25">
      <c r="A92" s="22" t="s">
        <v>107</v>
      </c>
      <c r="B92" s="11">
        <v>19</v>
      </c>
      <c r="C92" s="10">
        <v>40</v>
      </c>
      <c r="D92" s="11">
        <v>109</v>
      </c>
      <c r="E92" s="11">
        <v>12</v>
      </c>
      <c r="F92" s="10">
        <v>0</v>
      </c>
      <c r="G92" s="11">
        <v>0</v>
      </c>
      <c r="H92" s="26">
        <f t="shared" si="10"/>
        <v>180</v>
      </c>
      <c r="I92" s="1"/>
      <c r="R92" s="1"/>
      <c r="S92" s="1"/>
    </row>
    <row r="93" spans="1:19" x14ac:dyDescent="0.25">
      <c r="A93" s="22" t="s">
        <v>210</v>
      </c>
      <c r="B93" s="11">
        <v>0</v>
      </c>
      <c r="C93" s="10">
        <v>0</v>
      </c>
      <c r="D93" s="11">
        <v>6</v>
      </c>
      <c r="E93" s="11">
        <v>1</v>
      </c>
      <c r="F93" s="10">
        <v>0</v>
      </c>
      <c r="G93" s="11">
        <v>0</v>
      </c>
      <c r="H93" s="26">
        <f t="shared" si="10"/>
        <v>7</v>
      </c>
      <c r="I93" s="1"/>
      <c r="R93" s="1"/>
      <c r="S93" s="1"/>
    </row>
    <row r="94" spans="1:19" x14ac:dyDescent="0.25">
      <c r="A94" s="22" t="s">
        <v>182</v>
      </c>
      <c r="B94" s="11">
        <v>0</v>
      </c>
      <c r="C94" s="10">
        <v>0</v>
      </c>
      <c r="D94" s="11">
        <v>1</v>
      </c>
      <c r="E94" s="11">
        <v>0</v>
      </c>
      <c r="F94" s="10">
        <v>0</v>
      </c>
      <c r="G94" s="11">
        <v>0</v>
      </c>
      <c r="H94" s="26">
        <f t="shared" si="10"/>
        <v>1</v>
      </c>
      <c r="I94" s="1"/>
      <c r="R94" s="1"/>
      <c r="S94" s="1"/>
    </row>
    <row r="95" spans="1:19" x14ac:dyDescent="0.25">
      <c r="A95" s="73" t="s">
        <v>3</v>
      </c>
      <c r="B95" s="74">
        <f t="shared" ref="B95:G95" si="13">SUM(B96:B155)</f>
        <v>1220</v>
      </c>
      <c r="C95" s="74">
        <f t="shared" si="13"/>
        <v>823</v>
      </c>
      <c r="D95" s="74">
        <f t="shared" si="13"/>
        <v>2351</v>
      </c>
      <c r="E95" s="74">
        <f t="shared" si="13"/>
        <v>52</v>
      </c>
      <c r="F95" s="74">
        <f t="shared" si="13"/>
        <v>100</v>
      </c>
      <c r="G95" s="74">
        <f t="shared" si="13"/>
        <v>0</v>
      </c>
      <c r="H95" s="75">
        <f t="shared" si="10"/>
        <v>4546</v>
      </c>
      <c r="I95" s="1"/>
      <c r="R95" s="1"/>
      <c r="S95" s="1"/>
    </row>
    <row r="96" spans="1:19" x14ac:dyDescent="0.25">
      <c r="A96" s="7" t="s">
        <v>113</v>
      </c>
      <c r="B96" s="11">
        <v>111</v>
      </c>
      <c r="C96" s="11">
        <v>225</v>
      </c>
      <c r="D96" s="11">
        <v>274</v>
      </c>
      <c r="E96" s="11">
        <v>2</v>
      </c>
      <c r="F96" s="17">
        <v>13</v>
      </c>
      <c r="G96" s="11">
        <v>0</v>
      </c>
      <c r="H96" s="14">
        <f t="shared" si="10"/>
        <v>625</v>
      </c>
      <c r="I96" s="1"/>
      <c r="R96" s="1"/>
      <c r="S96" s="1"/>
    </row>
    <row r="97" spans="1:19" x14ac:dyDescent="0.25">
      <c r="A97" s="7" t="s">
        <v>112</v>
      </c>
      <c r="B97" s="11">
        <v>0</v>
      </c>
      <c r="C97" s="11">
        <v>0</v>
      </c>
      <c r="D97" s="11">
        <v>0</v>
      </c>
      <c r="E97" s="11">
        <v>0</v>
      </c>
      <c r="F97" s="17">
        <v>0</v>
      </c>
      <c r="G97" s="11">
        <v>0</v>
      </c>
      <c r="H97" s="27">
        <f t="shared" si="10"/>
        <v>0</v>
      </c>
      <c r="I97" s="1"/>
      <c r="R97" s="1"/>
      <c r="S97" s="1"/>
    </row>
    <row r="98" spans="1:19" x14ac:dyDescent="0.25">
      <c r="A98" s="7" t="s">
        <v>41</v>
      </c>
      <c r="B98" s="11">
        <v>0</v>
      </c>
      <c r="C98" s="11">
        <v>0</v>
      </c>
      <c r="D98" s="11">
        <v>2</v>
      </c>
      <c r="E98" s="11">
        <v>0</v>
      </c>
      <c r="F98" s="17">
        <v>0</v>
      </c>
      <c r="G98" s="11">
        <v>0</v>
      </c>
      <c r="H98" s="27">
        <f t="shared" si="10"/>
        <v>2</v>
      </c>
      <c r="I98" s="1"/>
      <c r="R98" s="1"/>
      <c r="S98" s="1"/>
    </row>
    <row r="99" spans="1:19" x14ac:dyDescent="0.25">
      <c r="A99" s="7" t="s">
        <v>192</v>
      </c>
      <c r="B99" s="11">
        <v>0</v>
      </c>
      <c r="C99" s="11">
        <v>0</v>
      </c>
      <c r="D99" s="11">
        <v>0</v>
      </c>
      <c r="E99" s="11">
        <v>0</v>
      </c>
      <c r="F99" s="17">
        <v>0</v>
      </c>
      <c r="G99" s="11">
        <v>0</v>
      </c>
      <c r="H99" s="27">
        <f t="shared" si="10"/>
        <v>0</v>
      </c>
      <c r="I99" s="1"/>
      <c r="R99" s="1"/>
      <c r="S99" s="1"/>
    </row>
    <row r="100" spans="1:19" x14ac:dyDescent="0.25">
      <c r="A100" s="7" t="s">
        <v>213</v>
      </c>
      <c r="B100" s="11"/>
      <c r="C100" s="11"/>
      <c r="D100" s="11"/>
      <c r="E100" s="11"/>
      <c r="F100" s="17"/>
      <c r="G100" s="11"/>
      <c r="H100" s="27">
        <f t="shared" si="10"/>
        <v>0</v>
      </c>
      <c r="I100" s="1"/>
      <c r="R100" s="1"/>
      <c r="S100" s="1"/>
    </row>
    <row r="101" spans="1:19" x14ac:dyDescent="0.25">
      <c r="A101" s="7" t="s">
        <v>214</v>
      </c>
      <c r="B101" s="11"/>
      <c r="C101" s="11"/>
      <c r="D101" s="11"/>
      <c r="E101" s="11"/>
      <c r="F101" s="17"/>
      <c r="G101" s="11"/>
      <c r="H101" s="27">
        <f t="shared" si="10"/>
        <v>0</v>
      </c>
      <c r="I101" s="1"/>
      <c r="R101" s="1"/>
      <c r="S101" s="1"/>
    </row>
    <row r="102" spans="1:19" x14ac:dyDescent="0.25">
      <c r="A102" s="7" t="s">
        <v>215</v>
      </c>
      <c r="B102" s="11"/>
      <c r="C102" s="11"/>
      <c r="D102" s="11"/>
      <c r="E102" s="11"/>
      <c r="F102" s="17"/>
      <c r="G102" s="11"/>
      <c r="H102" s="27">
        <f t="shared" si="10"/>
        <v>0</v>
      </c>
      <c r="I102" s="1"/>
      <c r="R102" s="1"/>
      <c r="S102" s="1"/>
    </row>
    <row r="103" spans="1:19" x14ac:dyDescent="0.25">
      <c r="A103" s="7"/>
      <c r="B103" s="11"/>
      <c r="C103" s="11"/>
      <c r="D103" s="11"/>
      <c r="E103" s="11"/>
      <c r="F103" s="17"/>
      <c r="G103" s="11"/>
      <c r="H103" s="27">
        <f t="shared" si="10"/>
        <v>0</v>
      </c>
      <c r="I103" s="1"/>
      <c r="R103" s="1"/>
      <c r="S103" s="1"/>
    </row>
    <row r="104" spans="1:19" x14ac:dyDescent="0.25">
      <c r="A104" s="7"/>
      <c r="B104" s="11"/>
      <c r="C104" s="11"/>
      <c r="D104" s="11"/>
      <c r="E104" s="11"/>
      <c r="F104" s="17"/>
      <c r="G104" s="11"/>
      <c r="H104" s="27"/>
      <c r="I104" s="1"/>
      <c r="R104" s="1"/>
      <c r="S104" s="1"/>
    </row>
    <row r="105" spans="1:19" x14ac:dyDescent="0.25">
      <c r="A105" s="7" t="s">
        <v>216</v>
      </c>
      <c r="B105" s="11"/>
      <c r="C105" s="11"/>
      <c r="D105" s="11"/>
      <c r="E105" s="11"/>
      <c r="F105" s="17"/>
      <c r="G105" s="11"/>
      <c r="H105" s="27">
        <f t="shared" si="10"/>
        <v>0</v>
      </c>
      <c r="I105" s="1"/>
      <c r="R105" s="1"/>
      <c r="S105" s="1"/>
    </row>
    <row r="106" spans="1:19" x14ac:dyDescent="0.25">
      <c r="A106" s="7" t="s">
        <v>174</v>
      </c>
      <c r="B106" s="11">
        <v>1</v>
      </c>
      <c r="C106" s="11">
        <v>18</v>
      </c>
      <c r="D106" s="11">
        <v>1</v>
      </c>
      <c r="E106" s="11">
        <v>1</v>
      </c>
      <c r="F106" s="17">
        <v>1</v>
      </c>
      <c r="G106" s="11">
        <v>0</v>
      </c>
      <c r="H106" s="27">
        <f t="shared" si="10"/>
        <v>22</v>
      </c>
      <c r="I106" s="1"/>
      <c r="R106" s="1"/>
      <c r="S106" s="1"/>
    </row>
    <row r="107" spans="1:19" x14ac:dyDescent="0.25">
      <c r="A107" s="7" t="s">
        <v>175</v>
      </c>
      <c r="B107" s="11">
        <v>1</v>
      </c>
      <c r="C107" s="11">
        <v>18</v>
      </c>
      <c r="D107" s="11">
        <v>1</v>
      </c>
      <c r="E107" s="19">
        <v>1</v>
      </c>
      <c r="F107" s="17">
        <v>1</v>
      </c>
      <c r="G107" s="11">
        <v>0</v>
      </c>
      <c r="H107" s="27">
        <f t="shared" si="10"/>
        <v>22</v>
      </c>
      <c r="I107" s="1"/>
      <c r="R107" s="1"/>
      <c r="S107" s="1"/>
    </row>
    <row r="108" spans="1:19" x14ac:dyDescent="0.25">
      <c r="A108" s="143" t="s">
        <v>109</v>
      </c>
      <c r="B108" s="143"/>
      <c r="C108" s="143"/>
      <c r="D108" s="143"/>
      <c r="E108" s="143"/>
      <c r="F108" s="143"/>
      <c r="G108" s="143"/>
      <c r="H108" s="143"/>
      <c r="I108" s="1"/>
      <c r="R108" s="1"/>
      <c r="S108" s="1"/>
    </row>
    <row r="109" spans="1:19" x14ac:dyDescent="0.25">
      <c r="A109" s="7" t="s">
        <v>123</v>
      </c>
      <c r="B109" s="11">
        <v>51</v>
      </c>
      <c r="C109" s="11">
        <v>215</v>
      </c>
      <c r="D109" s="11">
        <v>124</v>
      </c>
      <c r="E109" s="11">
        <v>0</v>
      </c>
      <c r="F109" s="11">
        <v>0</v>
      </c>
      <c r="G109" s="11">
        <v>0</v>
      </c>
      <c r="H109" s="28">
        <f t="shared" si="10"/>
        <v>390</v>
      </c>
      <c r="I109" s="1"/>
      <c r="J109" s="133"/>
      <c r="K109" s="133"/>
      <c r="R109" s="1"/>
      <c r="S109" s="1"/>
    </row>
    <row r="110" spans="1:19" x14ac:dyDescent="0.25">
      <c r="A110" s="7" t="s">
        <v>122</v>
      </c>
      <c r="B110" s="11">
        <v>48</v>
      </c>
      <c r="C110" s="11">
        <v>208</v>
      </c>
      <c r="D110" s="10">
        <v>115</v>
      </c>
      <c r="E110" s="11">
        <v>0</v>
      </c>
      <c r="F110" s="11">
        <v>0</v>
      </c>
      <c r="G110" s="11">
        <v>0</v>
      </c>
      <c r="H110" s="14">
        <f t="shared" si="10"/>
        <v>371</v>
      </c>
      <c r="I110" s="1"/>
      <c r="J110" s="133"/>
      <c r="K110" s="133"/>
      <c r="R110" s="1"/>
      <c r="S110" s="1"/>
    </row>
    <row r="111" spans="1:19" x14ac:dyDescent="0.25">
      <c r="A111" s="7" t="s">
        <v>121</v>
      </c>
      <c r="B111" s="11">
        <v>51</v>
      </c>
      <c r="C111" s="11">
        <v>31</v>
      </c>
      <c r="D111" s="11">
        <v>42</v>
      </c>
      <c r="E111" s="11">
        <v>0</v>
      </c>
      <c r="F111" s="11">
        <v>0</v>
      </c>
      <c r="G111" s="11">
        <v>0</v>
      </c>
      <c r="H111" s="14">
        <f t="shared" si="10"/>
        <v>124</v>
      </c>
      <c r="I111" s="1"/>
      <c r="R111" s="1"/>
      <c r="S111" s="1"/>
    </row>
    <row r="112" spans="1:19" x14ac:dyDescent="0.25">
      <c r="A112" s="7" t="s">
        <v>120</v>
      </c>
      <c r="B112" s="11">
        <v>49</v>
      </c>
      <c r="C112" s="11">
        <v>17</v>
      </c>
      <c r="D112" s="11">
        <v>38</v>
      </c>
      <c r="E112" s="11">
        <v>0</v>
      </c>
      <c r="F112" s="11">
        <v>0</v>
      </c>
      <c r="G112" s="11">
        <v>0</v>
      </c>
      <c r="H112" s="14">
        <f t="shared" si="10"/>
        <v>104</v>
      </c>
      <c r="I112" s="1"/>
      <c r="R112" s="1"/>
      <c r="S112" s="1"/>
    </row>
    <row r="113" spans="1:19" x14ac:dyDescent="0.25">
      <c r="A113" s="7" t="s">
        <v>124</v>
      </c>
      <c r="B113" s="11">
        <v>33</v>
      </c>
      <c r="C113" s="11">
        <v>0</v>
      </c>
      <c r="D113" s="11">
        <v>15</v>
      </c>
      <c r="E113" s="11">
        <v>0</v>
      </c>
      <c r="F113" s="11">
        <v>0</v>
      </c>
      <c r="G113" s="11">
        <v>0</v>
      </c>
      <c r="H113" s="14">
        <f t="shared" si="10"/>
        <v>48</v>
      </c>
      <c r="I113" s="1"/>
      <c r="R113" s="1"/>
      <c r="S113" s="1"/>
    </row>
    <row r="114" spans="1:19" x14ac:dyDescent="0.25">
      <c r="A114" s="7" t="s">
        <v>48</v>
      </c>
      <c r="B114" s="11">
        <v>0</v>
      </c>
      <c r="C114" s="11">
        <v>0</v>
      </c>
      <c r="D114" s="11">
        <v>0</v>
      </c>
      <c r="E114" s="11">
        <v>0</v>
      </c>
      <c r="F114" s="11">
        <v>0</v>
      </c>
      <c r="G114" s="11">
        <v>0</v>
      </c>
      <c r="H114" s="14">
        <f>SUM(B114:G114)</f>
        <v>0</v>
      </c>
      <c r="I114" s="1"/>
      <c r="R114" s="1"/>
      <c r="S114" s="1"/>
    </row>
    <row r="115" spans="1:19" x14ac:dyDescent="0.25">
      <c r="A115" s="162" t="s">
        <v>110</v>
      </c>
      <c r="B115" s="163"/>
      <c r="C115" s="163"/>
      <c r="D115" s="163"/>
      <c r="E115" s="163"/>
      <c r="F115" s="163"/>
      <c r="G115" s="163"/>
      <c r="H115" s="142"/>
      <c r="I115" s="1"/>
      <c r="R115" s="1"/>
      <c r="S115" s="1"/>
    </row>
    <row r="116" spans="1:19" x14ac:dyDescent="0.25">
      <c r="A116" s="8" t="s">
        <v>111</v>
      </c>
      <c r="B116" s="31">
        <v>76</v>
      </c>
      <c r="C116" s="31">
        <v>2</v>
      </c>
      <c r="D116" s="31">
        <v>182</v>
      </c>
      <c r="E116" s="31">
        <v>1</v>
      </c>
      <c r="F116" s="31">
        <v>15</v>
      </c>
      <c r="G116" s="31">
        <v>0</v>
      </c>
      <c r="H116" s="14">
        <f t="shared" ref="H116:H149" si="14">SUM(B116:G116)</f>
        <v>276</v>
      </c>
      <c r="I116" s="1"/>
      <c r="R116" s="1"/>
      <c r="S116" s="1"/>
    </row>
    <row r="117" spans="1:19" x14ac:dyDescent="0.25">
      <c r="A117" s="7" t="s">
        <v>158</v>
      </c>
      <c r="B117" s="11">
        <v>74</v>
      </c>
      <c r="C117" s="11">
        <v>4</v>
      </c>
      <c r="D117" s="11">
        <v>201</v>
      </c>
      <c r="E117" s="11">
        <v>2</v>
      </c>
      <c r="F117" s="11">
        <v>10</v>
      </c>
      <c r="G117" s="11">
        <v>0</v>
      </c>
      <c r="H117" s="14">
        <f t="shared" si="14"/>
        <v>291</v>
      </c>
      <c r="I117" s="1"/>
      <c r="R117" s="1"/>
      <c r="S117" s="1"/>
    </row>
    <row r="118" spans="1:19" x14ac:dyDescent="0.25">
      <c r="A118" s="7" t="s">
        <v>156</v>
      </c>
      <c r="B118" s="11">
        <v>52</v>
      </c>
      <c r="C118" s="11">
        <v>0</v>
      </c>
      <c r="D118" s="11">
        <v>85</v>
      </c>
      <c r="E118" s="11">
        <v>1</v>
      </c>
      <c r="F118" s="11">
        <v>4</v>
      </c>
      <c r="G118" s="11">
        <v>0</v>
      </c>
      <c r="H118" s="14">
        <f t="shared" si="14"/>
        <v>142</v>
      </c>
      <c r="I118" s="1"/>
      <c r="R118" s="1"/>
      <c r="S118" s="1"/>
    </row>
    <row r="119" spans="1:19" x14ac:dyDescent="0.25">
      <c r="A119" s="7" t="s">
        <v>187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14">
        <f t="shared" si="14"/>
        <v>0</v>
      </c>
      <c r="I119" s="1"/>
      <c r="R119" s="1"/>
      <c r="S119" s="1"/>
    </row>
    <row r="120" spans="1:19" x14ac:dyDescent="0.25">
      <c r="A120" s="7" t="s">
        <v>157</v>
      </c>
      <c r="B120" s="11">
        <v>59</v>
      </c>
      <c r="C120" s="11">
        <v>3</v>
      </c>
      <c r="D120" s="11">
        <v>92</v>
      </c>
      <c r="E120" s="11">
        <v>1</v>
      </c>
      <c r="F120" s="11">
        <v>6</v>
      </c>
      <c r="G120" s="11">
        <v>0</v>
      </c>
      <c r="H120" s="14">
        <f t="shared" si="14"/>
        <v>161</v>
      </c>
      <c r="I120" s="1"/>
      <c r="R120" s="1"/>
      <c r="S120" s="1"/>
    </row>
    <row r="121" spans="1:19" x14ac:dyDescent="0.25">
      <c r="A121" s="7" t="s">
        <v>125</v>
      </c>
      <c r="B121" s="11">
        <v>45</v>
      </c>
      <c r="C121" s="11">
        <v>3</v>
      </c>
      <c r="D121" s="11">
        <v>38</v>
      </c>
      <c r="E121" s="11">
        <v>0</v>
      </c>
      <c r="F121" s="11">
        <v>5</v>
      </c>
      <c r="G121" s="11">
        <v>0</v>
      </c>
      <c r="H121" s="14">
        <f t="shared" si="14"/>
        <v>91</v>
      </c>
      <c r="I121" s="1"/>
      <c r="R121" s="1"/>
      <c r="S121" s="1"/>
    </row>
    <row r="122" spans="1:19" x14ac:dyDescent="0.25">
      <c r="A122" s="7" t="s">
        <v>126</v>
      </c>
      <c r="B122" s="11">
        <v>47</v>
      </c>
      <c r="C122" s="11">
        <v>1</v>
      </c>
      <c r="D122" s="11">
        <v>36</v>
      </c>
      <c r="E122" s="11">
        <v>0</v>
      </c>
      <c r="F122" s="11">
        <v>2</v>
      </c>
      <c r="G122" s="11">
        <v>0</v>
      </c>
      <c r="H122" s="14">
        <f t="shared" si="14"/>
        <v>86</v>
      </c>
      <c r="I122" s="1"/>
      <c r="R122" s="1"/>
      <c r="S122" s="1"/>
    </row>
    <row r="123" spans="1:19" x14ac:dyDescent="0.25">
      <c r="A123" s="7" t="s">
        <v>103</v>
      </c>
      <c r="B123" s="11">
        <v>19</v>
      </c>
      <c r="C123" s="11">
        <v>0</v>
      </c>
      <c r="D123" s="11">
        <v>51</v>
      </c>
      <c r="E123" s="11">
        <v>1</v>
      </c>
      <c r="F123" s="11">
        <v>1</v>
      </c>
      <c r="G123" s="11">
        <v>0</v>
      </c>
      <c r="H123" s="14">
        <f t="shared" si="14"/>
        <v>72</v>
      </c>
      <c r="I123" s="1"/>
      <c r="R123" s="1"/>
      <c r="S123" s="1"/>
    </row>
    <row r="124" spans="1:19" x14ac:dyDescent="0.25">
      <c r="A124" s="7" t="s">
        <v>127</v>
      </c>
      <c r="B124" s="11">
        <v>28</v>
      </c>
      <c r="C124" s="11">
        <v>0</v>
      </c>
      <c r="D124" s="11">
        <v>28</v>
      </c>
      <c r="E124" s="11">
        <v>0</v>
      </c>
      <c r="F124" s="11">
        <v>1</v>
      </c>
      <c r="G124" s="11">
        <v>0</v>
      </c>
      <c r="H124" s="14">
        <f t="shared" si="14"/>
        <v>57</v>
      </c>
      <c r="I124" s="1"/>
      <c r="R124" s="1"/>
      <c r="S124" s="1"/>
    </row>
    <row r="125" spans="1:19" x14ac:dyDescent="0.25">
      <c r="A125" s="7" t="s">
        <v>128</v>
      </c>
      <c r="B125" s="11">
        <v>23</v>
      </c>
      <c r="C125" s="11">
        <v>0</v>
      </c>
      <c r="D125" s="11">
        <v>19</v>
      </c>
      <c r="E125" s="11">
        <v>0</v>
      </c>
      <c r="F125" s="11">
        <v>2</v>
      </c>
      <c r="G125" s="11">
        <v>0</v>
      </c>
      <c r="H125" s="14">
        <f t="shared" si="14"/>
        <v>44</v>
      </c>
      <c r="I125" s="1"/>
      <c r="R125" s="1"/>
      <c r="S125" s="1"/>
    </row>
    <row r="126" spans="1:19" x14ac:dyDescent="0.25">
      <c r="A126" s="7" t="s">
        <v>129</v>
      </c>
      <c r="B126" s="11">
        <v>24</v>
      </c>
      <c r="C126" s="11">
        <v>0</v>
      </c>
      <c r="D126" s="11">
        <v>29</v>
      </c>
      <c r="E126" s="11">
        <v>0</v>
      </c>
      <c r="F126" s="11">
        <v>1</v>
      </c>
      <c r="G126" s="11">
        <v>0</v>
      </c>
      <c r="H126" s="14">
        <f t="shared" si="14"/>
        <v>54</v>
      </c>
      <c r="I126" s="1"/>
      <c r="R126" s="1"/>
      <c r="S126" s="1"/>
    </row>
    <row r="127" spans="1:19" x14ac:dyDescent="0.25">
      <c r="A127" s="7" t="s">
        <v>44</v>
      </c>
      <c r="B127" s="11">
        <v>16</v>
      </c>
      <c r="C127" s="11">
        <v>2</v>
      </c>
      <c r="D127" s="11">
        <v>87</v>
      </c>
      <c r="E127" s="11">
        <v>5</v>
      </c>
      <c r="F127" s="11">
        <v>9</v>
      </c>
      <c r="G127" s="11">
        <v>0</v>
      </c>
      <c r="H127" s="14">
        <f t="shared" si="14"/>
        <v>119</v>
      </c>
      <c r="I127" s="1"/>
      <c r="R127" s="1"/>
      <c r="S127" s="1"/>
    </row>
    <row r="128" spans="1:19" x14ac:dyDescent="0.25">
      <c r="A128" s="7" t="s">
        <v>92</v>
      </c>
      <c r="B128" s="11">
        <v>8</v>
      </c>
      <c r="C128" s="11">
        <v>1</v>
      </c>
      <c r="D128" s="11">
        <v>85</v>
      </c>
      <c r="E128" s="11">
        <v>5</v>
      </c>
      <c r="F128" s="11">
        <v>9</v>
      </c>
      <c r="G128" s="11">
        <v>0</v>
      </c>
      <c r="H128" s="14">
        <f t="shared" si="14"/>
        <v>108</v>
      </c>
      <c r="I128" s="1"/>
      <c r="R128" s="1"/>
      <c r="S128" s="1"/>
    </row>
    <row r="129" spans="1:19" x14ac:dyDescent="0.25">
      <c r="A129" s="7" t="s">
        <v>45</v>
      </c>
      <c r="B129" s="11">
        <v>8</v>
      </c>
      <c r="C129" s="11">
        <v>3</v>
      </c>
      <c r="D129" s="11">
        <v>23</v>
      </c>
      <c r="E129" s="11">
        <v>0</v>
      </c>
      <c r="F129" s="11">
        <v>0</v>
      </c>
      <c r="G129" s="11">
        <v>0</v>
      </c>
      <c r="H129" s="14">
        <f t="shared" si="14"/>
        <v>34</v>
      </c>
      <c r="I129" s="1"/>
      <c r="R129" s="1"/>
      <c r="S129" s="1"/>
    </row>
    <row r="130" spans="1:19" x14ac:dyDescent="0.25">
      <c r="A130" s="7" t="s">
        <v>99</v>
      </c>
      <c r="B130" s="11">
        <v>65</v>
      </c>
      <c r="C130" s="11">
        <v>22</v>
      </c>
      <c r="D130" s="11">
        <v>18</v>
      </c>
      <c r="E130" s="11">
        <v>1</v>
      </c>
      <c r="F130" s="11">
        <v>0</v>
      </c>
      <c r="G130" s="11">
        <v>0</v>
      </c>
      <c r="H130" s="14">
        <f t="shared" si="14"/>
        <v>106</v>
      </c>
      <c r="I130" s="1"/>
      <c r="R130" s="1"/>
      <c r="S130" s="1"/>
    </row>
    <row r="131" spans="1:19" ht="15.75" customHeight="1" x14ac:dyDescent="0.25">
      <c r="A131" s="7" t="s">
        <v>100</v>
      </c>
      <c r="B131" s="11">
        <v>3</v>
      </c>
      <c r="C131" s="11">
        <v>0</v>
      </c>
      <c r="D131" s="11">
        <v>12</v>
      </c>
      <c r="E131" s="11">
        <v>1</v>
      </c>
      <c r="F131" s="11">
        <v>0</v>
      </c>
      <c r="G131" s="11">
        <v>0</v>
      </c>
      <c r="H131" s="14">
        <f t="shared" si="14"/>
        <v>16</v>
      </c>
      <c r="I131" s="1"/>
      <c r="R131" s="1"/>
      <c r="S131" s="1"/>
    </row>
    <row r="132" spans="1:19" x14ac:dyDescent="0.25">
      <c r="A132" s="7" t="s">
        <v>46</v>
      </c>
      <c r="B132" s="11">
        <v>2</v>
      </c>
      <c r="C132" s="11">
        <v>0</v>
      </c>
      <c r="D132" s="11">
        <v>4</v>
      </c>
      <c r="E132" s="11">
        <v>0</v>
      </c>
      <c r="F132" s="11">
        <v>0</v>
      </c>
      <c r="G132" s="11">
        <v>0</v>
      </c>
      <c r="H132" s="14">
        <f t="shared" si="14"/>
        <v>6</v>
      </c>
      <c r="I132" s="1"/>
      <c r="R132" s="1"/>
      <c r="S132" s="1"/>
    </row>
    <row r="133" spans="1:19" x14ac:dyDescent="0.25">
      <c r="A133" s="7" t="s">
        <v>47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  <c r="H133" s="14">
        <f t="shared" si="14"/>
        <v>0</v>
      </c>
      <c r="I133" s="1"/>
      <c r="R133" s="1"/>
      <c r="S133" s="1"/>
    </row>
    <row r="134" spans="1:19" x14ac:dyDescent="0.25">
      <c r="A134" s="7" t="s">
        <v>53</v>
      </c>
      <c r="B134" s="11">
        <v>0</v>
      </c>
      <c r="C134" s="11">
        <v>0</v>
      </c>
      <c r="D134" s="11">
        <v>0</v>
      </c>
      <c r="E134" s="11">
        <v>0</v>
      </c>
      <c r="F134" s="11">
        <v>0</v>
      </c>
      <c r="G134" s="11">
        <v>0</v>
      </c>
      <c r="H134" s="14">
        <f t="shared" si="14"/>
        <v>0</v>
      </c>
      <c r="I134" s="1"/>
      <c r="R134" s="1"/>
      <c r="S134" s="1"/>
    </row>
    <row r="135" spans="1:19" x14ac:dyDescent="0.25">
      <c r="A135" s="7" t="s">
        <v>134</v>
      </c>
      <c r="B135" s="11">
        <v>66</v>
      </c>
      <c r="C135" s="11">
        <v>4</v>
      </c>
      <c r="D135" s="11">
        <v>190</v>
      </c>
      <c r="E135" s="11">
        <v>4</v>
      </c>
      <c r="F135" s="11">
        <v>3</v>
      </c>
      <c r="G135" s="11">
        <v>0</v>
      </c>
      <c r="H135" s="14">
        <f t="shared" si="14"/>
        <v>267</v>
      </c>
      <c r="I135" s="1"/>
      <c r="R135" s="1"/>
      <c r="S135" s="1"/>
    </row>
    <row r="136" spans="1:19" x14ac:dyDescent="0.25">
      <c r="A136" s="7" t="s">
        <v>135</v>
      </c>
      <c r="B136" s="11">
        <v>75</v>
      </c>
      <c r="C136" s="11">
        <v>10</v>
      </c>
      <c r="D136" s="11">
        <v>194</v>
      </c>
      <c r="E136" s="11">
        <v>12</v>
      </c>
      <c r="F136" s="11">
        <v>7</v>
      </c>
      <c r="G136" s="11">
        <v>0</v>
      </c>
      <c r="H136" s="14">
        <f t="shared" si="14"/>
        <v>298</v>
      </c>
      <c r="I136" s="1"/>
      <c r="R136" s="1"/>
      <c r="S136" s="1"/>
    </row>
    <row r="137" spans="1:19" x14ac:dyDescent="0.25">
      <c r="A137" s="7" t="s">
        <v>49</v>
      </c>
      <c r="B137" s="11">
        <v>75</v>
      </c>
      <c r="C137" s="11">
        <v>10</v>
      </c>
      <c r="D137" s="11">
        <v>195</v>
      </c>
      <c r="E137" s="11">
        <v>12</v>
      </c>
      <c r="F137" s="11">
        <v>7</v>
      </c>
      <c r="G137" s="11">
        <v>0</v>
      </c>
      <c r="H137" s="27">
        <f t="shared" si="14"/>
        <v>299</v>
      </c>
      <c r="I137" s="1"/>
      <c r="R137" s="1"/>
      <c r="S137" s="1"/>
    </row>
    <row r="138" spans="1:19" x14ac:dyDescent="0.25">
      <c r="A138" s="7" t="s">
        <v>189</v>
      </c>
      <c r="B138" s="11">
        <v>6</v>
      </c>
      <c r="C138" s="11">
        <v>0</v>
      </c>
      <c r="D138" s="11">
        <v>28</v>
      </c>
      <c r="E138" s="11">
        <v>0</v>
      </c>
      <c r="F138" s="11">
        <v>0</v>
      </c>
      <c r="G138" s="11">
        <v>0</v>
      </c>
      <c r="H138" s="27">
        <f t="shared" si="14"/>
        <v>34</v>
      </c>
      <c r="I138" s="1"/>
      <c r="R138" s="1"/>
      <c r="S138" s="1"/>
    </row>
    <row r="139" spans="1:19" x14ac:dyDescent="0.25">
      <c r="A139" s="7" t="s">
        <v>50</v>
      </c>
      <c r="B139" s="11">
        <v>12</v>
      </c>
      <c r="C139" s="11">
        <v>26</v>
      </c>
      <c r="D139" s="11">
        <v>3</v>
      </c>
      <c r="E139" s="11">
        <v>0</v>
      </c>
      <c r="F139" s="11">
        <v>0</v>
      </c>
      <c r="G139" s="11">
        <v>0</v>
      </c>
      <c r="H139" s="14">
        <f t="shared" si="14"/>
        <v>41</v>
      </c>
      <c r="I139" s="1"/>
      <c r="R139" s="1"/>
      <c r="S139" s="1"/>
    </row>
    <row r="140" spans="1:19" x14ac:dyDescent="0.25">
      <c r="A140" s="7" t="s">
        <v>104</v>
      </c>
      <c r="B140" s="11">
        <v>7</v>
      </c>
      <c r="C140" s="11">
        <v>0</v>
      </c>
      <c r="D140" s="11">
        <v>6</v>
      </c>
      <c r="E140" s="11">
        <v>0</v>
      </c>
      <c r="F140" s="11">
        <v>0</v>
      </c>
      <c r="G140" s="11">
        <v>0</v>
      </c>
      <c r="H140" s="14">
        <f t="shared" si="14"/>
        <v>13</v>
      </c>
      <c r="I140" s="1"/>
      <c r="R140" s="1"/>
      <c r="S140" s="1"/>
    </row>
    <row r="141" spans="1:19" x14ac:dyDescent="0.25">
      <c r="A141" s="7" t="s">
        <v>51</v>
      </c>
      <c r="B141" s="11">
        <v>7</v>
      </c>
      <c r="C141" s="11">
        <v>0</v>
      </c>
      <c r="D141" s="11">
        <v>14</v>
      </c>
      <c r="E141" s="11">
        <v>0</v>
      </c>
      <c r="F141" s="11">
        <v>0</v>
      </c>
      <c r="G141" s="11">
        <v>0</v>
      </c>
      <c r="H141" s="14">
        <f t="shared" si="14"/>
        <v>21</v>
      </c>
    </row>
    <row r="142" spans="1:19" x14ac:dyDescent="0.25">
      <c r="A142" s="7" t="s">
        <v>52</v>
      </c>
      <c r="B142" s="11">
        <v>12</v>
      </c>
      <c r="C142" s="11">
        <v>0</v>
      </c>
      <c r="D142" s="11">
        <v>8</v>
      </c>
      <c r="E142" s="11">
        <v>0</v>
      </c>
      <c r="F142" s="11">
        <v>0</v>
      </c>
      <c r="G142" s="11">
        <v>0</v>
      </c>
      <c r="H142" s="14">
        <f t="shared" si="14"/>
        <v>20</v>
      </c>
    </row>
    <row r="143" spans="1:19" x14ac:dyDescent="0.25">
      <c r="A143" s="7" t="s">
        <v>115</v>
      </c>
      <c r="B143" s="11">
        <v>0</v>
      </c>
      <c r="C143" s="11">
        <v>0</v>
      </c>
      <c r="D143" s="11">
        <v>3</v>
      </c>
      <c r="E143" s="11">
        <v>0</v>
      </c>
      <c r="F143" s="11">
        <v>0</v>
      </c>
      <c r="G143" s="11">
        <v>0</v>
      </c>
      <c r="H143" s="14">
        <f t="shared" si="14"/>
        <v>3</v>
      </c>
    </row>
    <row r="144" spans="1:19" x14ac:dyDescent="0.25">
      <c r="A144" s="7" t="s">
        <v>116</v>
      </c>
      <c r="B144" s="11">
        <v>7</v>
      </c>
      <c r="C144" s="11">
        <v>0</v>
      </c>
      <c r="D144" s="11">
        <v>7</v>
      </c>
      <c r="E144" s="11">
        <v>0</v>
      </c>
      <c r="F144" s="11">
        <v>0</v>
      </c>
      <c r="G144" s="11">
        <v>0</v>
      </c>
      <c r="H144" s="14">
        <f t="shared" si="14"/>
        <v>14</v>
      </c>
    </row>
    <row r="145" spans="1:13" x14ac:dyDescent="0.25">
      <c r="A145" s="7" t="s">
        <v>102</v>
      </c>
      <c r="B145" s="11">
        <v>19</v>
      </c>
      <c r="C145" s="11">
        <v>0</v>
      </c>
      <c r="D145" s="11">
        <v>19</v>
      </c>
      <c r="E145" s="11">
        <v>0</v>
      </c>
      <c r="F145" s="11">
        <v>1</v>
      </c>
      <c r="G145" s="11">
        <v>0</v>
      </c>
      <c r="H145" s="14">
        <f t="shared" si="14"/>
        <v>39</v>
      </c>
    </row>
    <row r="146" spans="1:13" x14ac:dyDescent="0.25">
      <c r="A146" s="7" t="s">
        <v>203</v>
      </c>
      <c r="B146" s="11">
        <v>6</v>
      </c>
      <c r="C146" s="11">
        <v>0</v>
      </c>
      <c r="D146" s="11">
        <v>10</v>
      </c>
      <c r="E146" s="11">
        <v>0</v>
      </c>
      <c r="F146" s="11">
        <v>0</v>
      </c>
      <c r="G146" s="11">
        <v>0</v>
      </c>
      <c r="H146" s="14">
        <f t="shared" si="14"/>
        <v>16</v>
      </c>
    </row>
    <row r="147" spans="1:13" x14ac:dyDescent="0.25">
      <c r="A147" s="7" t="s">
        <v>197</v>
      </c>
      <c r="B147" s="11">
        <v>0</v>
      </c>
      <c r="C147" s="11">
        <v>0</v>
      </c>
      <c r="D147" s="11">
        <v>4</v>
      </c>
      <c r="E147" s="11">
        <v>0</v>
      </c>
      <c r="F147" s="11">
        <v>0</v>
      </c>
      <c r="G147" s="11">
        <v>0</v>
      </c>
      <c r="H147" s="14">
        <f t="shared" si="14"/>
        <v>4</v>
      </c>
    </row>
    <row r="148" spans="1:13" x14ac:dyDescent="0.25">
      <c r="A148" s="7"/>
      <c r="B148" s="11"/>
      <c r="C148" s="11"/>
      <c r="D148" s="11"/>
      <c r="E148" s="11"/>
      <c r="F148" s="11"/>
      <c r="G148" s="11"/>
      <c r="H148" s="14"/>
    </row>
    <row r="149" spans="1:13" x14ac:dyDescent="0.25">
      <c r="A149" s="7" t="s">
        <v>198</v>
      </c>
      <c r="B149" s="11">
        <v>0</v>
      </c>
      <c r="C149" s="11">
        <v>0</v>
      </c>
      <c r="D149" s="11">
        <v>0</v>
      </c>
      <c r="E149" s="11">
        <v>0</v>
      </c>
      <c r="F149" s="11">
        <v>1</v>
      </c>
      <c r="G149" s="11">
        <v>0</v>
      </c>
      <c r="H149" s="14">
        <f t="shared" si="14"/>
        <v>1</v>
      </c>
    </row>
    <row r="150" spans="1:13" x14ac:dyDescent="0.25">
      <c r="A150" s="7" t="s">
        <v>199</v>
      </c>
      <c r="B150" s="11">
        <v>0</v>
      </c>
      <c r="C150" s="11">
        <v>0</v>
      </c>
      <c r="D150" s="11">
        <v>2</v>
      </c>
      <c r="E150" s="11">
        <v>0</v>
      </c>
      <c r="F150" s="11">
        <v>0</v>
      </c>
      <c r="G150" s="11">
        <v>0</v>
      </c>
      <c r="H150" s="14">
        <f>SUM(B150:G150)</f>
        <v>2</v>
      </c>
    </row>
    <row r="151" spans="1:13" x14ac:dyDescent="0.25">
      <c r="A151" s="7" t="s">
        <v>200</v>
      </c>
      <c r="B151" s="11">
        <v>6</v>
      </c>
      <c r="C151" s="11">
        <v>0</v>
      </c>
      <c r="D151" s="11">
        <v>18</v>
      </c>
      <c r="E151" s="11">
        <v>1</v>
      </c>
      <c r="F151" s="11">
        <v>1</v>
      </c>
      <c r="G151" s="11">
        <v>0</v>
      </c>
      <c r="H151" s="14">
        <f>SUM(B151:G151)</f>
        <v>26</v>
      </c>
    </row>
    <row r="152" spans="1:13" x14ac:dyDescent="0.25">
      <c r="A152" s="7"/>
      <c r="B152" s="11"/>
      <c r="C152" s="11"/>
      <c r="D152" s="11"/>
      <c r="E152" s="11"/>
      <c r="F152" s="11"/>
      <c r="G152" s="11"/>
      <c r="H152" s="27"/>
    </row>
    <row r="153" spans="1:13" x14ac:dyDescent="0.25">
      <c r="A153" s="7" t="s">
        <v>105</v>
      </c>
      <c r="B153" s="11">
        <v>20</v>
      </c>
      <c r="C153" s="11">
        <v>0</v>
      </c>
      <c r="D153" s="11">
        <v>48</v>
      </c>
      <c r="E153" s="11">
        <v>1</v>
      </c>
      <c r="F153" s="11">
        <v>0</v>
      </c>
      <c r="G153" s="11">
        <v>0</v>
      </c>
      <c r="H153" s="27">
        <f>SUM(B153:G153)</f>
        <v>69</v>
      </c>
    </row>
    <row r="154" spans="1:13" x14ac:dyDescent="0.25">
      <c r="A154" s="7" t="s">
        <v>206</v>
      </c>
      <c r="B154" s="11">
        <v>0</v>
      </c>
      <c r="C154" s="11">
        <v>0</v>
      </c>
      <c r="D154" s="11">
        <v>0</v>
      </c>
      <c r="E154" s="11">
        <v>0</v>
      </c>
      <c r="F154" s="11">
        <v>0</v>
      </c>
      <c r="G154" s="11">
        <v>0</v>
      </c>
      <c r="H154" s="27">
        <f t="shared" ref="H154:H155" si="15">SUM(B154:G154)</f>
        <v>0</v>
      </c>
    </row>
    <row r="155" spans="1:13" x14ac:dyDescent="0.25">
      <c r="A155" s="107" t="s">
        <v>207</v>
      </c>
      <c r="B155" s="93">
        <v>8</v>
      </c>
      <c r="C155" s="93">
        <v>0</v>
      </c>
      <c r="D155" s="93">
        <v>0</v>
      </c>
      <c r="E155" s="93">
        <v>0</v>
      </c>
      <c r="F155" s="93">
        <v>0</v>
      </c>
      <c r="G155" s="93">
        <v>0</v>
      </c>
      <c r="H155" s="14">
        <f t="shared" si="15"/>
        <v>8</v>
      </c>
    </row>
    <row r="158" spans="1:13" x14ac:dyDescent="0.25">
      <c r="J158" s="133"/>
      <c r="K158" s="133"/>
      <c r="L158" s="133"/>
      <c r="M158" s="133"/>
    </row>
    <row r="159" spans="1:13" x14ac:dyDescent="0.25">
      <c r="J159" s="133"/>
    </row>
    <row r="166" spans="10:17" x14ac:dyDescent="0.25">
      <c r="P166" s="1"/>
      <c r="Q166" s="1"/>
    </row>
    <row r="168" spans="10:17" x14ac:dyDescent="0.25">
      <c r="J168" s="1"/>
      <c r="K168" s="1"/>
      <c r="L168" s="1"/>
      <c r="M168" s="1"/>
      <c r="N168" s="1"/>
      <c r="O168" s="1"/>
    </row>
  </sheetData>
  <mergeCells count="30">
    <mergeCell ref="A108:H108"/>
    <mergeCell ref="J109:J110"/>
    <mergeCell ref="K109:K110"/>
    <mergeCell ref="A115:H115"/>
    <mergeCell ref="J158:J159"/>
    <mergeCell ref="K158:M158"/>
    <mergeCell ref="J59:P59"/>
    <mergeCell ref="J60:P60"/>
    <mergeCell ref="J61:P61"/>
    <mergeCell ref="J62:P62"/>
    <mergeCell ref="K86:M86"/>
    <mergeCell ref="J58:P58"/>
    <mergeCell ref="J26:J27"/>
    <mergeCell ref="K26:Q26"/>
    <mergeCell ref="J39:J40"/>
    <mergeCell ref="K39:Q39"/>
    <mergeCell ref="J50:M50"/>
    <mergeCell ref="J52:Q52"/>
    <mergeCell ref="J53:P53"/>
    <mergeCell ref="J54:P54"/>
    <mergeCell ref="J55:P55"/>
    <mergeCell ref="J56:P56"/>
    <mergeCell ref="J57:P57"/>
    <mergeCell ref="A3:R3"/>
    <mergeCell ref="B4:J4"/>
    <mergeCell ref="L4:R4"/>
    <mergeCell ref="A9:A10"/>
    <mergeCell ref="B9:H9"/>
    <mergeCell ref="J9:J10"/>
    <mergeCell ref="K9:Q9"/>
  </mergeCells>
  <pageMargins left="1" right="1" top="1" bottom="1" header="0.5" footer="0.5"/>
  <pageSetup paperSize="9" scale="50" fitToHeight="0" orientation="landscape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CB00E-4C49-4A3E-BAD9-82D63355F293}">
  <sheetPr>
    <pageSetUpPr fitToPage="1"/>
  </sheetPr>
  <dimension ref="A3:S169"/>
  <sheetViews>
    <sheetView topLeftCell="F25" zoomScale="80" zoomScaleNormal="80" workbookViewId="0">
      <selection activeCell="A68" sqref="A68:XFD68"/>
    </sheetView>
  </sheetViews>
  <sheetFormatPr baseColWidth="10" defaultRowHeight="15" x14ac:dyDescent="0.25"/>
  <cols>
    <col min="1" max="1" width="49.85546875" customWidth="1"/>
    <col min="2" max="6" width="9.85546875" customWidth="1"/>
    <col min="7" max="7" width="13.5703125" customWidth="1"/>
    <col min="8" max="8" width="9.28515625" customWidth="1"/>
    <col min="9" max="9" width="9.42578125" customWidth="1"/>
    <col min="10" max="10" width="43.7109375" customWidth="1"/>
    <col min="11" max="15" width="9.28515625" customWidth="1"/>
    <col min="16" max="16" width="10.42578125" customWidth="1"/>
    <col min="17" max="17" width="10" customWidth="1"/>
    <col min="18" max="18" width="2.85546875" customWidth="1"/>
  </cols>
  <sheetData>
    <row r="3" spans="1:19" ht="26.25" x14ac:dyDescent="0.25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"/>
    </row>
    <row r="4" spans="1:19" ht="15.75" x14ac:dyDescent="0.25">
      <c r="A4" s="1" t="s">
        <v>12</v>
      </c>
      <c r="B4" s="155" t="s">
        <v>16</v>
      </c>
      <c r="C4" s="156"/>
      <c r="D4" s="156"/>
      <c r="E4" s="156"/>
      <c r="F4" s="156"/>
      <c r="G4" s="156"/>
      <c r="H4" s="156"/>
      <c r="I4" s="156"/>
      <c r="J4" s="157"/>
      <c r="K4" s="9" t="s">
        <v>14</v>
      </c>
      <c r="L4" s="147" t="s">
        <v>180</v>
      </c>
      <c r="M4" s="148"/>
      <c r="N4" s="148"/>
      <c r="O4" s="148"/>
      <c r="P4" s="148"/>
      <c r="Q4" s="148"/>
      <c r="R4" s="149"/>
      <c r="S4" s="1"/>
    </row>
    <row r="5" spans="1:19" x14ac:dyDescent="0.25">
      <c r="A5" s="1"/>
      <c r="B5" s="1"/>
      <c r="C5" s="1"/>
      <c r="D5" s="10"/>
      <c r="E5" s="1"/>
      <c r="F5" s="1"/>
      <c r="G5" s="1"/>
      <c r="H5" s="1"/>
      <c r="I5" s="1"/>
      <c r="J5" s="1"/>
      <c r="K5" s="9"/>
      <c r="L5" s="10"/>
      <c r="M5" s="10"/>
      <c r="N5" s="10"/>
      <c r="O5" s="10"/>
      <c r="P5" s="10"/>
      <c r="Q5" s="10"/>
      <c r="R5" s="10"/>
      <c r="S5" s="1"/>
    </row>
    <row r="6" spans="1:19" x14ac:dyDescent="0.25">
      <c r="A6" s="1" t="s">
        <v>15</v>
      </c>
      <c r="B6" s="30">
        <v>3</v>
      </c>
      <c r="C6" s="1"/>
      <c r="D6" s="10"/>
      <c r="E6" s="1"/>
      <c r="F6" s="1"/>
      <c r="G6" s="1"/>
      <c r="H6" s="1"/>
      <c r="I6" s="1"/>
      <c r="J6" s="1"/>
      <c r="K6" s="9" t="s">
        <v>13</v>
      </c>
      <c r="L6" s="30">
        <v>2025</v>
      </c>
      <c r="M6" s="1"/>
      <c r="N6" s="1"/>
      <c r="O6" s="1"/>
      <c r="P6" s="1"/>
      <c r="Q6" s="1"/>
      <c r="R6" s="1"/>
      <c r="S6" s="1"/>
    </row>
    <row r="7" spans="1:19" x14ac:dyDescent="0.25">
      <c r="A7" s="1"/>
      <c r="B7" s="1"/>
      <c r="C7" s="1"/>
      <c r="D7" s="10"/>
      <c r="E7" s="1"/>
      <c r="F7" s="1"/>
      <c r="G7" s="1"/>
      <c r="H7" s="1"/>
      <c r="I7" s="1"/>
      <c r="J7" s="1"/>
      <c r="K7" s="1"/>
      <c r="L7" s="44"/>
      <c r="M7" s="1"/>
      <c r="N7" s="1"/>
      <c r="O7" s="1"/>
      <c r="P7" s="1"/>
      <c r="Q7" s="1"/>
      <c r="R7" s="1"/>
      <c r="S7" s="1"/>
    </row>
    <row r="8" spans="1:19" ht="15.75" thickBot="1" x14ac:dyDescent="0.3">
      <c r="A8" s="2"/>
      <c r="B8" s="2"/>
      <c r="C8" s="2"/>
      <c r="D8" s="20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3"/>
      <c r="S8" s="1"/>
    </row>
    <row r="9" spans="1:19" x14ac:dyDescent="0.25">
      <c r="A9" s="150" t="s">
        <v>148</v>
      </c>
      <c r="B9" s="152" t="s">
        <v>11</v>
      </c>
      <c r="C9" s="152"/>
      <c r="D9" s="152"/>
      <c r="E9" s="152"/>
      <c r="F9" s="152"/>
      <c r="G9" s="152"/>
      <c r="H9" s="152"/>
      <c r="I9" s="1"/>
      <c r="J9" s="153" t="s">
        <v>149</v>
      </c>
      <c r="K9" s="136" t="s">
        <v>11</v>
      </c>
      <c r="L9" s="136"/>
      <c r="M9" s="136"/>
      <c r="N9" s="136"/>
      <c r="O9" s="136"/>
      <c r="P9" s="136"/>
      <c r="Q9" s="137"/>
      <c r="R9" s="4"/>
      <c r="S9" s="1"/>
    </row>
    <row r="10" spans="1:19" x14ac:dyDescent="0.25">
      <c r="A10" s="151"/>
      <c r="B10" s="30" t="s">
        <v>8</v>
      </c>
      <c r="C10" s="30" t="s">
        <v>9</v>
      </c>
      <c r="D10" s="30" t="s">
        <v>10</v>
      </c>
      <c r="E10" s="30" t="s">
        <v>154</v>
      </c>
      <c r="F10" s="30" t="s">
        <v>155</v>
      </c>
      <c r="G10" s="30" t="s">
        <v>147</v>
      </c>
      <c r="H10" s="30" t="s">
        <v>11</v>
      </c>
      <c r="I10" s="1"/>
      <c r="J10" s="154"/>
      <c r="K10" s="30" t="s">
        <v>8</v>
      </c>
      <c r="L10" s="30" t="s">
        <v>9</v>
      </c>
      <c r="M10" s="30" t="s">
        <v>10</v>
      </c>
      <c r="N10" s="30" t="s">
        <v>154</v>
      </c>
      <c r="O10" s="30" t="s">
        <v>155</v>
      </c>
      <c r="P10" s="30" t="s">
        <v>147</v>
      </c>
      <c r="Q10" s="54" t="s">
        <v>11</v>
      </c>
      <c r="R10" s="4"/>
      <c r="S10" s="1"/>
    </row>
    <row r="11" spans="1:19" x14ac:dyDescent="0.25">
      <c r="A11" s="15" t="s">
        <v>0</v>
      </c>
      <c r="B11" s="16">
        <f t="shared" ref="B11:G11" si="0">B12+B51+B69+B82+B95</f>
        <v>13221</v>
      </c>
      <c r="C11" s="16">
        <f t="shared" si="0"/>
        <v>18027</v>
      </c>
      <c r="D11" s="16">
        <f t="shared" si="0"/>
        <v>13422</v>
      </c>
      <c r="E11" s="16">
        <f t="shared" si="0"/>
        <v>775</v>
      </c>
      <c r="F11" s="16">
        <f t="shared" si="0"/>
        <v>581</v>
      </c>
      <c r="G11" s="16">
        <f t="shared" si="0"/>
        <v>105</v>
      </c>
      <c r="H11" s="12">
        <f>SUM(B11:G11)</f>
        <v>46131</v>
      </c>
      <c r="I11" s="1"/>
      <c r="J11" s="79" t="s">
        <v>85</v>
      </c>
      <c r="K11" s="74">
        <f t="shared" ref="K11:P11" si="1">SUM(K12:K23)</f>
        <v>971</v>
      </c>
      <c r="L11" s="74">
        <f t="shared" si="1"/>
        <v>0</v>
      </c>
      <c r="M11" s="74">
        <f t="shared" si="1"/>
        <v>1048</v>
      </c>
      <c r="N11" s="74">
        <f t="shared" si="1"/>
        <v>8</v>
      </c>
      <c r="O11" s="74">
        <f t="shared" si="1"/>
        <v>1</v>
      </c>
      <c r="P11" s="74">
        <f t="shared" si="1"/>
        <v>0</v>
      </c>
      <c r="Q11" s="80">
        <f t="shared" ref="Q11:Q23" si="2">SUM(K11:P11)</f>
        <v>2028</v>
      </c>
      <c r="R11" s="4"/>
      <c r="S11" s="1"/>
    </row>
    <row r="12" spans="1:19" x14ac:dyDescent="0.25">
      <c r="A12" s="73" t="s">
        <v>1</v>
      </c>
      <c r="B12" s="74">
        <f t="shared" ref="B12:G12" si="3">SUM(B13:B50)</f>
        <v>8887</v>
      </c>
      <c r="C12" s="74">
        <f t="shared" si="3"/>
        <v>11331</v>
      </c>
      <c r="D12" s="74">
        <f t="shared" si="3"/>
        <v>7985</v>
      </c>
      <c r="E12" s="74">
        <f t="shared" si="3"/>
        <v>481</v>
      </c>
      <c r="F12" s="74">
        <f t="shared" si="3"/>
        <v>401</v>
      </c>
      <c r="G12" s="74">
        <f t="shared" si="3"/>
        <v>68</v>
      </c>
      <c r="H12" s="74">
        <f>SUM(B12:G12)</f>
        <v>29153</v>
      </c>
      <c r="I12" s="1"/>
      <c r="J12" s="55" t="s">
        <v>4</v>
      </c>
      <c r="K12" s="68">
        <v>1</v>
      </c>
      <c r="L12" s="68">
        <v>0</v>
      </c>
      <c r="M12" s="68">
        <v>24</v>
      </c>
      <c r="N12" s="68">
        <v>3</v>
      </c>
      <c r="O12" s="68">
        <v>0</v>
      </c>
      <c r="P12" s="68">
        <v>0</v>
      </c>
      <c r="Q12" s="40">
        <f t="shared" si="2"/>
        <v>28</v>
      </c>
      <c r="R12" s="4"/>
      <c r="S12" s="1"/>
    </row>
    <row r="13" spans="1:19" x14ac:dyDescent="0.25">
      <c r="A13" s="8" t="s">
        <v>17</v>
      </c>
      <c r="B13" s="17">
        <v>30</v>
      </c>
      <c r="C13" s="11">
        <v>7</v>
      </c>
      <c r="D13" s="11">
        <v>100</v>
      </c>
      <c r="E13" s="11">
        <v>2</v>
      </c>
      <c r="F13" s="11">
        <v>7</v>
      </c>
      <c r="G13" s="11">
        <v>1</v>
      </c>
      <c r="H13" s="12">
        <f>SUM(B13:G13)</f>
        <v>147</v>
      </c>
      <c r="I13" s="1"/>
      <c r="J13" s="55" t="s">
        <v>81</v>
      </c>
      <c r="K13" s="68">
        <v>0</v>
      </c>
      <c r="L13" s="68">
        <v>0</v>
      </c>
      <c r="M13" s="68">
        <v>5</v>
      </c>
      <c r="N13" s="68">
        <v>0</v>
      </c>
      <c r="O13" s="68">
        <v>0</v>
      </c>
      <c r="P13" s="68">
        <v>0</v>
      </c>
      <c r="Q13" s="40">
        <f t="shared" si="2"/>
        <v>5</v>
      </c>
      <c r="R13" s="4"/>
      <c r="S13" s="1"/>
    </row>
    <row r="14" spans="1:19" x14ac:dyDescent="0.25">
      <c r="A14" s="7" t="s">
        <v>18</v>
      </c>
      <c r="B14" s="17">
        <v>36</v>
      </c>
      <c r="C14" s="11">
        <v>2</v>
      </c>
      <c r="D14" s="11">
        <v>77</v>
      </c>
      <c r="E14" s="11">
        <v>2</v>
      </c>
      <c r="F14" s="11">
        <v>6</v>
      </c>
      <c r="G14" s="11">
        <v>0</v>
      </c>
      <c r="H14" s="12">
        <f t="shared" ref="H14:H48" si="4">SUM(B14:G14)</f>
        <v>123</v>
      </c>
      <c r="I14" s="1"/>
      <c r="J14" s="56" t="s">
        <v>5</v>
      </c>
      <c r="K14" s="68">
        <v>3</v>
      </c>
      <c r="L14" s="68">
        <v>0</v>
      </c>
      <c r="M14" s="68">
        <v>69</v>
      </c>
      <c r="N14" s="68">
        <v>4</v>
      </c>
      <c r="O14" s="68">
        <v>1</v>
      </c>
      <c r="P14" s="68">
        <v>0</v>
      </c>
      <c r="Q14" s="40">
        <f>SUM(K14:P14)</f>
        <v>77</v>
      </c>
      <c r="R14" s="4"/>
      <c r="S14" s="1"/>
    </row>
    <row r="15" spans="1:19" x14ac:dyDescent="0.25">
      <c r="A15" s="7" t="s">
        <v>19</v>
      </c>
      <c r="B15" s="17">
        <v>86</v>
      </c>
      <c r="C15" s="11">
        <v>104</v>
      </c>
      <c r="D15" s="13">
        <v>26</v>
      </c>
      <c r="E15" s="13">
        <v>1</v>
      </c>
      <c r="F15" s="13">
        <v>0</v>
      </c>
      <c r="G15" s="13">
        <v>0</v>
      </c>
      <c r="H15" s="12">
        <f>SUM(B15:G15)</f>
        <v>217</v>
      </c>
      <c r="I15" s="1"/>
      <c r="J15" s="56" t="s">
        <v>80</v>
      </c>
      <c r="K15" s="68">
        <v>54</v>
      </c>
      <c r="L15" s="68">
        <v>0</v>
      </c>
      <c r="M15" s="68">
        <v>35</v>
      </c>
      <c r="N15" s="68">
        <v>1</v>
      </c>
      <c r="O15" s="68">
        <v>0</v>
      </c>
      <c r="P15" s="68">
        <v>0</v>
      </c>
      <c r="Q15" s="40">
        <f t="shared" si="2"/>
        <v>90</v>
      </c>
      <c r="R15" s="4"/>
      <c r="S15" s="1"/>
    </row>
    <row r="16" spans="1:19" x14ac:dyDescent="0.25">
      <c r="A16" s="7" t="s">
        <v>27</v>
      </c>
      <c r="B16" s="10">
        <v>760</v>
      </c>
      <c r="C16" s="11">
        <v>1586</v>
      </c>
      <c r="D16" s="11">
        <v>840</v>
      </c>
      <c r="E16" s="11">
        <v>72</v>
      </c>
      <c r="F16" s="11">
        <v>43</v>
      </c>
      <c r="G16" s="11">
        <v>17</v>
      </c>
      <c r="H16" s="12">
        <f t="shared" si="4"/>
        <v>3318</v>
      </c>
      <c r="I16" s="1"/>
      <c r="J16" s="57" t="s">
        <v>83</v>
      </c>
      <c r="K16" s="69">
        <v>5</v>
      </c>
      <c r="L16" s="69">
        <v>0</v>
      </c>
      <c r="M16" s="69">
        <v>0</v>
      </c>
      <c r="N16" s="69">
        <v>0</v>
      </c>
      <c r="O16" s="69">
        <v>0</v>
      </c>
      <c r="P16" s="69">
        <v>0</v>
      </c>
      <c r="Q16" s="40">
        <f t="shared" si="2"/>
        <v>5</v>
      </c>
      <c r="R16" s="4"/>
      <c r="S16" s="1"/>
    </row>
    <row r="17" spans="1:19" x14ac:dyDescent="0.25">
      <c r="A17" s="7" t="s">
        <v>186</v>
      </c>
      <c r="B17" s="10">
        <v>0</v>
      </c>
      <c r="C17" s="11">
        <v>0</v>
      </c>
      <c r="D17" s="11">
        <v>10</v>
      </c>
      <c r="E17" s="11">
        <v>0</v>
      </c>
      <c r="F17" s="11">
        <v>0</v>
      </c>
      <c r="G17" s="11">
        <v>0</v>
      </c>
      <c r="H17" s="12">
        <f t="shared" si="4"/>
        <v>10</v>
      </c>
      <c r="I17" s="1"/>
      <c r="J17" s="50" t="s">
        <v>162</v>
      </c>
      <c r="K17" s="69">
        <v>300</v>
      </c>
      <c r="L17" s="69">
        <v>0</v>
      </c>
      <c r="M17" s="69">
        <v>305</v>
      </c>
      <c r="N17" s="69">
        <v>0</v>
      </c>
      <c r="O17" s="69">
        <v>0</v>
      </c>
      <c r="P17" s="69">
        <v>0</v>
      </c>
      <c r="Q17" s="40">
        <f t="shared" si="2"/>
        <v>605</v>
      </c>
      <c r="R17" s="4"/>
      <c r="S17" s="1"/>
    </row>
    <row r="18" spans="1:19" x14ac:dyDescent="0.25">
      <c r="A18" s="7" t="s">
        <v>188</v>
      </c>
      <c r="B18" s="10">
        <v>19</v>
      </c>
      <c r="C18" s="11">
        <v>2</v>
      </c>
      <c r="D18" s="11">
        <v>66</v>
      </c>
      <c r="E18" s="11">
        <v>2</v>
      </c>
      <c r="F18" s="11">
        <v>5</v>
      </c>
      <c r="G18" s="11">
        <v>0</v>
      </c>
      <c r="H18" s="12">
        <f t="shared" si="4"/>
        <v>94</v>
      </c>
      <c r="I18" s="1"/>
      <c r="J18" s="50" t="s">
        <v>163</v>
      </c>
      <c r="K18" s="69">
        <v>300</v>
      </c>
      <c r="L18" s="69">
        <v>0</v>
      </c>
      <c r="M18" s="69">
        <v>305</v>
      </c>
      <c r="N18" s="69">
        <v>0</v>
      </c>
      <c r="O18" s="69">
        <v>0</v>
      </c>
      <c r="P18" s="69">
        <v>0</v>
      </c>
      <c r="Q18" s="40">
        <f t="shared" si="2"/>
        <v>605</v>
      </c>
      <c r="R18" s="4"/>
      <c r="S18" s="1"/>
    </row>
    <row r="19" spans="1:19" x14ac:dyDescent="0.25">
      <c r="A19" s="7" t="s">
        <v>28</v>
      </c>
      <c r="B19" s="17">
        <v>90</v>
      </c>
      <c r="C19" s="11">
        <v>29</v>
      </c>
      <c r="D19" s="11">
        <v>166</v>
      </c>
      <c r="E19" s="11">
        <v>12</v>
      </c>
      <c r="F19" s="11">
        <v>13</v>
      </c>
      <c r="G19" s="11">
        <v>0</v>
      </c>
      <c r="H19" s="12">
        <f t="shared" si="4"/>
        <v>310</v>
      </c>
      <c r="I19" s="1"/>
      <c r="J19" s="50" t="s">
        <v>164</v>
      </c>
      <c r="K19" s="69">
        <v>300</v>
      </c>
      <c r="L19" s="69">
        <v>0</v>
      </c>
      <c r="M19" s="69">
        <v>305</v>
      </c>
      <c r="N19" s="69">
        <v>0</v>
      </c>
      <c r="O19" s="69">
        <v>0</v>
      </c>
      <c r="P19" s="69">
        <v>0</v>
      </c>
      <c r="Q19" s="40">
        <f t="shared" si="2"/>
        <v>605</v>
      </c>
      <c r="R19" s="4"/>
      <c r="S19" s="1"/>
    </row>
    <row r="20" spans="1:19" x14ac:dyDescent="0.25">
      <c r="A20" s="7" t="s">
        <v>29</v>
      </c>
      <c r="B20" s="10">
        <v>2</v>
      </c>
      <c r="C20" s="11">
        <v>0</v>
      </c>
      <c r="D20" s="11">
        <v>25</v>
      </c>
      <c r="E20" s="11">
        <v>0</v>
      </c>
      <c r="F20" s="11">
        <v>0</v>
      </c>
      <c r="G20" s="11">
        <v>0</v>
      </c>
      <c r="H20" s="12">
        <f t="shared" si="4"/>
        <v>27</v>
      </c>
      <c r="I20" s="1"/>
      <c r="J20" s="50" t="s">
        <v>194</v>
      </c>
      <c r="K20" s="69">
        <v>8</v>
      </c>
      <c r="L20" s="69">
        <v>0</v>
      </c>
      <c r="M20" s="69">
        <v>0</v>
      </c>
      <c r="N20" s="69">
        <v>0</v>
      </c>
      <c r="O20" s="69">
        <v>0</v>
      </c>
      <c r="P20" s="69">
        <v>0</v>
      </c>
      <c r="Q20" s="40">
        <f t="shared" si="2"/>
        <v>8</v>
      </c>
      <c r="R20" s="4"/>
      <c r="S20" s="1"/>
    </row>
    <row r="21" spans="1:19" x14ac:dyDescent="0.25">
      <c r="A21" s="7" t="s">
        <v>20</v>
      </c>
      <c r="B21" s="17">
        <v>812</v>
      </c>
      <c r="C21" s="11">
        <v>1573</v>
      </c>
      <c r="D21" s="11">
        <v>901</v>
      </c>
      <c r="E21" s="11">
        <v>63</v>
      </c>
      <c r="F21" s="11">
        <v>48</v>
      </c>
      <c r="G21" s="11">
        <v>1</v>
      </c>
      <c r="H21" s="12">
        <f t="shared" si="4"/>
        <v>3398</v>
      </c>
      <c r="I21" s="1"/>
      <c r="J21" s="50" t="s">
        <v>221</v>
      </c>
      <c r="K21" s="69"/>
      <c r="L21" s="69"/>
      <c r="M21" s="69"/>
      <c r="N21" s="69"/>
      <c r="O21" s="69"/>
      <c r="P21" s="69"/>
      <c r="Q21" s="40"/>
      <c r="R21" s="4"/>
      <c r="S21" s="1"/>
    </row>
    <row r="22" spans="1:19" x14ac:dyDescent="0.25">
      <c r="A22" s="7" t="s">
        <v>25</v>
      </c>
      <c r="B22" s="17">
        <v>1</v>
      </c>
      <c r="C22" s="11">
        <v>0</v>
      </c>
      <c r="D22" s="11">
        <v>4</v>
      </c>
      <c r="E22" s="11">
        <v>1</v>
      </c>
      <c r="F22" s="11">
        <v>0</v>
      </c>
      <c r="G22" s="11">
        <v>0</v>
      </c>
      <c r="H22" s="12">
        <f t="shared" si="4"/>
        <v>6</v>
      </c>
      <c r="I22" s="1"/>
      <c r="J22" s="58" t="s">
        <v>6</v>
      </c>
      <c r="K22" s="68">
        <v>0</v>
      </c>
      <c r="L22" s="68">
        <v>0</v>
      </c>
      <c r="M22" s="68">
        <v>0</v>
      </c>
      <c r="N22" s="68">
        <v>0</v>
      </c>
      <c r="O22" s="68">
        <v>0</v>
      </c>
      <c r="P22" s="68">
        <v>0</v>
      </c>
      <c r="Q22" s="40">
        <f t="shared" si="2"/>
        <v>0</v>
      </c>
      <c r="R22" s="4"/>
      <c r="S22" s="1"/>
    </row>
    <row r="23" spans="1:19" ht="15.75" thickBot="1" x14ac:dyDescent="0.3">
      <c r="A23" s="7" t="s">
        <v>218</v>
      </c>
      <c r="B23" s="17">
        <v>2</v>
      </c>
      <c r="C23" s="11">
        <v>0</v>
      </c>
      <c r="D23" s="11">
        <v>23</v>
      </c>
      <c r="E23" s="11">
        <v>0</v>
      </c>
      <c r="F23" s="11">
        <v>4</v>
      </c>
      <c r="G23" s="11">
        <v>0</v>
      </c>
      <c r="H23" s="12">
        <f t="shared" si="4"/>
        <v>29</v>
      </c>
      <c r="I23" s="1"/>
      <c r="J23" s="59" t="s">
        <v>7</v>
      </c>
      <c r="K23" s="94">
        <v>0</v>
      </c>
      <c r="L23" s="94">
        <v>0</v>
      </c>
      <c r="M23" s="94">
        <v>0</v>
      </c>
      <c r="N23" s="94">
        <v>0</v>
      </c>
      <c r="O23" s="94">
        <v>0</v>
      </c>
      <c r="P23" s="94">
        <v>0</v>
      </c>
      <c r="Q23" s="46">
        <f t="shared" si="2"/>
        <v>0</v>
      </c>
      <c r="R23" s="4"/>
      <c r="S23" s="1"/>
    </row>
    <row r="24" spans="1:19" x14ac:dyDescent="0.25">
      <c r="A24" s="7" t="s">
        <v>21</v>
      </c>
      <c r="B24" s="17">
        <v>810</v>
      </c>
      <c r="C24" s="11">
        <v>1571</v>
      </c>
      <c r="D24" s="11">
        <v>884</v>
      </c>
      <c r="E24" s="11">
        <v>58</v>
      </c>
      <c r="F24" s="11">
        <v>43</v>
      </c>
      <c r="G24" s="11">
        <v>2</v>
      </c>
      <c r="H24" s="12">
        <f t="shared" si="4"/>
        <v>3368</v>
      </c>
      <c r="I24" s="1"/>
      <c r="J24" s="1"/>
      <c r="K24" s="1"/>
      <c r="L24" s="1"/>
      <c r="M24" s="1"/>
      <c r="N24" s="1"/>
      <c r="O24" s="1"/>
      <c r="P24" s="1"/>
      <c r="Q24" s="1"/>
      <c r="R24" s="4"/>
      <c r="S24" s="1"/>
    </row>
    <row r="25" spans="1:19" ht="15.75" thickBot="1" x14ac:dyDescent="0.3">
      <c r="A25" s="7" t="s">
        <v>24</v>
      </c>
      <c r="B25" s="17">
        <v>19</v>
      </c>
      <c r="C25" s="11">
        <v>7</v>
      </c>
      <c r="D25" s="11">
        <v>42</v>
      </c>
      <c r="E25" s="11">
        <v>0</v>
      </c>
      <c r="F25" s="11">
        <v>3</v>
      </c>
      <c r="G25" s="11">
        <v>0</v>
      </c>
      <c r="H25" s="12">
        <f t="shared" si="4"/>
        <v>71</v>
      </c>
      <c r="I25" s="1"/>
      <c r="J25" s="1"/>
      <c r="K25" s="1"/>
      <c r="L25" s="1"/>
      <c r="M25" s="1"/>
      <c r="N25" s="1"/>
      <c r="O25" s="1"/>
      <c r="P25" s="1"/>
      <c r="Q25" s="1"/>
      <c r="R25" s="4"/>
      <c r="S25" s="1"/>
    </row>
    <row r="26" spans="1:19" x14ac:dyDescent="0.25">
      <c r="A26" s="7" t="s">
        <v>79</v>
      </c>
      <c r="B26" s="17">
        <v>555</v>
      </c>
      <c r="C26" s="11">
        <v>572</v>
      </c>
      <c r="D26" s="11">
        <v>412</v>
      </c>
      <c r="E26" s="11">
        <v>18</v>
      </c>
      <c r="F26" s="11">
        <v>11</v>
      </c>
      <c r="G26" s="11">
        <v>1</v>
      </c>
      <c r="H26" s="12">
        <f t="shared" si="4"/>
        <v>1569</v>
      </c>
      <c r="I26" s="1"/>
      <c r="J26" s="134" t="s">
        <v>169</v>
      </c>
      <c r="K26" s="136" t="s">
        <v>11</v>
      </c>
      <c r="L26" s="136"/>
      <c r="M26" s="136"/>
      <c r="N26" s="136"/>
      <c r="O26" s="136"/>
      <c r="P26" s="136"/>
      <c r="Q26" s="137"/>
      <c r="R26" s="4"/>
      <c r="S26" s="1"/>
    </row>
    <row r="27" spans="1:19" x14ac:dyDescent="0.25">
      <c r="A27" s="7" t="s">
        <v>75</v>
      </c>
      <c r="B27" s="17">
        <v>555</v>
      </c>
      <c r="C27" s="11">
        <v>572</v>
      </c>
      <c r="D27" s="11">
        <v>412</v>
      </c>
      <c r="E27" s="11">
        <v>18</v>
      </c>
      <c r="F27" s="11">
        <v>11</v>
      </c>
      <c r="G27" s="11">
        <v>1</v>
      </c>
      <c r="H27" s="12">
        <f t="shared" si="4"/>
        <v>1569</v>
      </c>
      <c r="I27" s="1"/>
      <c r="J27" s="135"/>
      <c r="K27" s="30" t="s">
        <v>8</v>
      </c>
      <c r="L27" s="30" t="s">
        <v>9</v>
      </c>
      <c r="M27" s="30" t="s">
        <v>176</v>
      </c>
      <c r="N27" s="30" t="s">
        <v>154</v>
      </c>
      <c r="O27" s="30" t="s">
        <v>155</v>
      </c>
      <c r="P27" s="60" t="s">
        <v>147</v>
      </c>
      <c r="Q27" s="54" t="s">
        <v>11</v>
      </c>
      <c r="R27" s="4"/>
      <c r="S27" s="1"/>
    </row>
    <row r="28" spans="1:19" x14ac:dyDescent="0.25">
      <c r="A28" s="7" t="s">
        <v>76</v>
      </c>
      <c r="B28" s="17">
        <v>601</v>
      </c>
      <c r="C28" s="11">
        <v>621</v>
      </c>
      <c r="D28" s="11">
        <v>459</v>
      </c>
      <c r="E28" s="11">
        <v>20</v>
      </c>
      <c r="F28" s="11">
        <v>20</v>
      </c>
      <c r="G28" s="11">
        <v>3</v>
      </c>
      <c r="H28" s="12">
        <f t="shared" si="4"/>
        <v>1724</v>
      </c>
      <c r="I28" s="1"/>
      <c r="J28" s="79" t="s">
        <v>146</v>
      </c>
      <c r="K28" s="74">
        <f t="shared" ref="K28:P28" si="5">SUM(K29:K37)</f>
        <v>177</v>
      </c>
      <c r="L28" s="74">
        <f t="shared" si="5"/>
        <v>558</v>
      </c>
      <c r="M28" s="74">
        <f t="shared" si="5"/>
        <v>362</v>
      </c>
      <c r="N28" s="74">
        <f t="shared" si="5"/>
        <v>0</v>
      </c>
      <c r="O28" s="74">
        <f t="shared" si="5"/>
        <v>0</v>
      </c>
      <c r="P28" s="74">
        <f t="shared" si="5"/>
        <v>0</v>
      </c>
      <c r="Q28" s="80">
        <f>SUM(K28:P28)</f>
        <v>1097</v>
      </c>
      <c r="R28" s="4"/>
      <c r="S28" s="1"/>
    </row>
    <row r="29" spans="1:19" x14ac:dyDescent="0.25">
      <c r="A29" s="7" t="s">
        <v>74</v>
      </c>
      <c r="B29" s="17">
        <v>605</v>
      </c>
      <c r="C29" s="11">
        <v>621</v>
      </c>
      <c r="D29" s="11">
        <v>458</v>
      </c>
      <c r="E29" s="11">
        <v>10</v>
      </c>
      <c r="F29" s="11">
        <v>20</v>
      </c>
      <c r="G29" s="11">
        <v>3</v>
      </c>
      <c r="H29" s="12">
        <f t="shared" si="4"/>
        <v>1717</v>
      </c>
      <c r="I29" s="1"/>
      <c r="J29" s="45" t="s">
        <v>64</v>
      </c>
      <c r="K29" s="68">
        <v>117</v>
      </c>
      <c r="L29" s="68">
        <v>4</v>
      </c>
      <c r="M29" s="68">
        <v>103</v>
      </c>
      <c r="N29" s="68">
        <v>0</v>
      </c>
      <c r="O29" s="68">
        <v>0</v>
      </c>
      <c r="P29" s="69">
        <v>0</v>
      </c>
      <c r="Q29" s="40">
        <f>SUM(K29:P29)</f>
        <v>224</v>
      </c>
      <c r="R29" s="4"/>
      <c r="S29" s="1"/>
    </row>
    <row r="30" spans="1:19" x14ac:dyDescent="0.25">
      <c r="A30" s="7" t="s">
        <v>22</v>
      </c>
      <c r="B30" s="17">
        <v>639</v>
      </c>
      <c r="C30" s="11">
        <v>651</v>
      </c>
      <c r="D30" s="11">
        <v>626</v>
      </c>
      <c r="E30" s="11">
        <v>31</v>
      </c>
      <c r="F30" s="11">
        <v>32</v>
      </c>
      <c r="G30" s="11">
        <v>2</v>
      </c>
      <c r="H30" s="12">
        <f t="shared" si="4"/>
        <v>1981</v>
      </c>
      <c r="I30" s="1"/>
      <c r="J30" s="45" t="s">
        <v>170</v>
      </c>
      <c r="K30" s="68">
        <v>0</v>
      </c>
      <c r="L30" s="68">
        <v>0</v>
      </c>
      <c r="M30" s="68">
        <v>1</v>
      </c>
      <c r="N30" s="68">
        <v>0</v>
      </c>
      <c r="O30" s="68">
        <v>0</v>
      </c>
      <c r="P30" s="69">
        <v>0</v>
      </c>
      <c r="Q30" s="40">
        <f>SUM(K30:P30)</f>
        <v>1</v>
      </c>
      <c r="R30" s="4"/>
      <c r="S30" s="1"/>
    </row>
    <row r="31" spans="1:19" x14ac:dyDescent="0.25">
      <c r="A31" s="7" t="s">
        <v>23</v>
      </c>
      <c r="B31" s="17">
        <v>639</v>
      </c>
      <c r="C31" s="11">
        <v>651</v>
      </c>
      <c r="D31" s="11">
        <v>625</v>
      </c>
      <c r="E31" s="11">
        <v>31</v>
      </c>
      <c r="F31" s="11">
        <v>32</v>
      </c>
      <c r="G31" s="11">
        <v>2</v>
      </c>
      <c r="H31" s="12">
        <f t="shared" si="4"/>
        <v>1980</v>
      </c>
      <c r="I31" s="1"/>
      <c r="J31" s="45" t="s">
        <v>171</v>
      </c>
      <c r="K31" s="68">
        <v>0</v>
      </c>
      <c r="L31" s="68">
        <v>0</v>
      </c>
      <c r="M31" s="68">
        <v>30</v>
      </c>
      <c r="N31" s="68">
        <v>0</v>
      </c>
      <c r="O31" s="68">
        <v>0</v>
      </c>
      <c r="P31" s="69">
        <v>0</v>
      </c>
      <c r="Q31" s="40">
        <f>SUM(K31:P31)</f>
        <v>30</v>
      </c>
      <c r="R31" s="4"/>
      <c r="S31" s="1"/>
    </row>
    <row r="32" spans="1:19" x14ac:dyDescent="0.25">
      <c r="A32" s="7" t="s">
        <v>202</v>
      </c>
      <c r="B32" s="17">
        <v>0</v>
      </c>
      <c r="C32" s="11">
        <v>0</v>
      </c>
      <c r="D32" s="11">
        <v>1</v>
      </c>
      <c r="E32" s="11">
        <v>0</v>
      </c>
      <c r="F32" s="11">
        <v>0</v>
      </c>
      <c r="G32" s="11">
        <v>0</v>
      </c>
      <c r="H32" s="12">
        <f t="shared" si="4"/>
        <v>1</v>
      </c>
      <c r="I32" s="1"/>
      <c r="J32" s="49" t="s">
        <v>65</v>
      </c>
      <c r="K32" s="68">
        <v>42</v>
      </c>
      <c r="L32" s="68">
        <v>375</v>
      </c>
      <c r="M32" s="68">
        <v>34</v>
      </c>
      <c r="N32" s="68">
        <v>0</v>
      </c>
      <c r="O32" s="68">
        <v>0</v>
      </c>
      <c r="P32" s="69">
        <v>0</v>
      </c>
      <c r="Q32" s="40">
        <f t="shared" ref="Q32:Q37" si="6">SUM(K32:P32)</f>
        <v>451</v>
      </c>
      <c r="R32" s="4"/>
      <c r="S32" s="1"/>
    </row>
    <row r="33" spans="1:19" x14ac:dyDescent="0.25">
      <c r="A33" s="7" t="s">
        <v>159</v>
      </c>
      <c r="B33" s="17">
        <v>263</v>
      </c>
      <c r="C33" s="11">
        <v>157</v>
      </c>
      <c r="D33" s="11">
        <v>58</v>
      </c>
      <c r="E33" s="11">
        <v>0</v>
      </c>
      <c r="F33" s="11">
        <v>0</v>
      </c>
      <c r="G33" s="11">
        <v>0</v>
      </c>
      <c r="H33" s="12">
        <f t="shared" si="4"/>
        <v>478</v>
      </c>
      <c r="I33" s="1"/>
      <c r="J33" s="50" t="s">
        <v>130</v>
      </c>
      <c r="K33" s="70">
        <v>0</v>
      </c>
      <c r="L33" s="70">
        <v>0</v>
      </c>
      <c r="M33" s="70">
        <v>167</v>
      </c>
      <c r="N33" s="70">
        <v>0</v>
      </c>
      <c r="O33" s="70">
        <v>0</v>
      </c>
      <c r="P33" s="69">
        <v>0</v>
      </c>
      <c r="Q33" s="40">
        <f t="shared" si="6"/>
        <v>167</v>
      </c>
      <c r="R33" s="4"/>
      <c r="S33" s="1"/>
    </row>
    <row r="34" spans="1:19" x14ac:dyDescent="0.25">
      <c r="A34" s="7" t="s">
        <v>26</v>
      </c>
      <c r="B34" s="17">
        <v>812</v>
      </c>
      <c r="C34" s="11">
        <v>1265</v>
      </c>
      <c r="D34" s="11">
        <v>151</v>
      </c>
      <c r="E34" s="11">
        <v>38</v>
      </c>
      <c r="F34" s="11">
        <v>11</v>
      </c>
      <c r="G34" s="11">
        <v>2</v>
      </c>
      <c r="H34" s="12">
        <f t="shared" si="4"/>
        <v>2279</v>
      </c>
      <c r="I34" s="1"/>
      <c r="J34" s="67" t="s">
        <v>131</v>
      </c>
      <c r="K34" s="65">
        <v>0</v>
      </c>
      <c r="L34" s="65">
        <v>0</v>
      </c>
      <c r="M34" s="65">
        <v>19</v>
      </c>
      <c r="N34" s="65">
        <v>0</v>
      </c>
      <c r="O34" s="65">
        <v>0</v>
      </c>
      <c r="P34" s="31">
        <v>0</v>
      </c>
      <c r="Q34" s="40">
        <f t="shared" si="6"/>
        <v>19</v>
      </c>
      <c r="R34" s="4"/>
      <c r="S34" s="1"/>
    </row>
    <row r="35" spans="1:19" x14ac:dyDescent="0.25">
      <c r="A35" s="7" t="s">
        <v>82</v>
      </c>
      <c r="B35" s="17">
        <v>493</v>
      </c>
      <c r="C35" s="11">
        <v>0</v>
      </c>
      <c r="D35" s="11">
        <v>353</v>
      </c>
      <c r="E35" s="11">
        <v>14</v>
      </c>
      <c r="F35" s="11">
        <v>8</v>
      </c>
      <c r="G35" s="11">
        <v>1</v>
      </c>
      <c r="H35" s="12">
        <f t="shared" si="4"/>
        <v>869</v>
      </c>
      <c r="I35" s="1"/>
      <c r="J35" s="67" t="s">
        <v>160</v>
      </c>
      <c r="K35" s="65">
        <v>0</v>
      </c>
      <c r="L35" s="65">
        <v>174</v>
      </c>
      <c r="M35" s="65">
        <v>0</v>
      </c>
      <c r="N35" s="65">
        <v>0</v>
      </c>
      <c r="O35" s="65">
        <v>0</v>
      </c>
      <c r="P35" s="31">
        <v>0</v>
      </c>
      <c r="Q35" s="40">
        <f t="shared" si="6"/>
        <v>174</v>
      </c>
      <c r="R35" s="4"/>
      <c r="S35" s="1"/>
    </row>
    <row r="36" spans="1:19" x14ac:dyDescent="0.25">
      <c r="A36" s="7" t="s">
        <v>30</v>
      </c>
      <c r="B36" s="17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2">
        <f t="shared" si="4"/>
        <v>0</v>
      </c>
      <c r="I36" s="1"/>
      <c r="J36" s="67" t="s">
        <v>211</v>
      </c>
      <c r="K36" s="65">
        <v>18</v>
      </c>
      <c r="L36" s="65">
        <v>5</v>
      </c>
      <c r="M36" s="65">
        <v>8</v>
      </c>
      <c r="N36" s="65">
        <v>0</v>
      </c>
      <c r="O36" s="65">
        <v>0</v>
      </c>
      <c r="P36" s="31">
        <v>0</v>
      </c>
      <c r="Q36" s="40">
        <f t="shared" si="6"/>
        <v>31</v>
      </c>
      <c r="R36" s="4"/>
      <c r="S36" s="1"/>
    </row>
    <row r="37" spans="1:19" ht="15.75" thickBot="1" x14ac:dyDescent="0.3">
      <c r="A37" s="7" t="s">
        <v>31</v>
      </c>
      <c r="B37" s="17">
        <v>29</v>
      </c>
      <c r="C37" s="11">
        <v>21</v>
      </c>
      <c r="D37" s="11">
        <v>2</v>
      </c>
      <c r="E37" s="11">
        <v>0</v>
      </c>
      <c r="F37" s="11">
        <v>2</v>
      </c>
      <c r="G37" s="11">
        <v>0</v>
      </c>
      <c r="H37" s="12">
        <f t="shared" si="4"/>
        <v>54</v>
      </c>
      <c r="I37" s="1"/>
      <c r="J37" s="51" t="s">
        <v>161</v>
      </c>
      <c r="K37" s="71">
        <v>0</v>
      </c>
      <c r="L37" s="71">
        <v>0</v>
      </c>
      <c r="M37" s="71">
        <v>0</v>
      </c>
      <c r="N37" s="71">
        <v>0</v>
      </c>
      <c r="O37" s="71">
        <v>0</v>
      </c>
      <c r="P37" s="72">
        <v>0</v>
      </c>
      <c r="Q37" s="46">
        <f t="shared" si="6"/>
        <v>0</v>
      </c>
      <c r="R37" s="4"/>
      <c r="S37" s="1"/>
    </row>
    <row r="38" spans="1:19" ht="15.75" thickBot="1" x14ac:dyDescent="0.3">
      <c r="A38" s="7" t="s">
        <v>66</v>
      </c>
      <c r="B38" s="17">
        <v>106</v>
      </c>
      <c r="C38" s="11">
        <v>36</v>
      </c>
      <c r="D38" s="11">
        <v>316</v>
      </c>
      <c r="E38" s="11">
        <v>22</v>
      </c>
      <c r="F38" s="11">
        <v>26</v>
      </c>
      <c r="G38" s="11">
        <v>15</v>
      </c>
      <c r="H38" s="12">
        <f t="shared" si="4"/>
        <v>521</v>
      </c>
      <c r="I38" s="1"/>
      <c r="J38" s="34"/>
      <c r="K38" s="34"/>
      <c r="L38" s="34"/>
      <c r="M38" s="34"/>
      <c r="N38" s="34"/>
      <c r="O38" s="34"/>
      <c r="P38" s="34"/>
      <c r="R38" s="4"/>
      <c r="S38" s="1"/>
    </row>
    <row r="39" spans="1:19" x14ac:dyDescent="0.25">
      <c r="A39" s="7" t="s">
        <v>67</v>
      </c>
      <c r="B39" s="17">
        <v>107</v>
      </c>
      <c r="C39" s="11">
        <v>38</v>
      </c>
      <c r="D39" s="11">
        <v>320</v>
      </c>
      <c r="E39" s="11">
        <v>25</v>
      </c>
      <c r="F39" s="11">
        <v>26</v>
      </c>
      <c r="G39" s="11">
        <v>15</v>
      </c>
      <c r="H39" s="12">
        <f t="shared" si="4"/>
        <v>531</v>
      </c>
      <c r="I39" s="1"/>
      <c r="J39" s="134" t="s">
        <v>136</v>
      </c>
      <c r="K39" s="136" t="s">
        <v>11</v>
      </c>
      <c r="L39" s="136"/>
      <c r="M39" s="136"/>
      <c r="N39" s="136"/>
      <c r="O39" s="136"/>
      <c r="P39" s="136"/>
      <c r="Q39" s="137"/>
      <c r="R39" s="4"/>
      <c r="S39" s="1"/>
    </row>
    <row r="40" spans="1:19" x14ac:dyDescent="0.25">
      <c r="A40" s="7" t="s">
        <v>77</v>
      </c>
      <c r="B40" s="17">
        <v>72</v>
      </c>
      <c r="C40" s="11">
        <v>5</v>
      </c>
      <c r="D40" s="11">
        <v>186</v>
      </c>
      <c r="E40" s="11">
        <v>11</v>
      </c>
      <c r="F40" s="11">
        <v>8</v>
      </c>
      <c r="G40" s="11">
        <v>1</v>
      </c>
      <c r="H40" s="12">
        <f t="shared" si="4"/>
        <v>283</v>
      </c>
      <c r="I40" s="1"/>
      <c r="J40" s="135"/>
      <c r="K40" s="30" t="s">
        <v>8</v>
      </c>
      <c r="L40" s="30" t="s">
        <v>9</v>
      </c>
      <c r="M40" s="30" t="s">
        <v>10</v>
      </c>
      <c r="N40" s="30" t="s">
        <v>154</v>
      </c>
      <c r="O40" s="30" t="s">
        <v>155</v>
      </c>
      <c r="P40" s="30" t="s">
        <v>147</v>
      </c>
      <c r="Q40" s="54" t="s">
        <v>11</v>
      </c>
      <c r="R40" s="4"/>
      <c r="S40" s="1"/>
    </row>
    <row r="41" spans="1:19" ht="15.75" thickBot="1" x14ac:dyDescent="0.3">
      <c r="A41" s="7" t="s">
        <v>78</v>
      </c>
      <c r="B41" s="17">
        <v>73</v>
      </c>
      <c r="C41" s="11">
        <v>5</v>
      </c>
      <c r="D41" s="11">
        <v>194</v>
      </c>
      <c r="E41" s="11">
        <v>11</v>
      </c>
      <c r="F41" s="11">
        <v>8</v>
      </c>
      <c r="G41" s="11">
        <v>1</v>
      </c>
      <c r="H41" s="12">
        <f t="shared" si="4"/>
        <v>292</v>
      </c>
      <c r="I41" s="1"/>
      <c r="J41" s="95" t="s">
        <v>150</v>
      </c>
      <c r="K41" s="29">
        <f t="shared" ref="K41:P41" si="7">SUM(K42:K49)</f>
        <v>596</v>
      </c>
      <c r="L41" s="29">
        <f t="shared" si="7"/>
        <v>299</v>
      </c>
      <c r="M41" s="29">
        <f t="shared" si="7"/>
        <v>0</v>
      </c>
      <c r="N41" s="29">
        <f t="shared" si="7"/>
        <v>4</v>
      </c>
      <c r="O41" s="29">
        <f t="shared" si="7"/>
        <v>2</v>
      </c>
      <c r="P41" s="29">
        <f t="shared" si="7"/>
        <v>0</v>
      </c>
      <c r="Q41" s="96">
        <f>SUM(K41:P41)</f>
        <v>901</v>
      </c>
      <c r="R41" s="4"/>
      <c r="S41" s="1"/>
    </row>
    <row r="42" spans="1:19" x14ac:dyDescent="0.25">
      <c r="A42" s="7" t="s">
        <v>42</v>
      </c>
      <c r="B42" s="17">
        <v>3</v>
      </c>
      <c r="C42" s="11">
        <v>0</v>
      </c>
      <c r="D42" s="11">
        <v>4</v>
      </c>
      <c r="E42" s="11">
        <v>0</v>
      </c>
      <c r="F42" s="11">
        <v>0</v>
      </c>
      <c r="G42" s="11">
        <v>0</v>
      </c>
      <c r="H42" s="12">
        <f t="shared" si="4"/>
        <v>7</v>
      </c>
      <c r="I42" s="1"/>
      <c r="J42" s="97" t="s">
        <v>165</v>
      </c>
      <c r="K42" s="98">
        <v>0</v>
      </c>
      <c r="L42" s="98">
        <v>0</v>
      </c>
      <c r="M42" s="98">
        <v>0</v>
      </c>
      <c r="N42" s="98">
        <v>0</v>
      </c>
      <c r="O42" s="98">
        <v>0</v>
      </c>
      <c r="P42" s="98">
        <v>0</v>
      </c>
      <c r="Q42" s="99">
        <f t="shared" ref="Q42:Q49" si="8">SUM(K42:P42)</f>
        <v>0</v>
      </c>
      <c r="R42" s="4"/>
      <c r="S42" s="1"/>
    </row>
    <row r="43" spans="1:19" x14ac:dyDescent="0.25">
      <c r="A43" s="7" t="s">
        <v>43</v>
      </c>
      <c r="B43" s="17">
        <v>11</v>
      </c>
      <c r="C43" s="11">
        <v>0</v>
      </c>
      <c r="D43" s="11">
        <v>52</v>
      </c>
      <c r="E43" s="11">
        <v>2</v>
      </c>
      <c r="F43" s="11">
        <v>2</v>
      </c>
      <c r="G43" s="11">
        <v>0</v>
      </c>
      <c r="H43" s="12">
        <f t="shared" si="4"/>
        <v>67</v>
      </c>
      <c r="I43" s="1"/>
      <c r="J43" s="86" t="s">
        <v>166</v>
      </c>
      <c r="K43" s="89">
        <v>153</v>
      </c>
      <c r="L43" s="89">
        <v>89</v>
      </c>
      <c r="M43" s="89">
        <v>0</v>
      </c>
      <c r="N43" s="89">
        <v>2</v>
      </c>
      <c r="O43" s="89">
        <v>1</v>
      </c>
      <c r="P43" s="89">
        <v>0</v>
      </c>
      <c r="Q43" s="40">
        <f t="shared" si="8"/>
        <v>245</v>
      </c>
      <c r="R43" s="4"/>
      <c r="S43" s="1"/>
    </row>
    <row r="44" spans="1:19" x14ac:dyDescent="0.25">
      <c r="A44" s="7" t="s">
        <v>101</v>
      </c>
      <c r="B44" s="17">
        <v>19</v>
      </c>
      <c r="C44" s="11">
        <v>0</v>
      </c>
      <c r="D44" s="11">
        <v>14</v>
      </c>
      <c r="E44" s="11">
        <v>0</v>
      </c>
      <c r="F44" s="11">
        <v>2</v>
      </c>
      <c r="G44" s="11">
        <v>0</v>
      </c>
      <c r="H44" s="12">
        <f t="shared" si="4"/>
        <v>35</v>
      </c>
      <c r="I44" s="1"/>
      <c r="J44" s="86" t="s">
        <v>167</v>
      </c>
      <c r="K44" s="89">
        <v>6</v>
      </c>
      <c r="L44" s="89">
        <v>8</v>
      </c>
      <c r="M44" s="89">
        <v>0</v>
      </c>
      <c r="N44" s="89">
        <v>0</v>
      </c>
      <c r="O44" s="89">
        <v>0</v>
      </c>
      <c r="P44" s="89">
        <v>0</v>
      </c>
      <c r="Q44" s="40">
        <f t="shared" si="8"/>
        <v>14</v>
      </c>
      <c r="R44" s="4"/>
      <c r="S44" s="1"/>
    </row>
    <row r="45" spans="1:19" x14ac:dyDescent="0.25">
      <c r="A45" s="7" t="s">
        <v>95</v>
      </c>
      <c r="B45" s="37">
        <v>75</v>
      </c>
      <c r="C45" s="11">
        <v>93</v>
      </c>
      <c r="D45" s="11">
        <v>29</v>
      </c>
      <c r="E45" s="11">
        <v>1</v>
      </c>
      <c r="F45" s="11">
        <v>0</v>
      </c>
      <c r="G45" s="11">
        <v>0</v>
      </c>
      <c r="H45" s="12">
        <f t="shared" si="4"/>
        <v>198</v>
      </c>
      <c r="I45" s="1"/>
      <c r="J45" s="86" t="s">
        <v>168</v>
      </c>
      <c r="K45" s="89">
        <v>4</v>
      </c>
      <c r="L45" s="89">
        <v>0</v>
      </c>
      <c r="M45" s="89">
        <v>0</v>
      </c>
      <c r="N45" s="89">
        <v>0</v>
      </c>
      <c r="O45" s="89">
        <v>0</v>
      </c>
      <c r="P45" s="89">
        <v>0</v>
      </c>
      <c r="Q45" s="40">
        <f>SUM(K45:P45)</f>
        <v>4</v>
      </c>
      <c r="R45" s="4"/>
      <c r="S45" s="1"/>
    </row>
    <row r="46" spans="1:19" x14ac:dyDescent="0.25">
      <c r="A46" s="7" t="s">
        <v>96</v>
      </c>
      <c r="B46" s="37">
        <v>23</v>
      </c>
      <c r="C46" s="11">
        <v>0</v>
      </c>
      <c r="D46" s="11">
        <v>8</v>
      </c>
      <c r="E46" s="11">
        <v>0</v>
      </c>
      <c r="F46" s="11">
        <v>1</v>
      </c>
      <c r="G46" s="11">
        <v>0</v>
      </c>
      <c r="H46" s="12">
        <f t="shared" si="4"/>
        <v>32</v>
      </c>
      <c r="J46" s="86" t="s">
        <v>34</v>
      </c>
      <c r="K46" s="89">
        <v>5</v>
      </c>
      <c r="L46" s="89">
        <v>4</v>
      </c>
      <c r="M46" s="89">
        <v>0</v>
      </c>
      <c r="N46" s="89">
        <v>0</v>
      </c>
      <c r="O46" s="89">
        <v>0</v>
      </c>
      <c r="P46" s="89">
        <v>0</v>
      </c>
      <c r="Q46" s="40">
        <f t="shared" si="8"/>
        <v>9</v>
      </c>
      <c r="R46" s="4"/>
      <c r="S46" s="1"/>
    </row>
    <row r="47" spans="1:19" x14ac:dyDescent="0.25">
      <c r="A47" s="7" t="s">
        <v>97</v>
      </c>
      <c r="B47" s="37">
        <v>21</v>
      </c>
      <c r="C47" s="11">
        <v>15</v>
      </c>
      <c r="D47" s="11">
        <v>25</v>
      </c>
      <c r="E47" s="11">
        <v>1</v>
      </c>
      <c r="F47" s="11">
        <v>0</v>
      </c>
      <c r="G47" s="11">
        <v>0</v>
      </c>
      <c r="H47" s="12">
        <f t="shared" si="4"/>
        <v>62</v>
      </c>
      <c r="I47" s="1"/>
      <c r="J47" s="86" t="s">
        <v>179</v>
      </c>
      <c r="K47" s="89">
        <v>167</v>
      </c>
      <c r="L47" s="89">
        <v>96</v>
      </c>
      <c r="M47" s="89">
        <v>0</v>
      </c>
      <c r="N47" s="89">
        <v>0</v>
      </c>
      <c r="O47" s="89">
        <v>0</v>
      </c>
      <c r="P47" s="89">
        <v>0</v>
      </c>
      <c r="Q47" s="40">
        <f t="shared" si="8"/>
        <v>263</v>
      </c>
      <c r="R47" s="4"/>
      <c r="S47" s="1"/>
    </row>
    <row r="48" spans="1:19" x14ac:dyDescent="0.25">
      <c r="A48" s="36" t="s">
        <v>98</v>
      </c>
      <c r="B48" s="37">
        <v>21</v>
      </c>
      <c r="C48" s="11">
        <v>15</v>
      </c>
      <c r="D48" s="11">
        <v>25</v>
      </c>
      <c r="E48" s="11">
        <v>1</v>
      </c>
      <c r="F48" s="11">
        <v>0</v>
      </c>
      <c r="G48" s="11">
        <v>0</v>
      </c>
      <c r="H48" s="12">
        <f t="shared" si="4"/>
        <v>62</v>
      </c>
      <c r="I48" s="1"/>
      <c r="J48" s="86" t="s">
        <v>177</v>
      </c>
      <c r="K48" s="89">
        <v>244</v>
      </c>
      <c r="L48" s="89">
        <v>93</v>
      </c>
      <c r="M48" s="89">
        <v>0</v>
      </c>
      <c r="N48" s="89">
        <v>2</v>
      </c>
      <c r="O48" s="89">
        <v>1</v>
      </c>
      <c r="P48" s="89">
        <v>0</v>
      </c>
      <c r="Q48" s="40">
        <f t="shared" si="8"/>
        <v>340</v>
      </c>
      <c r="R48" s="4"/>
      <c r="S48" s="1"/>
    </row>
    <row r="49" spans="1:19" ht="15.75" thickBot="1" x14ac:dyDescent="0.3">
      <c r="A49" s="7" t="s">
        <v>86</v>
      </c>
      <c r="B49" s="17">
        <v>0</v>
      </c>
      <c r="C49" s="11">
        <v>615</v>
      </c>
      <c r="D49" s="11">
        <v>0</v>
      </c>
      <c r="E49" s="11">
        <v>1</v>
      </c>
      <c r="F49" s="11">
        <v>0</v>
      </c>
      <c r="G49" s="11">
        <v>0</v>
      </c>
      <c r="H49" s="14">
        <f>SUM(B49:G49)</f>
        <v>616</v>
      </c>
      <c r="I49" s="1"/>
      <c r="J49" s="87" t="s">
        <v>178</v>
      </c>
      <c r="K49" s="71">
        <v>17</v>
      </c>
      <c r="L49" s="71">
        <v>9</v>
      </c>
      <c r="M49" s="71">
        <v>0</v>
      </c>
      <c r="N49" s="71">
        <v>0</v>
      </c>
      <c r="O49" s="71">
        <v>0</v>
      </c>
      <c r="P49" s="71">
        <v>0</v>
      </c>
      <c r="Q49" s="46">
        <f t="shared" si="8"/>
        <v>26</v>
      </c>
      <c r="R49" s="4"/>
      <c r="S49" s="1"/>
    </row>
    <row r="50" spans="1:19" x14ac:dyDescent="0.25">
      <c r="A50" s="18" t="s">
        <v>87</v>
      </c>
      <c r="B50" s="38">
        <v>498</v>
      </c>
      <c r="C50" s="19">
        <v>497</v>
      </c>
      <c r="D50" s="19">
        <v>91</v>
      </c>
      <c r="E50" s="19">
        <v>13</v>
      </c>
      <c r="F50" s="21">
        <v>9</v>
      </c>
      <c r="G50" s="19">
        <v>0</v>
      </c>
      <c r="H50" s="14">
        <f>SUM(B50:G50)</f>
        <v>1108</v>
      </c>
      <c r="I50" s="1"/>
      <c r="J50" s="158"/>
      <c r="K50" s="158"/>
      <c r="L50" s="158"/>
      <c r="M50" s="158"/>
      <c r="N50" s="34"/>
      <c r="O50" s="34"/>
      <c r="P50" s="34"/>
      <c r="Q50" s="35"/>
      <c r="R50" s="4"/>
      <c r="S50" s="1"/>
    </row>
    <row r="51" spans="1:19" ht="15.75" thickBot="1" x14ac:dyDescent="0.3">
      <c r="A51" s="73" t="s">
        <v>139</v>
      </c>
      <c r="B51" s="75">
        <f t="shared" ref="B51:G51" si="9">SUM(B52:B68)</f>
        <v>2399</v>
      </c>
      <c r="C51" s="75">
        <f t="shared" si="9"/>
        <v>4969</v>
      </c>
      <c r="D51" s="77">
        <f t="shared" si="9"/>
        <v>2430</v>
      </c>
      <c r="E51" s="75">
        <f t="shared" si="9"/>
        <v>154</v>
      </c>
      <c r="F51" s="75">
        <f t="shared" si="9"/>
        <v>98</v>
      </c>
      <c r="G51" s="78">
        <f t="shared" si="9"/>
        <v>37</v>
      </c>
      <c r="H51" s="75">
        <f>SUM(B51:G51)</f>
        <v>10087</v>
      </c>
      <c r="I51" s="1"/>
      <c r="Q51" s="24"/>
      <c r="R51" s="4"/>
      <c r="S51" s="1"/>
    </row>
    <row r="52" spans="1:19" x14ac:dyDescent="0.25">
      <c r="A52" s="7" t="s">
        <v>90</v>
      </c>
      <c r="B52" s="13">
        <v>382</v>
      </c>
      <c r="C52" s="13">
        <v>102</v>
      </c>
      <c r="D52" s="25">
        <v>153</v>
      </c>
      <c r="E52" s="65">
        <v>1</v>
      </c>
      <c r="F52" s="65">
        <v>2</v>
      </c>
      <c r="G52" s="65">
        <v>0</v>
      </c>
      <c r="H52" s="26">
        <f t="shared" ref="H52:H113" si="10">SUM(B52:G52)</f>
        <v>640</v>
      </c>
      <c r="I52" s="1"/>
      <c r="J52" s="159" t="s">
        <v>152</v>
      </c>
      <c r="K52" s="160"/>
      <c r="L52" s="160"/>
      <c r="M52" s="160"/>
      <c r="N52" s="160"/>
      <c r="O52" s="160"/>
      <c r="P52" s="160"/>
      <c r="Q52" s="161"/>
      <c r="R52" s="4"/>
      <c r="S52" s="1"/>
    </row>
    <row r="53" spans="1:19" x14ac:dyDescent="0.25">
      <c r="A53" s="7" t="s">
        <v>91</v>
      </c>
      <c r="B53" s="13">
        <v>8</v>
      </c>
      <c r="C53" s="13">
        <v>0</v>
      </c>
      <c r="D53" s="25">
        <v>33</v>
      </c>
      <c r="E53" s="66">
        <v>2</v>
      </c>
      <c r="F53" s="66">
        <v>1</v>
      </c>
      <c r="G53" s="66">
        <v>0</v>
      </c>
      <c r="H53" s="26">
        <f t="shared" si="10"/>
        <v>44</v>
      </c>
      <c r="I53" s="1"/>
      <c r="J53" s="138" t="s">
        <v>72</v>
      </c>
      <c r="K53" s="139"/>
      <c r="L53" s="139"/>
      <c r="M53" s="139"/>
      <c r="N53" s="139"/>
      <c r="O53" s="139"/>
      <c r="P53" s="139"/>
      <c r="Q53" s="62" t="s">
        <v>11</v>
      </c>
      <c r="R53" s="4"/>
      <c r="S53" s="1"/>
    </row>
    <row r="54" spans="1:19" x14ac:dyDescent="0.25">
      <c r="A54" s="7" t="s">
        <v>32</v>
      </c>
      <c r="B54" s="13">
        <v>776</v>
      </c>
      <c r="C54" s="13">
        <v>2442</v>
      </c>
      <c r="D54" s="25">
        <v>1025</v>
      </c>
      <c r="E54" s="66">
        <v>44</v>
      </c>
      <c r="F54" s="66">
        <v>49</v>
      </c>
      <c r="G54" s="66">
        <v>20</v>
      </c>
      <c r="H54" s="26">
        <f t="shared" si="10"/>
        <v>4356</v>
      </c>
      <c r="I54" s="1"/>
      <c r="J54" s="138" t="s">
        <v>71</v>
      </c>
      <c r="K54" s="139"/>
      <c r="L54" s="139"/>
      <c r="M54" s="139"/>
      <c r="N54" s="139"/>
      <c r="O54" s="139"/>
      <c r="P54" s="139"/>
      <c r="Q54" s="47">
        <v>4</v>
      </c>
      <c r="R54" s="4"/>
      <c r="S54" s="1"/>
    </row>
    <row r="55" spans="1:19" x14ac:dyDescent="0.25">
      <c r="A55" s="7" t="s">
        <v>34</v>
      </c>
      <c r="B55" s="11">
        <v>17</v>
      </c>
      <c r="C55" s="13">
        <v>7</v>
      </c>
      <c r="D55" s="23">
        <v>106</v>
      </c>
      <c r="E55" s="66">
        <v>1</v>
      </c>
      <c r="F55" s="66">
        <v>1</v>
      </c>
      <c r="G55" s="66">
        <v>0</v>
      </c>
      <c r="H55" s="26">
        <f t="shared" si="10"/>
        <v>132</v>
      </c>
      <c r="I55" s="1"/>
      <c r="J55" s="138" t="s">
        <v>137</v>
      </c>
      <c r="K55" s="139"/>
      <c r="L55" s="139"/>
      <c r="M55" s="139"/>
      <c r="N55" s="139"/>
      <c r="O55" s="139"/>
      <c r="P55" s="139"/>
      <c r="Q55" s="47">
        <f>(H12)</f>
        <v>29153</v>
      </c>
      <c r="R55" s="4"/>
      <c r="S55" s="1"/>
    </row>
    <row r="56" spans="1:19" x14ac:dyDescent="0.25">
      <c r="A56" s="7" t="s">
        <v>181</v>
      </c>
      <c r="B56" s="13">
        <v>139</v>
      </c>
      <c r="C56" s="13">
        <v>703</v>
      </c>
      <c r="D56" s="25">
        <v>204</v>
      </c>
      <c r="E56" s="66">
        <v>37</v>
      </c>
      <c r="F56" s="66">
        <v>6</v>
      </c>
      <c r="G56" s="66">
        <v>1</v>
      </c>
      <c r="H56" s="26">
        <f t="shared" si="10"/>
        <v>1090</v>
      </c>
      <c r="I56" s="1"/>
      <c r="J56" s="138" t="s">
        <v>138</v>
      </c>
      <c r="K56" s="139"/>
      <c r="L56" s="139"/>
      <c r="M56" s="139"/>
      <c r="N56" s="139"/>
      <c r="O56" s="139"/>
      <c r="P56" s="139"/>
      <c r="Q56" s="48">
        <f>(H51)</f>
        <v>10087</v>
      </c>
      <c r="R56" s="4"/>
      <c r="S56" s="1"/>
    </row>
    <row r="57" spans="1:19" x14ac:dyDescent="0.25">
      <c r="A57" s="7" t="s">
        <v>184</v>
      </c>
      <c r="B57" s="11">
        <v>31</v>
      </c>
      <c r="C57" s="11">
        <v>0</v>
      </c>
      <c r="D57" s="23">
        <v>28</v>
      </c>
      <c r="E57" s="66">
        <v>1</v>
      </c>
      <c r="F57" s="66">
        <v>0</v>
      </c>
      <c r="G57" s="66">
        <v>0</v>
      </c>
      <c r="H57" s="26">
        <f t="shared" si="10"/>
        <v>60</v>
      </c>
      <c r="I57" s="1"/>
      <c r="J57" s="138" t="s">
        <v>140</v>
      </c>
      <c r="K57" s="139"/>
      <c r="L57" s="139"/>
      <c r="M57" s="139"/>
      <c r="N57" s="139"/>
      <c r="O57" s="139"/>
      <c r="P57" s="139"/>
      <c r="Q57" s="48">
        <f>(H69)</f>
        <v>711</v>
      </c>
      <c r="R57" s="4"/>
      <c r="S57" s="1"/>
    </row>
    <row r="58" spans="1:19" x14ac:dyDescent="0.25">
      <c r="A58" s="7" t="s">
        <v>88</v>
      </c>
      <c r="B58" s="11">
        <v>11</v>
      </c>
      <c r="C58" s="11">
        <v>2</v>
      </c>
      <c r="D58" s="23">
        <v>13</v>
      </c>
      <c r="E58" s="66">
        <v>1</v>
      </c>
      <c r="F58" s="66">
        <v>0</v>
      </c>
      <c r="G58" s="66">
        <v>0</v>
      </c>
      <c r="H58" s="26">
        <f t="shared" si="10"/>
        <v>27</v>
      </c>
      <c r="I58" s="1"/>
      <c r="J58" s="138" t="s">
        <v>144</v>
      </c>
      <c r="K58" s="139"/>
      <c r="L58" s="139"/>
      <c r="M58" s="139"/>
      <c r="N58" s="139"/>
      <c r="O58" s="139"/>
      <c r="P58" s="139"/>
      <c r="Q58" s="48">
        <f>H82</f>
        <v>1983</v>
      </c>
      <c r="R58" s="4"/>
      <c r="S58" s="1"/>
    </row>
    <row r="59" spans="1:19" x14ac:dyDescent="0.25">
      <c r="A59" s="7" t="s">
        <v>89</v>
      </c>
      <c r="B59" s="11">
        <v>7</v>
      </c>
      <c r="C59" s="11">
        <v>0</v>
      </c>
      <c r="D59" s="23">
        <v>6</v>
      </c>
      <c r="E59" s="66">
        <v>0</v>
      </c>
      <c r="F59" s="66">
        <v>0</v>
      </c>
      <c r="G59" s="66">
        <v>0</v>
      </c>
      <c r="H59" s="26">
        <f t="shared" si="10"/>
        <v>13</v>
      </c>
      <c r="I59" s="1"/>
      <c r="J59" s="138" t="s">
        <v>141</v>
      </c>
      <c r="K59" s="139"/>
      <c r="L59" s="139"/>
      <c r="M59" s="139"/>
      <c r="N59" s="139"/>
      <c r="O59" s="139"/>
      <c r="P59" s="139"/>
      <c r="Q59" s="48">
        <f>H95</f>
        <v>4197</v>
      </c>
      <c r="R59" s="4"/>
      <c r="S59" s="1"/>
    </row>
    <row r="60" spans="1:19" x14ac:dyDescent="0.25">
      <c r="A60" s="7" t="s">
        <v>183</v>
      </c>
      <c r="B60" s="11">
        <v>286</v>
      </c>
      <c r="C60" s="11">
        <v>807</v>
      </c>
      <c r="D60" s="23">
        <v>294</v>
      </c>
      <c r="E60" s="66">
        <v>6</v>
      </c>
      <c r="F60" s="66">
        <v>9</v>
      </c>
      <c r="G60" s="66">
        <v>16</v>
      </c>
      <c r="H60" s="26">
        <f t="shared" si="10"/>
        <v>1418</v>
      </c>
      <c r="I60" s="1"/>
      <c r="J60" s="138" t="s">
        <v>143</v>
      </c>
      <c r="K60" s="139"/>
      <c r="L60" s="139"/>
      <c r="M60" s="139"/>
      <c r="N60" s="139"/>
      <c r="O60" s="139"/>
      <c r="P60" s="139"/>
      <c r="Q60" s="63">
        <f>Q11</f>
        <v>2028</v>
      </c>
      <c r="R60" s="4"/>
      <c r="S60" s="1"/>
    </row>
    <row r="61" spans="1:19" x14ac:dyDescent="0.25">
      <c r="A61" s="7" t="s">
        <v>36</v>
      </c>
      <c r="B61" s="11">
        <v>20</v>
      </c>
      <c r="C61" s="11">
        <v>0</v>
      </c>
      <c r="D61" s="23">
        <v>14</v>
      </c>
      <c r="E61" s="66">
        <v>0</v>
      </c>
      <c r="F61" s="66">
        <v>0</v>
      </c>
      <c r="G61" s="66">
        <v>0</v>
      </c>
      <c r="H61" s="26">
        <f t="shared" si="10"/>
        <v>34</v>
      </c>
      <c r="I61" s="1"/>
      <c r="J61" s="138" t="s">
        <v>145</v>
      </c>
      <c r="K61" s="139"/>
      <c r="L61" s="139"/>
      <c r="M61" s="139"/>
      <c r="N61" s="139"/>
      <c r="O61" s="139"/>
      <c r="P61" s="139"/>
      <c r="Q61" s="41">
        <f>Q28</f>
        <v>1097</v>
      </c>
      <c r="R61" s="4"/>
      <c r="S61" s="1"/>
    </row>
    <row r="62" spans="1:19" ht="15.75" thickBot="1" x14ac:dyDescent="0.3">
      <c r="A62" s="7" t="s">
        <v>119</v>
      </c>
      <c r="B62" s="11">
        <v>0</v>
      </c>
      <c r="C62" s="10">
        <v>0</v>
      </c>
      <c r="D62" s="23">
        <v>0</v>
      </c>
      <c r="E62" s="66">
        <v>0</v>
      </c>
      <c r="F62" s="66">
        <v>0</v>
      </c>
      <c r="G62" s="66">
        <v>0</v>
      </c>
      <c r="H62" s="26">
        <f>SUM(B62:G62)</f>
        <v>0</v>
      </c>
      <c r="I62" s="1"/>
      <c r="J62" s="144" t="s">
        <v>151</v>
      </c>
      <c r="K62" s="145"/>
      <c r="L62" s="145"/>
      <c r="M62" s="145"/>
      <c r="N62" s="145"/>
      <c r="O62" s="145"/>
      <c r="P62" s="145"/>
      <c r="Q62" s="64">
        <f>Q41</f>
        <v>901</v>
      </c>
      <c r="R62" s="4"/>
      <c r="S62" s="1"/>
    </row>
    <row r="63" spans="1:19" ht="15.75" thickBot="1" x14ac:dyDescent="0.3">
      <c r="A63" s="7" t="s">
        <v>118</v>
      </c>
      <c r="B63" s="11">
        <v>15</v>
      </c>
      <c r="C63" s="11">
        <v>2</v>
      </c>
      <c r="D63" s="23">
        <v>16</v>
      </c>
      <c r="E63" s="66">
        <v>0</v>
      </c>
      <c r="F63" s="66">
        <v>0</v>
      </c>
      <c r="G63" s="66">
        <v>0</v>
      </c>
      <c r="H63" s="33">
        <f>SUM(B63:G63)</f>
        <v>33</v>
      </c>
      <c r="I63" s="1"/>
      <c r="M63" s="53"/>
      <c r="N63" s="53"/>
      <c r="O63" s="53"/>
      <c r="P63" s="39" t="s">
        <v>11</v>
      </c>
      <c r="Q63" s="61">
        <f>SUM(Q54:Q62)</f>
        <v>50161</v>
      </c>
      <c r="R63" s="4"/>
      <c r="S63" s="1"/>
    </row>
    <row r="64" spans="1:19" x14ac:dyDescent="0.25">
      <c r="A64" s="8" t="s">
        <v>37</v>
      </c>
      <c r="B64" s="31">
        <v>100</v>
      </c>
      <c r="C64" s="20">
        <v>91</v>
      </c>
      <c r="D64" s="42">
        <v>43</v>
      </c>
      <c r="E64" s="65">
        <v>7</v>
      </c>
      <c r="F64" s="65">
        <v>1</v>
      </c>
      <c r="G64" s="65">
        <v>0</v>
      </c>
      <c r="H64" s="26">
        <f t="shared" si="10"/>
        <v>242</v>
      </c>
      <c r="I64" s="1"/>
      <c r="P64" s="1"/>
      <c r="Q64" s="1"/>
      <c r="R64" s="4"/>
      <c r="S64" s="1"/>
    </row>
    <row r="65" spans="1:19" x14ac:dyDescent="0.25">
      <c r="A65" s="7" t="s">
        <v>38</v>
      </c>
      <c r="B65" s="11">
        <v>242</v>
      </c>
      <c r="C65" s="10">
        <v>340</v>
      </c>
      <c r="D65" s="23">
        <v>231</v>
      </c>
      <c r="E65" s="66">
        <v>25</v>
      </c>
      <c r="F65" s="66">
        <v>14</v>
      </c>
      <c r="G65" s="66">
        <v>0</v>
      </c>
      <c r="H65" s="26">
        <f t="shared" si="10"/>
        <v>852</v>
      </c>
      <c r="I65" s="1"/>
      <c r="R65" s="4"/>
      <c r="S65" s="1"/>
    </row>
    <row r="66" spans="1:19" x14ac:dyDescent="0.25">
      <c r="A66" s="7" t="s">
        <v>73</v>
      </c>
      <c r="B66" s="11">
        <v>242</v>
      </c>
      <c r="C66" s="10">
        <v>340</v>
      </c>
      <c r="D66" s="23">
        <v>231</v>
      </c>
      <c r="E66" s="11">
        <v>25</v>
      </c>
      <c r="F66" s="11">
        <v>14</v>
      </c>
      <c r="G66" s="11">
        <v>0</v>
      </c>
      <c r="H66" s="26">
        <f t="shared" si="10"/>
        <v>852</v>
      </c>
      <c r="I66" s="1"/>
      <c r="J66" s="1"/>
      <c r="K66" s="1"/>
      <c r="L66" s="1"/>
      <c r="M66" s="1"/>
      <c r="N66" s="1"/>
      <c r="O66" s="1"/>
      <c r="R66" s="4"/>
      <c r="S66" s="1"/>
    </row>
    <row r="67" spans="1:19" x14ac:dyDescent="0.25">
      <c r="A67" s="7" t="s">
        <v>39</v>
      </c>
      <c r="B67" s="11">
        <v>114</v>
      </c>
      <c r="C67" s="10">
        <v>114</v>
      </c>
      <c r="D67" s="23">
        <v>32</v>
      </c>
      <c r="E67" s="11">
        <v>4</v>
      </c>
      <c r="F67" s="11">
        <v>1</v>
      </c>
      <c r="G67" s="11">
        <v>0</v>
      </c>
      <c r="H67" s="26">
        <f t="shared" si="10"/>
        <v>265</v>
      </c>
      <c r="I67" s="1"/>
      <c r="R67" s="4"/>
      <c r="S67" s="1"/>
    </row>
    <row r="68" spans="1:19" x14ac:dyDescent="0.25">
      <c r="A68" s="18" t="s">
        <v>40</v>
      </c>
      <c r="B68" s="19">
        <v>9</v>
      </c>
      <c r="C68" s="21">
        <v>19</v>
      </c>
      <c r="D68" s="43">
        <v>1</v>
      </c>
      <c r="E68" s="19">
        <v>0</v>
      </c>
      <c r="F68" s="19">
        <v>0</v>
      </c>
      <c r="G68" s="19">
        <v>0</v>
      </c>
      <c r="H68" s="26">
        <f t="shared" si="10"/>
        <v>29</v>
      </c>
      <c r="I68" s="1"/>
      <c r="R68" s="4"/>
      <c r="S68" s="1"/>
    </row>
    <row r="69" spans="1:19" x14ac:dyDescent="0.25">
      <c r="A69" s="73" t="s">
        <v>54</v>
      </c>
      <c r="B69" s="74">
        <f t="shared" ref="B69:G69" si="11">SUM(B70:B81)</f>
        <v>517</v>
      </c>
      <c r="C69" s="74">
        <f t="shared" si="11"/>
        <v>55</v>
      </c>
      <c r="D69" s="74">
        <f t="shared" si="11"/>
        <v>122</v>
      </c>
      <c r="E69" s="74">
        <f t="shared" si="11"/>
        <v>17</v>
      </c>
      <c r="F69" s="74">
        <f t="shared" si="11"/>
        <v>0</v>
      </c>
      <c r="G69" s="76">
        <f t="shared" si="11"/>
        <v>0</v>
      </c>
      <c r="H69" s="75">
        <f t="shared" si="10"/>
        <v>711</v>
      </c>
      <c r="I69" s="1"/>
      <c r="R69" s="4"/>
      <c r="S69" s="1"/>
    </row>
    <row r="70" spans="1:19" x14ac:dyDescent="0.25">
      <c r="A70" s="52" t="s">
        <v>55</v>
      </c>
      <c r="B70" s="65">
        <v>48</v>
      </c>
      <c r="C70" s="10">
        <v>10</v>
      </c>
      <c r="D70" s="65">
        <v>93</v>
      </c>
      <c r="E70" s="65">
        <v>11</v>
      </c>
      <c r="F70" s="11">
        <v>0</v>
      </c>
      <c r="G70" s="65">
        <v>0</v>
      </c>
      <c r="H70" s="26">
        <f t="shared" si="10"/>
        <v>162</v>
      </c>
      <c r="I70" s="1"/>
      <c r="R70" s="4"/>
      <c r="S70" s="1"/>
    </row>
    <row r="71" spans="1:19" x14ac:dyDescent="0.25">
      <c r="A71" s="52" t="s">
        <v>56</v>
      </c>
      <c r="B71" s="66">
        <v>140</v>
      </c>
      <c r="C71" s="91">
        <v>38</v>
      </c>
      <c r="D71" s="66">
        <v>9</v>
      </c>
      <c r="E71" s="66">
        <v>3</v>
      </c>
      <c r="F71" s="11">
        <v>0</v>
      </c>
      <c r="G71" s="66">
        <v>0</v>
      </c>
      <c r="H71" s="26">
        <f t="shared" si="10"/>
        <v>190</v>
      </c>
      <c r="I71" s="1"/>
      <c r="R71" s="4"/>
      <c r="S71" s="1"/>
    </row>
    <row r="72" spans="1:19" x14ac:dyDescent="0.25">
      <c r="A72" s="52" t="s">
        <v>58</v>
      </c>
      <c r="B72" s="66">
        <v>10</v>
      </c>
      <c r="C72" s="10">
        <v>0</v>
      </c>
      <c r="D72" s="66">
        <v>0</v>
      </c>
      <c r="E72" s="66">
        <v>0</v>
      </c>
      <c r="F72" s="11">
        <v>0</v>
      </c>
      <c r="G72" s="66">
        <v>0</v>
      </c>
      <c r="H72" s="26">
        <f t="shared" si="10"/>
        <v>10</v>
      </c>
      <c r="I72" s="1"/>
      <c r="R72" s="4"/>
      <c r="S72" s="1"/>
    </row>
    <row r="73" spans="1:19" x14ac:dyDescent="0.25">
      <c r="A73" s="52" t="s">
        <v>68</v>
      </c>
      <c r="B73" s="66">
        <v>76</v>
      </c>
      <c r="C73" s="91">
        <v>3</v>
      </c>
      <c r="D73" s="66">
        <v>6</v>
      </c>
      <c r="E73" s="66">
        <v>2</v>
      </c>
      <c r="F73" s="92">
        <v>0</v>
      </c>
      <c r="G73" s="66">
        <v>0</v>
      </c>
      <c r="H73" s="26">
        <f t="shared" si="10"/>
        <v>87</v>
      </c>
      <c r="I73" s="1"/>
      <c r="R73" s="4"/>
      <c r="S73" s="1"/>
    </row>
    <row r="74" spans="1:19" x14ac:dyDescent="0.25">
      <c r="A74" s="52" t="s">
        <v>69</v>
      </c>
      <c r="B74" s="66">
        <v>28</v>
      </c>
      <c r="C74" s="91">
        <v>0</v>
      </c>
      <c r="D74" s="66">
        <v>0</v>
      </c>
      <c r="E74" s="66">
        <v>0</v>
      </c>
      <c r="F74" s="92">
        <v>0</v>
      </c>
      <c r="G74" s="66">
        <v>0</v>
      </c>
      <c r="H74" s="26">
        <f t="shared" si="10"/>
        <v>28</v>
      </c>
      <c r="I74" s="1"/>
      <c r="R74" s="4"/>
      <c r="S74" s="1"/>
    </row>
    <row r="75" spans="1:19" x14ac:dyDescent="0.25">
      <c r="A75" s="52" t="s">
        <v>57</v>
      </c>
      <c r="B75" s="66">
        <v>12</v>
      </c>
      <c r="C75" s="91">
        <v>0</v>
      </c>
      <c r="D75" s="66">
        <v>0</v>
      </c>
      <c r="E75" s="66">
        <v>1</v>
      </c>
      <c r="F75" s="91">
        <v>0</v>
      </c>
      <c r="G75" s="66">
        <v>0</v>
      </c>
      <c r="H75" s="26">
        <f t="shared" si="10"/>
        <v>13</v>
      </c>
      <c r="I75" s="1"/>
      <c r="R75" s="4"/>
      <c r="S75" s="1"/>
    </row>
    <row r="76" spans="1:19" x14ac:dyDescent="0.25">
      <c r="A76" s="52" t="s">
        <v>142</v>
      </c>
      <c r="B76" s="66">
        <v>52</v>
      </c>
      <c r="C76" s="91">
        <v>3</v>
      </c>
      <c r="D76" s="66">
        <v>4</v>
      </c>
      <c r="E76" s="66">
        <v>0</v>
      </c>
      <c r="F76" s="92">
        <v>0</v>
      </c>
      <c r="G76" s="66">
        <v>0</v>
      </c>
      <c r="H76" s="26">
        <f t="shared" si="10"/>
        <v>59</v>
      </c>
      <c r="I76" s="1"/>
      <c r="R76" s="4"/>
      <c r="S76" s="1"/>
    </row>
    <row r="77" spans="1:19" x14ac:dyDescent="0.25">
      <c r="A77" s="52" t="s">
        <v>59</v>
      </c>
      <c r="B77" s="66">
        <v>21</v>
      </c>
      <c r="C77" s="91">
        <v>0</v>
      </c>
      <c r="D77" s="66">
        <v>7</v>
      </c>
      <c r="E77" s="66">
        <v>0</v>
      </c>
      <c r="F77" s="92">
        <v>0</v>
      </c>
      <c r="G77" s="66">
        <v>0</v>
      </c>
      <c r="H77" s="26">
        <f t="shared" si="10"/>
        <v>28</v>
      </c>
      <c r="I77" s="1"/>
      <c r="R77" s="4"/>
      <c r="S77" s="1"/>
    </row>
    <row r="78" spans="1:19" x14ac:dyDescent="0.25">
      <c r="A78" s="52" t="s">
        <v>60</v>
      </c>
      <c r="B78" s="66">
        <v>46</v>
      </c>
      <c r="C78" s="91">
        <v>1</v>
      </c>
      <c r="D78" s="66">
        <v>3</v>
      </c>
      <c r="E78" s="66">
        <v>0</v>
      </c>
      <c r="F78" s="91">
        <v>0</v>
      </c>
      <c r="G78" s="66">
        <v>0</v>
      </c>
      <c r="H78" s="26">
        <f t="shared" si="10"/>
        <v>50</v>
      </c>
      <c r="I78" s="1"/>
      <c r="R78" s="4"/>
      <c r="S78" s="1"/>
    </row>
    <row r="79" spans="1:19" x14ac:dyDescent="0.25">
      <c r="A79" s="52" t="s">
        <v>106</v>
      </c>
      <c r="B79" s="66">
        <v>28</v>
      </c>
      <c r="C79" s="91">
        <v>0</v>
      </c>
      <c r="D79" s="66">
        <v>0</v>
      </c>
      <c r="E79" s="66">
        <v>0</v>
      </c>
      <c r="F79" s="91">
        <v>0</v>
      </c>
      <c r="G79" s="66">
        <v>0</v>
      </c>
      <c r="H79" s="26">
        <f t="shared" si="10"/>
        <v>28</v>
      </c>
      <c r="I79" s="1"/>
      <c r="R79" s="4"/>
      <c r="S79" s="1"/>
    </row>
    <row r="80" spans="1:19" x14ac:dyDescent="0.25">
      <c r="A80" s="52" t="s">
        <v>132</v>
      </c>
      <c r="B80" s="66">
        <v>28</v>
      </c>
      <c r="C80" s="91">
        <v>0</v>
      </c>
      <c r="D80" s="66">
        <v>0</v>
      </c>
      <c r="E80" s="66">
        <v>0</v>
      </c>
      <c r="F80" s="92">
        <v>0</v>
      </c>
      <c r="G80" s="66">
        <v>0</v>
      </c>
      <c r="H80" s="26">
        <f t="shared" si="10"/>
        <v>28</v>
      </c>
      <c r="I80" s="1"/>
      <c r="R80" s="4"/>
      <c r="S80" s="1"/>
    </row>
    <row r="81" spans="1:19" x14ac:dyDescent="0.25">
      <c r="A81" s="52" t="s">
        <v>133</v>
      </c>
      <c r="B81" s="93">
        <v>28</v>
      </c>
      <c r="C81" s="91">
        <v>0</v>
      </c>
      <c r="D81" s="93">
        <v>0</v>
      </c>
      <c r="E81" s="93">
        <v>0</v>
      </c>
      <c r="F81" s="92">
        <v>0</v>
      </c>
      <c r="G81" s="93">
        <v>0</v>
      </c>
      <c r="H81" s="26">
        <f t="shared" si="10"/>
        <v>28</v>
      </c>
      <c r="I81" s="1"/>
      <c r="R81" s="4"/>
      <c r="S81" s="1"/>
    </row>
    <row r="82" spans="1:19" x14ac:dyDescent="0.25">
      <c r="A82" s="73" t="s">
        <v>70</v>
      </c>
      <c r="B82" s="74">
        <f>SUM(B83:B94)</f>
        <v>221</v>
      </c>
      <c r="C82" s="74">
        <f t="shared" ref="C82:G82" si="12">SUM(C83:C94)</f>
        <v>772</v>
      </c>
      <c r="D82" s="74">
        <f t="shared" si="12"/>
        <v>933</v>
      </c>
      <c r="E82" s="74">
        <f t="shared" si="12"/>
        <v>57</v>
      </c>
      <c r="F82" s="74">
        <f t="shared" si="12"/>
        <v>0</v>
      </c>
      <c r="G82" s="74">
        <f t="shared" si="12"/>
        <v>0</v>
      </c>
      <c r="H82" s="75">
        <f t="shared" si="10"/>
        <v>1983</v>
      </c>
      <c r="I82" s="1"/>
      <c r="R82" s="4"/>
      <c r="S82" s="1"/>
    </row>
    <row r="83" spans="1:19" x14ac:dyDescent="0.25">
      <c r="A83" s="22" t="s">
        <v>84</v>
      </c>
      <c r="B83" s="11">
        <v>26</v>
      </c>
      <c r="C83" s="10">
        <v>0</v>
      </c>
      <c r="D83" s="11">
        <v>70</v>
      </c>
      <c r="E83" s="11">
        <v>4</v>
      </c>
      <c r="F83" s="10">
        <v>0</v>
      </c>
      <c r="G83" s="11">
        <v>0</v>
      </c>
      <c r="H83" s="26">
        <f t="shared" si="10"/>
        <v>100</v>
      </c>
      <c r="I83" s="1"/>
      <c r="R83" s="4"/>
      <c r="S83" s="1"/>
    </row>
    <row r="84" spans="1:19" x14ac:dyDescent="0.25">
      <c r="A84" s="22" t="s">
        <v>114</v>
      </c>
      <c r="B84" s="11">
        <v>28</v>
      </c>
      <c r="C84" s="10">
        <v>0</v>
      </c>
      <c r="D84" s="11">
        <v>80</v>
      </c>
      <c r="E84" s="11">
        <v>3</v>
      </c>
      <c r="F84" s="10">
        <v>0</v>
      </c>
      <c r="G84" s="11">
        <v>0</v>
      </c>
      <c r="H84" s="26">
        <f t="shared" si="10"/>
        <v>111</v>
      </c>
      <c r="I84" s="1"/>
      <c r="R84" s="4"/>
      <c r="S84" s="1"/>
    </row>
    <row r="85" spans="1:19" ht="14.25" customHeight="1" x14ac:dyDescent="0.25">
      <c r="A85" s="22" t="s">
        <v>61</v>
      </c>
      <c r="B85" s="11">
        <v>6</v>
      </c>
      <c r="C85" s="10">
        <v>40</v>
      </c>
      <c r="D85" s="11">
        <v>1</v>
      </c>
      <c r="E85" s="11">
        <v>1</v>
      </c>
      <c r="F85" s="10">
        <v>0</v>
      </c>
      <c r="G85" s="11">
        <v>0</v>
      </c>
      <c r="H85" s="26">
        <f t="shared" si="10"/>
        <v>48</v>
      </c>
      <c r="I85" s="1"/>
      <c r="R85" s="4"/>
      <c r="S85" s="1"/>
    </row>
    <row r="86" spans="1:19" x14ac:dyDescent="0.25">
      <c r="A86" s="22" t="s">
        <v>62</v>
      </c>
      <c r="B86" s="11">
        <v>33</v>
      </c>
      <c r="C86" s="10">
        <v>2</v>
      </c>
      <c r="D86" s="11">
        <v>194</v>
      </c>
      <c r="E86" s="11">
        <v>3</v>
      </c>
      <c r="F86" s="10">
        <v>0</v>
      </c>
      <c r="G86" s="11">
        <v>0</v>
      </c>
      <c r="H86" s="26">
        <f t="shared" si="10"/>
        <v>232</v>
      </c>
      <c r="I86" s="1"/>
      <c r="K86" s="133"/>
      <c r="L86" s="133"/>
      <c r="M86" s="133"/>
      <c r="R86" s="4"/>
      <c r="S86" s="1"/>
    </row>
    <row r="87" spans="1:19" x14ac:dyDescent="0.25">
      <c r="A87" s="22" t="s">
        <v>93</v>
      </c>
      <c r="B87" s="11">
        <v>1</v>
      </c>
      <c r="C87" s="10">
        <v>0</v>
      </c>
      <c r="D87" s="11">
        <v>0</v>
      </c>
      <c r="E87" s="11">
        <v>0</v>
      </c>
      <c r="F87" s="10">
        <v>0</v>
      </c>
      <c r="G87" s="11">
        <v>0</v>
      </c>
      <c r="H87" s="26">
        <f t="shared" si="10"/>
        <v>1</v>
      </c>
      <c r="I87" s="1"/>
      <c r="R87" s="4"/>
      <c r="S87" s="1"/>
    </row>
    <row r="88" spans="1:19" x14ac:dyDescent="0.25">
      <c r="A88" s="22" t="s">
        <v>94</v>
      </c>
      <c r="B88" s="11">
        <v>0</v>
      </c>
      <c r="C88" s="10">
        <v>0</v>
      </c>
      <c r="D88" s="11">
        <v>0</v>
      </c>
      <c r="E88" s="11">
        <v>0</v>
      </c>
      <c r="F88" s="10">
        <v>0</v>
      </c>
      <c r="G88" s="11">
        <v>0</v>
      </c>
      <c r="H88" s="33">
        <f t="shared" si="10"/>
        <v>0</v>
      </c>
      <c r="I88" s="1"/>
      <c r="R88" s="4"/>
      <c r="S88" s="1"/>
    </row>
    <row r="89" spans="1:19" x14ac:dyDescent="0.25">
      <c r="A89" s="81" t="s">
        <v>108</v>
      </c>
      <c r="B89" s="82">
        <v>81</v>
      </c>
      <c r="C89" s="83">
        <v>693</v>
      </c>
      <c r="D89" s="82">
        <v>440</v>
      </c>
      <c r="E89" s="82">
        <v>37</v>
      </c>
      <c r="F89" s="85"/>
      <c r="G89" s="82"/>
      <c r="H89" s="84">
        <f>SUM(B89:G89)</f>
        <v>1251</v>
      </c>
      <c r="I89" s="1"/>
      <c r="R89" s="4"/>
      <c r="S89" s="1"/>
    </row>
    <row r="90" spans="1:19" x14ac:dyDescent="0.25">
      <c r="A90" s="32" t="s">
        <v>63</v>
      </c>
      <c r="B90" s="31">
        <v>4</v>
      </c>
      <c r="C90" s="20">
        <v>0</v>
      </c>
      <c r="D90" s="31">
        <v>1</v>
      </c>
      <c r="E90" s="31">
        <v>1</v>
      </c>
      <c r="F90" s="20">
        <v>0</v>
      </c>
      <c r="G90" s="31">
        <v>0</v>
      </c>
      <c r="H90" s="26">
        <f t="shared" si="10"/>
        <v>6</v>
      </c>
      <c r="I90" s="1"/>
      <c r="R90" s="4"/>
      <c r="S90" s="1"/>
    </row>
    <row r="91" spans="1:19" x14ac:dyDescent="0.25">
      <c r="A91" s="22" t="s">
        <v>153</v>
      </c>
      <c r="B91" s="11">
        <v>0</v>
      </c>
      <c r="C91" s="10">
        <v>0</v>
      </c>
      <c r="D91" s="11">
        <v>0</v>
      </c>
      <c r="E91" s="11">
        <v>0</v>
      </c>
      <c r="F91" s="10">
        <v>0</v>
      </c>
      <c r="G91" s="11">
        <v>0</v>
      </c>
      <c r="H91" s="26">
        <f t="shared" si="10"/>
        <v>0</v>
      </c>
      <c r="I91" s="1"/>
      <c r="R91" s="4"/>
      <c r="S91" s="1"/>
    </row>
    <row r="92" spans="1:19" x14ac:dyDescent="0.25">
      <c r="A92" s="22" t="s">
        <v>107</v>
      </c>
      <c r="B92" s="11">
        <v>27</v>
      </c>
      <c r="C92" s="10">
        <v>37</v>
      </c>
      <c r="D92" s="11">
        <v>121</v>
      </c>
      <c r="E92" s="11">
        <v>5</v>
      </c>
      <c r="F92" s="10">
        <v>0</v>
      </c>
      <c r="G92" s="11">
        <v>0</v>
      </c>
      <c r="H92" s="26">
        <f t="shared" si="10"/>
        <v>190</v>
      </c>
      <c r="I92" s="1"/>
      <c r="R92" s="4"/>
      <c r="S92" s="1"/>
    </row>
    <row r="93" spans="1:19" x14ac:dyDescent="0.25">
      <c r="A93" s="22" t="s">
        <v>210</v>
      </c>
      <c r="B93" s="11">
        <v>8</v>
      </c>
      <c r="C93" s="10">
        <v>0</v>
      </c>
      <c r="D93" s="11">
        <v>25</v>
      </c>
      <c r="E93" s="11">
        <v>3</v>
      </c>
      <c r="F93" s="10">
        <v>0</v>
      </c>
      <c r="G93" s="11">
        <v>0</v>
      </c>
      <c r="H93" s="26">
        <f t="shared" si="10"/>
        <v>36</v>
      </c>
      <c r="I93" s="1"/>
      <c r="R93" s="4"/>
      <c r="S93" s="1"/>
    </row>
    <row r="94" spans="1:19" x14ac:dyDescent="0.25">
      <c r="A94" s="22" t="s">
        <v>182</v>
      </c>
      <c r="B94" s="11">
        <v>7</v>
      </c>
      <c r="C94" s="10">
        <v>0</v>
      </c>
      <c r="D94" s="11">
        <v>1</v>
      </c>
      <c r="E94" s="11">
        <v>0</v>
      </c>
      <c r="F94" s="10">
        <v>0</v>
      </c>
      <c r="G94" s="11">
        <v>0</v>
      </c>
      <c r="H94" s="26">
        <f t="shared" si="10"/>
        <v>8</v>
      </c>
      <c r="I94" s="1"/>
      <c r="R94" s="4"/>
      <c r="S94" s="1"/>
    </row>
    <row r="95" spans="1:19" x14ac:dyDescent="0.25">
      <c r="A95" s="73" t="s">
        <v>3</v>
      </c>
      <c r="B95" s="74">
        <f>SUM(B96:B155)</f>
        <v>1197</v>
      </c>
      <c r="C95" s="74">
        <f t="shared" ref="C95:G95" si="13">SUM(C96:C155)</f>
        <v>900</v>
      </c>
      <c r="D95" s="74">
        <f t="shared" si="13"/>
        <v>1952</v>
      </c>
      <c r="E95" s="74">
        <f t="shared" si="13"/>
        <v>66</v>
      </c>
      <c r="F95" s="74">
        <f t="shared" si="13"/>
        <v>82</v>
      </c>
      <c r="G95" s="74">
        <f t="shared" si="13"/>
        <v>0</v>
      </c>
      <c r="H95" s="75">
        <f t="shared" si="10"/>
        <v>4197</v>
      </c>
      <c r="I95" s="1"/>
      <c r="R95" s="4"/>
      <c r="S95" s="1"/>
    </row>
    <row r="96" spans="1:19" x14ac:dyDescent="0.25">
      <c r="A96" s="7" t="s">
        <v>113</v>
      </c>
      <c r="B96" s="11">
        <v>90</v>
      </c>
      <c r="C96" s="11">
        <v>221</v>
      </c>
      <c r="D96" s="11">
        <v>241</v>
      </c>
      <c r="E96" s="11">
        <v>6</v>
      </c>
      <c r="F96" s="17">
        <v>12</v>
      </c>
      <c r="G96" s="11">
        <v>0</v>
      </c>
      <c r="H96" s="14">
        <f t="shared" si="10"/>
        <v>570</v>
      </c>
      <c r="I96" s="1"/>
      <c r="R96" s="4"/>
      <c r="S96" s="1"/>
    </row>
    <row r="97" spans="1:19" x14ac:dyDescent="0.25">
      <c r="A97" s="7" t="s">
        <v>112</v>
      </c>
      <c r="B97" s="11">
        <v>0</v>
      </c>
      <c r="C97" s="11">
        <v>0</v>
      </c>
      <c r="D97" s="11">
        <v>0</v>
      </c>
      <c r="E97" s="11">
        <v>0</v>
      </c>
      <c r="F97" s="17">
        <v>0</v>
      </c>
      <c r="G97" s="11">
        <v>0</v>
      </c>
      <c r="H97" s="27">
        <f t="shared" si="10"/>
        <v>0</v>
      </c>
      <c r="I97" s="1"/>
      <c r="R97" s="4"/>
      <c r="S97" s="1"/>
    </row>
    <row r="98" spans="1:19" x14ac:dyDescent="0.25">
      <c r="A98" s="7" t="s">
        <v>41</v>
      </c>
      <c r="B98" s="11">
        <v>0</v>
      </c>
      <c r="C98" s="11">
        <v>0</v>
      </c>
      <c r="D98" s="11">
        <v>0</v>
      </c>
      <c r="E98" s="11">
        <v>0</v>
      </c>
      <c r="F98" s="17">
        <v>0</v>
      </c>
      <c r="G98" s="11">
        <v>0</v>
      </c>
      <c r="H98" s="27">
        <f t="shared" si="10"/>
        <v>0</v>
      </c>
      <c r="I98" s="1"/>
      <c r="R98" s="4"/>
      <c r="S98" s="1"/>
    </row>
    <row r="99" spans="1:19" x14ac:dyDescent="0.25">
      <c r="A99" s="7" t="s">
        <v>192</v>
      </c>
      <c r="B99" s="11">
        <v>0</v>
      </c>
      <c r="C99" s="11">
        <v>0</v>
      </c>
      <c r="D99" s="11">
        <v>0</v>
      </c>
      <c r="E99" s="11">
        <v>0</v>
      </c>
      <c r="F99" s="17">
        <v>0</v>
      </c>
      <c r="G99" s="11">
        <v>0</v>
      </c>
      <c r="H99" s="27">
        <f t="shared" si="10"/>
        <v>0</v>
      </c>
      <c r="I99" s="1"/>
      <c r="R99" s="4"/>
      <c r="S99" s="1"/>
    </row>
    <row r="100" spans="1:19" x14ac:dyDescent="0.25">
      <c r="A100" s="7" t="s">
        <v>213</v>
      </c>
      <c r="B100" s="11">
        <v>6</v>
      </c>
      <c r="C100" s="11">
        <v>0</v>
      </c>
      <c r="D100" s="11">
        <v>4</v>
      </c>
      <c r="E100" s="11">
        <v>0</v>
      </c>
      <c r="F100" s="17">
        <v>0</v>
      </c>
      <c r="G100" s="11">
        <v>0</v>
      </c>
      <c r="H100" s="27">
        <f t="shared" si="10"/>
        <v>10</v>
      </c>
      <c r="I100" s="1"/>
      <c r="R100" s="4"/>
      <c r="S100" s="1"/>
    </row>
    <row r="101" spans="1:19" x14ac:dyDescent="0.25">
      <c r="A101" s="7" t="s">
        <v>214</v>
      </c>
      <c r="B101" s="11">
        <v>6</v>
      </c>
      <c r="C101" s="11">
        <v>0</v>
      </c>
      <c r="D101" s="11">
        <v>4</v>
      </c>
      <c r="E101" s="11">
        <v>0</v>
      </c>
      <c r="F101" s="17">
        <v>0</v>
      </c>
      <c r="G101" s="11">
        <v>0</v>
      </c>
      <c r="H101" s="27">
        <f t="shared" si="10"/>
        <v>10</v>
      </c>
      <c r="I101" s="1"/>
      <c r="R101" s="4"/>
      <c r="S101" s="1"/>
    </row>
    <row r="102" spans="1:19" x14ac:dyDescent="0.25">
      <c r="A102" s="7" t="s">
        <v>215</v>
      </c>
      <c r="B102" s="11">
        <v>0</v>
      </c>
      <c r="C102" s="11">
        <v>0</v>
      </c>
      <c r="D102" s="11">
        <v>1</v>
      </c>
      <c r="E102" s="11">
        <v>0</v>
      </c>
      <c r="F102" s="17">
        <v>0</v>
      </c>
      <c r="G102" s="11">
        <v>0</v>
      </c>
      <c r="H102" s="27">
        <f t="shared" si="10"/>
        <v>1</v>
      </c>
      <c r="I102" s="1"/>
      <c r="R102" s="4"/>
      <c r="S102" s="1"/>
    </row>
    <row r="103" spans="1:19" x14ac:dyDescent="0.25">
      <c r="A103" s="7"/>
      <c r="B103" s="11"/>
      <c r="C103" s="11"/>
      <c r="D103" s="11"/>
      <c r="E103" s="11"/>
      <c r="F103" s="17"/>
      <c r="G103" s="11"/>
      <c r="H103" s="27">
        <f t="shared" si="10"/>
        <v>0</v>
      </c>
      <c r="I103" s="1"/>
      <c r="R103" s="4"/>
      <c r="S103" s="1"/>
    </row>
    <row r="104" spans="1:19" x14ac:dyDescent="0.25">
      <c r="A104" s="7"/>
      <c r="B104" s="11"/>
      <c r="C104" s="11"/>
      <c r="D104" s="11"/>
      <c r="E104" s="11"/>
      <c r="F104" s="17"/>
      <c r="G104" s="11"/>
      <c r="H104" s="27"/>
      <c r="I104" s="1"/>
      <c r="R104" s="4"/>
      <c r="S104" s="1"/>
    </row>
    <row r="105" spans="1:19" x14ac:dyDescent="0.25">
      <c r="A105" s="7" t="s">
        <v>216</v>
      </c>
      <c r="B105" s="11">
        <v>20</v>
      </c>
      <c r="C105" s="11">
        <v>0</v>
      </c>
      <c r="D105" s="11">
        <v>31</v>
      </c>
      <c r="E105" s="11">
        <v>0</v>
      </c>
      <c r="F105" s="17">
        <v>1</v>
      </c>
      <c r="G105" s="11">
        <v>0</v>
      </c>
      <c r="H105" s="27">
        <f t="shared" si="10"/>
        <v>52</v>
      </c>
      <c r="I105" s="1"/>
      <c r="R105" s="4"/>
      <c r="S105" s="1"/>
    </row>
    <row r="106" spans="1:19" x14ac:dyDescent="0.25">
      <c r="A106" s="7" t="s">
        <v>174</v>
      </c>
      <c r="B106" s="11">
        <v>0</v>
      </c>
      <c r="C106" s="11">
        <v>0</v>
      </c>
      <c r="D106" s="11">
        <v>38</v>
      </c>
      <c r="E106" s="11">
        <v>2</v>
      </c>
      <c r="F106" s="17">
        <v>0</v>
      </c>
      <c r="G106" s="11">
        <v>0</v>
      </c>
      <c r="H106" s="27">
        <f t="shared" si="10"/>
        <v>40</v>
      </c>
      <c r="I106" s="1"/>
      <c r="R106" s="4"/>
      <c r="S106" s="1"/>
    </row>
    <row r="107" spans="1:19" x14ac:dyDescent="0.25">
      <c r="A107" s="7" t="s">
        <v>175</v>
      </c>
      <c r="B107" s="11">
        <v>0</v>
      </c>
      <c r="C107" s="11">
        <v>0</v>
      </c>
      <c r="D107" s="11">
        <v>38</v>
      </c>
      <c r="E107" s="19">
        <v>2</v>
      </c>
      <c r="F107" s="17">
        <v>0</v>
      </c>
      <c r="G107" s="11">
        <v>0</v>
      </c>
      <c r="H107" s="27">
        <f t="shared" si="10"/>
        <v>40</v>
      </c>
      <c r="I107" s="1"/>
      <c r="R107" s="4"/>
      <c r="S107" s="1"/>
    </row>
    <row r="108" spans="1:19" x14ac:dyDescent="0.25">
      <c r="A108" s="143" t="s">
        <v>109</v>
      </c>
      <c r="B108" s="143"/>
      <c r="C108" s="143"/>
      <c r="D108" s="143"/>
      <c r="E108" s="143"/>
      <c r="F108" s="143"/>
      <c r="G108" s="143"/>
      <c r="H108" s="143"/>
      <c r="I108" s="1"/>
      <c r="R108" s="4"/>
      <c r="S108" s="1"/>
    </row>
    <row r="109" spans="1:19" x14ac:dyDescent="0.25">
      <c r="A109" s="7" t="s">
        <v>123</v>
      </c>
      <c r="B109" s="11">
        <v>4</v>
      </c>
      <c r="C109" s="11">
        <v>239</v>
      </c>
      <c r="D109" s="11">
        <v>12</v>
      </c>
      <c r="E109" s="11">
        <v>0</v>
      </c>
      <c r="F109" s="11">
        <v>0</v>
      </c>
      <c r="G109" s="11">
        <v>0</v>
      </c>
      <c r="H109" s="28">
        <f t="shared" si="10"/>
        <v>255</v>
      </c>
      <c r="I109" s="1"/>
      <c r="J109" s="133"/>
      <c r="K109" s="133"/>
      <c r="R109" s="4"/>
      <c r="S109" s="1"/>
    </row>
    <row r="110" spans="1:19" x14ac:dyDescent="0.25">
      <c r="A110" s="7" t="s">
        <v>122</v>
      </c>
      <c r="B110" s="11">
        <v>2</v>
      </c>
      <c r="C110" s="11">
        <v>224</v>
      </c>
      <c r="D110" s="10">
        <v>12</v>
      </c>
      <c r="E110" s="11">
        <v>0</v>
      </c>
      <c r="F110" s="11">
        <v>0</v>
      </c>
      <c r="G110" s="11">
        <v>0</v>
      </c>
      <c r="H110" s="14">
        <f t="shared" si="10"/>
        <v>238</v>
      </c>
      <c r="I110" s="1"/>
      <c r="J110" s="133"/>
      <c r="K110" s="133"/>
      <c r="R110" s="4"/>
      <c r="S110" s="1"/>
    </row>
    <row r="111" spans="1:19" x14ac:dyDescent="0.25">
      <c r="A111" s="7" t="s">
        <v>121</v>
      </c>
      <c r="B111" s="11">
        <v>4</v>
      </c>
      <c r="C111" s="11">
        <v>36</v>
      </c>
      <c r="D111" s="11">
        <v>6</v>
      </c>
      <c r="E111" s="11">
        <v>0</v>
      </c>
      <c r="F111" s="11">
        <v>0</v>
      </c>
      <c r="G111" s="11">
        <v>0</v>
      </c>
      <c r="H111" s="14">
        <f t="shared" si="10"/>
        <v>46</v>
      </c>
      <c r="I111" s="1"/>
      <c r="R111" s="4"/>
      <c r="S111" s="1"/>
    </row>
    <row r="112" spans="1:19" x14ac:dyDescent="0.25">
      <c r="A112" s="7" t="s">
        <v>120</v>
      </c>
      <c r="B112" s="11">
        <v>2</v>
      </c>
      <c r="C112" s="11">
        <v>37</v>
      </c>
      <c r="D112" s="11">
        <v>4</v>
      </c>
      <c r="E112" s="11">
        <v>0</v>
      </c>
      <c r="F112" s="11">
        <v>0</v>
      </c>
      <c r="G112" s="11">
        <v>0</v>
      </c>
      <c r="H112" s="14">
        <f t="shared" si="10"/>
        <v>43</v>
      </c>
      <c r="I112" s="1"/>
      <c r="R112" s="4"/>
      <c r="S112" s="1"/>
    </row>
    <row r="113" spans="1:19" x14ac:dyDescent="0.25">
      <c r="A113" s="7" t="s">
        <v>124</v>
      </c>
      <c r="B113" s="11">
        <v>36</v>
      </c>
      <c r="C113" s="11">
        <v>0</v>
      </c>
      <c r="D113" s="11">
        <v>5</v>
      </c>
      <c r="E113" s="11">
        <v>0</v>
      </c>
      <c r="F113" s="11">
        <v>0</v>
      </c>
      <c r="G113" s="11">
        <v>0</v>
      </c>
      <c r="H113" s="14">
        <f t="shared" si="10"/>
        <v>41</v>
      </c>
      <c r="I113" s="1"/>
      <c r="R113" s="4"/>
      <c r="S113" s="1"/>
    </row>
    <row r="114" spans="1:19" x14ac:dyDescent="0.25">
      <c r="A114" s="7" t="s">
        <v>48</v>
      </c>
      <c r="B114" s="11">
        <v>0</v>
      </c>
      <c r="C114" s="11">
        <v>0</v>
      </c>
      <c r="D114" s="11">
        <v>0</v>
      </c>
      <c r="E114" s="11">
        <v>0</v>
      </c>
      <c r="F114" s="11">
        <v>1</v>
      </c>
      <c r="G114" s="11">
        <v>0</v>
      </c>
      <c r="H114" s="14">
        <f>SUM(B114:G114)</f>
        <v>1</v>
      </c>
      <c r="I114" s="1"/>
      <c r="R114" s="4"/>
      <c r="S114" s="1"/>
    </row>
    <row r="115" spans="1:19" x14ac:dyDescent="0.25">
      <c r="A115" s="162" t="s">
        <v>110</v>
      </c>
      <c r="B115" s="163"/>
      <c r="C115" s="163"/>
      <c r="D115" s="163"/>
      <c r="E115" s="163"/>
      <c r="F115" s="163"/>
      <c r="G115" s="163"/>
      <c r="H115" s="142"/>
      <c r="I115" s="1"/>
      <c r="R115" s="4"/>
      <c r="S115" s="1"/>
    </row>
    <row r="116" spans="1:19" x14ac:dyDescent="0.25">
      <c r="A116" s="8" t="s">
        <v>111</v>
      </c>
      <c r="B116" s="31">
        <v>79</v>
      </c>
      <c r="C116" s="31">
        <v>19</v>
      </c>
      <c r="D116" s="31">
        <v>226</v>
      </c>
      <c r="E116" s="31">
        <v>8</v>
      </c>
      <c r="F116" s="31">
        <v>5</v>
      </c>
      <c r="G116" s="31">
        <v>0</v>
      </c>
      <c r="H116" s="14">
        <f t="shared" ref="H116:H149" si="14">SUM(B116:G116)</f>
        <v>337</v>
      </c>
      <c r="I116" s="1"/>
      <c r="R116" s="4"/>
      <c r="S116" s="1"/>
    </row>
    <row r="117" spans="1:19" x14ac:dyDescent="0.25">
      <c r="A117" s="7" t="s">
        <v>158</v>
      </c>
      <c r="B117" s="11">
        <v>87</v>
      </c>
      <c r="C117" s="11">
        <v>8</v>
      </c>
      <c r="D117" s="11">
        <v>256</v>
      </c>
      <c r="E117" s="11">
        <v>10</v>
      </c>
      <c r="F117" s="11">
        <v>12</v>
      </c>
      <c r="G117" s="11">
        <v>0</v>
      </c>
      <c r="H117" s="14">
        <f t="shared" si="14"/>
        <v>373</v>
      </c>
      <c r="I117" s="1"/>
      <c r="R117" s="4"/>
      <c r="S117" s="1"/>
    </row>
    <row r="118" spans="1:19" x14ac:dyDescent="0.25">
      <c r="A118" s="7" t="s">
        <v>156</v>
      </c>
      <c r="B118" s="11">
        <v>68</v>
      </c>
      <c r="C118" s="11">
        <v>0</v>
      </c>
      <c r="D118" s="11">
        <v>58</v>
      </c>
      <c r="E118" s="11">
        <v>5</v>
      </c>
      <c r="F118" s="11">
        <v>7</v>
      </c>
      <c r="G118" s="11">
        <v>0</v>
      </c>
      <c r="H118" s="14">
        <f t="shared" si="14"/>
        <v>138</v>
      </c>
      <c r="I118" s="1"/>
      <c r="R118" s="4"/>
      <c r="S118" s="1"/>
    </row>
    <row r="119" spans="1:19" x14ac:dyDescent="0.25">
      <c r="A119" s="7" t="s">
        <v>187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14">
        <f t="shared" si="14"/>
        <v>0</v>
      </c>
      <c r="I119" s="1"/>
      <c r="R119" s="4"/>
      <c r="S119" s="1"/>
    </row>
    <row r="120" spans="1:19" x14ac:dyDescent="0.25">
      <c r="A120" s="7" t="s">
        <v>157</v>
      </c>
      <c r="B120" s="11">
        <v>71</v>
      </c>
      <c r="C120" s="11">
        <v>2</v>
      </c>
      <c r="D120" s="11">
        <v>113</v>
      </c>
      <c r="E120" s="11">
        <v>3</v>
      </c>
      <c r="F120" s="11">
        <v>5</v>
      </c>
      <c r="G120" s="11">
        <v>0</v>
      </c>
      <c r="H120" s="14">
        <f t="shared" si="14"/>
        <v>194</v>
      </c>
      <c r="I120" s="1"/>
      <c r="R120" s="4"/>
      <c r="S120" s="1"/>
    </row>
    <row r="121" spans="1:19" x14ac:dyDescent="0.25">
      <c r="A121" s="7" t="s">
        <v>125</v>
      </c>
      <c r="B121" s="11">
        <v>44</v>
      </c>
      <c r="C121" s="11">
        <v>2</v>
      </c>
      <c r="D121" s="11">
        <v>18</v>
      </c>
      <c r="E121" s="11">
        <v>0</v>
      </c>
      <c r="F121" s="11">
        <v>1</v>
      </c>
      <c r="G121" s="11">
        <v>0</v>
      </c>
      <c r="H121" s="14">
        <f t="shared" si="14"/>
        <v>65</v>
      </c>
      <c r="I121" s="1"/>
      <c r="R121" s="4"/>
      <c r="S121" s="1"/>
    </row>
    <row r="122" spans="1:19" x14ac:dyDescent="0.25">
      <c r="A122" s="7" t="s">
        <v>126</v>
      </c>
      <c r="B122" s="11">
        <v>46</v>
      </c>
      <c r="C122" s="11">
        <v>2</v>
      </c>
      <c r="D122" s="11">
        <v>25</v>
      </c>
      <c r="E122" s="11">
        <v>0</v>
      </c>
      <c r="F122" s="11">
        <v>0</v>
      </c>
      <c r="G122" s="11">
        <v>0</v>
      </c>
      <c r="H122" s="14">
        <f t="shared" si="14"/>
        <v>73</v>
      </c>
      <c r="I122" s="1"/>
      <c r="R122" s="4"/>
      <c r="S122" s="1"/>
    </row>
    <row r="123" spans="1:19" x14ac:dyDescent="0.25">
      <c r="A123" s="7" t="s">
        <v>103</v>
      </c>
      <c r="B123" s="11">
        <v>14</v>
      </c>
      <c r="C123" s="11">
        <v>0</v>
      </c>
      <c r="D123" s="11">
        <v>28</v>
      </c>
      <c r="E123" s="11">
        <v>1</v>
      </c>
      <c r="F123" s="11">
        <v>1</v>
      </c>
      <c r="G123" s="11">
        <v>0</v>
      </c>
      <c r="H123" s="14">
        <f t="shared" si="14"/>
        <v>44</v>
      </c>
      <c r="I123" s="1"/>
      <c r="R123" s="4"/>
      <c r="S123" s="1"/>
    </row>
    <row r="124" spans="1:19" x14ac:dyDescent="0.25">
      <c r="A124" s="7" t="s">
        <v>127</v>
      </c>
      <c r="B124" s="11">
        <v>32</v>
      </c>
      <c r="C124" s="11">
        <v>0</v>
      </c>
      <c r="D124" s="11">
        <v>22</v>
      </c>
      <c r="E124" s="11">
        <v>0</v>
      </c>
      <c r="F124" s="11">
        <v>0</v>
      </c>
      <c r="G124" s="11">
        <v>0</v>
      </c>
      <c r="H124" s="14">
        <f t="shared" si="14"/>
        <v>54</v>
      </c>
      <c r="I124" s="1"/>
      <c r="R124" s="4"/>
      <c r="S124" s="1"/>
    </row>
    <row r="125" spans="1:19" x14ac:dyDescent="0.25">
      <c r="A125" s="7" t="s">
        <v>128</v>
      </c>
      <c r="B125" s="11">
        <v>25</v>
      </c>
      <c r="C125" s="11">
        <v>0</v>
      </c>
      <c r="D125" s="11">
        <v>29</v>
      </c>
      <c r="E125" s="11">
        <v>1</v>
      </c>
      <c r="F125" s="11">
        <v>0</v>
      </c>
      <c r="G125" s="11">
        <v>0</v>
      </c>
      <c r="H125" s="14">
        <f t="shared" si="14"/>
        <v>55</v>
      </c>
      <c r="I125" s="1"/>
      <c r="R125" s="4"/>
      <c r="S125" s="1"/>
    </row>
    <row r="126" spans="1:19" x14ac:dyDescent="0.25">
      <c r="A126" s="7" t="s">
        <v>129</v>
      </c>
      <c r="B126" s="11">
        <v>34</v>
      </c>
      <c r="C126" s="11">
        <v>0</v>
      </c>
      <c r="D126" s="11">
        <v>14</v>
      </c>
      <c r="E126" s="11">
        <v>0</v>
      </c>
      <c r="F126" s="11">
        <v>1</v>
      </c>
      <c r="G126" s="11">
        <v>0</v>
      </c>
      <c r="H126" s="14">
        <f t="shared" si="14"/>
        <v>49</v>
      </c>
      <c r="I126" s="1"/>
      <c r="R126" s="4"/>
      <c r="S126" s="1"/>
    </row>
    <row r="127" spans="1:19" x14ac:dyDescent="0.25">
      <c r="A127" s="7" t="s">
        <v>44</v>
      </c>
      <c r="B127" s="11">
        <v>19</v>
      </c>
      <c r="C127" s="11">
        <v>2</v>
      </c>
      <c r="D127" s="11">
        <v>62</v>
      </c>
      <c r="E127" s="11">
        <v>0</v>
      </c>
      <c r="F127" s="11">
        <v>5</v>
      </c>
      <c r="G127" s="11">
        <v>0</v>
      </c>
      <c r="H127" s="14">
        <f t="shared" si="14"/>
        <v>88</v>
      </c>
      <c r="I127" s="1"/>
      <c r="R127" s="4"/>
      <c r="S127" s="1"/>
    </row>
    <row r="128" spans="1:19" x14ac:dyDescent="0.25">
      <c r="A128" s="7" t="s">
        <v>92</v>
      </c>
      <c r="B128" s="11">
        <v>5</v>
      </c>
      <c r="C128" s="11">
        <v>0</v>
      </c>
      <c r="D128" s="11">
        <v>62</v>
      </c>
      <c r="E128" s="11">
        <v>0</v>
      </c>
      <c r="F128" s="11">
        <v>5</v>
      </c>
      <c r="G128" s="11">
        <v>0</v>
      </c>
      <c r="H128" s="14">
        <f t="shared" si="14"/>
        <v>72</v>
      </c>
      <c r="I128" s="1"/>
      <c r="R128" s="4"/>
      <c r="S128" s="1"/>
    </row>
    <row r="129" spans="1:19" x14ac:dyDescent="0.25">
      <c r="A129" s="7" t="s">
        <v>45</v>
      </c>
      <c r="B129" s="11">
        <v>18</v>
      </c>
      <c r="C129" s="11">
        <v>0</v>
      </c>
      <c r="D129" s="11">
        <v>8</v>
      </c>
      <c r="E129" s="11">
        <v>0</v>
      </c>
      <c r="F129" s="11">
        <v>1</v>
      </c>
      <c r="G129" s="11">
        <v>0</v>
      </c>
      <c r="H129" s="14">
        <f t="shared" si="14"/>
        <v>27</v>
      </c>
      <c r="I129" s="1"/>
      <c r="R129" s="4"/>
      <c r="S129" s="1"/>
    </row>
    <row r="130" spans="1:19" x14ac:dyDescent="0.25">
      <c r="A130" s="7" t="s">
        <v>99</v>
      </c>
      <c r="B130" s="11">
        <v>91</v>
      </c>
      <c r="C130" s="11">
        <v>39</v>
      </c>
      <c r="D130" s="11">
        <v>12</v>
      </c>
      <c r="E130" s="11">
        <v>0</v>
      </c>
      <c r="F130" s="11">
        <v>2</v>
      </c>
      <c r="G130" s="11">
        <v>0</v>
      </c>
      <c r="H130" s="14">
        <f t="shared" si="14"/>
        <v>144</v>
      </c>
      <c r="I130" s="1"/>
      <c r="R130" s="4"/>
      <c r="S130" s="1"/>
    </row>
    <row r="131" spans="1:19" ht="15.75" customHeight="1" x14ac:dyDescent="0.25">
      <c r="A131" s="7" t="s">
        <v>100</v>
      </c>
      <c r="B131" s="11">
        <v>2</v>
      </c>
      <c r="C131" s="11">
        <v>0</v>
      </c>
      <c r="D131" s="11">
        <v>29</v>
      </c>
      <c r="E131" s="11">
        <v>5</v>
      </c>
      <c r="F131" s="11">
        <v>2</v>
      </c>
      <c r="G131" s="11">
        <v>0</v>
      </c>
      <c r="H131" s="14">
        <f t="shared" si="14"/>
        <v>38</v>
      </c>
      <c r="I131" s="1"/>
      <c r="R131" s="4"/>
      <c r="S131" s="1"/>
    </row>
    <row r="132" spans="1:19" x14ac:dyDescent="0.25">
      <c r="A132" s="7" t="s">
        <v>46</v>
      </c>
      <c r="B132" s="11">
        <v>2</v>
      </c>
      <c r="C132" s="11">
        <v>0</v>
      </c>
      <c r="D132" s="11">
        <v>6</v>
      </c>
      <c r="E132" s="11">
        <v>0</v>
      </c>
      <c r="F132" s="11">
        <v>0</v>
      </c>
      <c r="G132" s="11">
        <v>0</v>
      </c>
      <c r="H132" s="14">
        <f t="shared" si="14"/>
        <v>8</v>
      </c>
      <c r="I132" s="1"/>
      <c r="R132" s="4"/>
      <c r="S132" s="1"/>
    </row>
    <row r="133" spans="1:19" x14ac:dyDescent="0.25">
      <c r="A133" s="7" t="s">
        <v>47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  <c r="H133" s="14">
        <f t="shared" si="14"/>
        <v>0</v>
      </c>
      <c r="I133" s="1"/>
      <c r="R133" s="4"/>
      <c r="S133" s="1"/>
    </row>
    <row r="134" spans="1:19" x14ac:dyDescent="0.25">
      <c r="A134" s="7" t="s">
        <v>53</v>
      </c>
      <c r="B134" s="11">
        <v>2</v>
      </c>
      <c r="C134" s="11">
        <v>0</v>
      </c>
      <c r="D134" s="11">
        <v>4</v>
      </c>
      <c r="E134" s="11">
        <v>0</v>
      </c>
      <c r="F134" s="11">
        <v>0</v>
      </c>
      <c r="G134" s="11">
        <v>0</v>
      </c>
      <c r="H134" s="14">
        <f t="shared" si="14"/>
        <v>6</v>
      </c>
      <c r="I134" s="1"/>
      <c r="R134" s="4"/>
      <c r="S134" s="1"/>
    </row>
    <row r="135" spans="1:19" x14ac:dyDescent="0.25">
      <c r="A135" s="7" t="s">
        <v>134</v>
      </c>
      <c r="B135" s="11">
        <v>62</v>
      </c>
      <c r="C135" s="11">
        <v>4</v>
      </c>
      <c r="D135" s="11">
        <v>108</v>
      </c>
      <c r="E135" s="11">
        <v>2</v>
      </c>
      <c r="F135" s="11">
        <v>4</v>
      </c>
      <c r="G135" s="11">
        <v>0</v>
      </c>
      <c r="H135" s="14">
        <f t="shared" si="14"/>
        <v>180</v>
      </c>
      <c r="I135" s="1"/>
      <c r="R135" s="4"/>
      <c r="S135" s="1"/>
    </row>
    <row r="136" spans="1:19" x14ac:dyDescent="0.25">
      <c r="A136" s="7" t="s">
        <v>135</v>
      </c>
      <c r="B136" s="11">
        <v>72</v>
      </c>
      <c r="C136" s="11">
        <v>6</v>
      </c>
      <c r="D136" s="11">
        <v>169</v>
      </c>
      <c r="E136" s="11">
        <v>10</v>
      </c>
      <c r="F136" s="11">
        <v>6</v>
      </c>
      <c r="G136" s="11">
        <v>0</v>
      </c>
      <c r="H136" s="14">
        <f t="shared" si="14"/>
        <v>263</v>
      </c>
      <c r="I136" s="1"/>
      <c r="R136" s="4"/>
      <c r="S136" s="1"/>
    </row>
    <row r="137" spans="1:19" x14ac:dyDescent="0.25">
      <c r="A137" s="7" t="s">
        <v>49</v>
      </c>
      <c r="B137" s="11">
        <v>73</v>
      </c>
      <c r="C137" s="11">
        <v>6</v>
      </c>
      <c r="D137" s="11">
        <v>185</v>
      </c>
      <c r="E137" s="11">
        <v>10</v>
      </c>
      <c r="F137" s="11">
        <v>6</v>
      </c>
      <c r="G137" s="11">
        <v>0</v>
      </c>
      <c r="H137" s="27">
        <f t="shared" si="14"/>
        <v>280</v>
      </c>
      <c r="I137" s="1"/>
      <c r="R137" s="4"/>
      <c r="S137" s="1"/>
    </row>
    <row r="138" spans="1:19" x14ac:dyDescent="0.25">
      <c r="A138" s="7" t="s">
        <v>189</v>
      </c>
      <c r="B138" s="11">
        <v>12</v>
      </c>
      <c r="C138" s="11">
        <v>0</v>
      </c>
      <c r="D138" s="11">
        <v>19</v>
      </c>
      <c r="E138" s="11">
        <v>0</v>
      </c>
      <c r="F138" s="11">
        <v>1</v>
      </c>
      <c r="G138" s="11">
        <v>0</v>
      </c>
      <c r="H138" s="27">
        <f t="shared" si="14"/>
        <v>32</v>
      </c>
      <c r="I138" s="1"/>
      <c r="R138" s="4"/>
      <c r="S138" s="1"/>
    </row>
    <row r="139" spans="1:19" x14ac:dyDescent="0.25">
      <c r="A139" s="7" t="s">
        <v>50</v>
      </c>
      <c r="B139" s="11">
        <v>18</v>
      </c>
      <c r="C139" s="11">
        <v>51</v>
      </c>
      <c r="D139" s="11">
        <v>4</v>
      </c>
      <c r="E139" s="11">
        <v>0</v>
      </c>
      <c r="F139" s="11">
        <v>1</v>
      </c>
      <c r="G139" s="11">
        <v>0</v>
      </c>
      <c r="H139" s="14">
        <f t="shared" si="14"/>
        <v>74</v>
      </c>
      <c r="I139" s="1"/>
      <c r="R139" s="4"/>
      <c r="S139" s="1"/>
    </row>
    <row r="140" spans="1:19" x14ac:dyDescent="0.25">
      <c r="A140" s="7" t="s">
        <v>104</v>
      </c>
      <c r="B140" s="11">
        <v>12</v>
      </c>
      <c r="C140" s="11">
        <v>0</v>
      </c>
      <c r="D140" s="11">
        <v>3</v>
      </c>
      <c r="E140" s="11">
        <v>0</v>
      </c>
      <c r="F140" s="11">
        <v>0</v>
      </c>
      <c r="G140" s="11">
        <v>0</v>
      </c>
      <c r="H140" s="14">
        <f t="shared" si="14"/>
        <v>15</v>
      </c>
      <c r="I140" s="1"/>
      <c r="R140" s="6"/>
      <c r="S140" s="1"/>
    </row>
    <row r="141" spans="1:19" x14ac:dyDescent="0.25">
      <c r="A141" s="7" t="s">
        <v>51</v>
      </c>
      <c r="B141" s="11">
        <v>15</v>
      </c>
      <c r="C141" s="11">
        <v>0</v>
      </c>
      <c r="D141" s="11">
        <v>8</v>
      </c>
      <c r="E141" s="11">
        <v>0</v>
      </c>
      <c r="F141" s="11">
        <v>0</v>
      </c>
      <c r="G141" s="11">
        <v>0</v>
      </c>
      <c r="H141" s="14">
        <f t="shared" si="14"/>
        <v>23</v>
      </c>
    </row>
    <row r="142" spans="1:19" x14ac:dyDescent="0.25">
      <c r="A142" s="7" t="s">
        <v>52</v>
      </c>
      <c r="B142" s="11">
        <v>15</v>
      </c>
      <c r="C142" s="11">
        <v>0</v>
      </c>
      <c r="D142" s="11">
        <v>4</v>
      </c>
      <c r="E142" s="11">
        <v>0</v>
      </c>
      <c r="F142" s="11">
        <v>0</v>
      </c>
      <c r="G142" s="11">
        <v>0</v>
      </c>
      <c r="H142" s="14">
        <f t="shared" si="14"/>
        <v>19</v>
      </c>
    </row>
    <row r="143" spans="1:19" x14ac:dyDescent="0.25">
      <c r="A143" s="7" t="s">
        <v>115</v>
      </c>
      <c r="B143" s="11">
        <v>2</v>
      </c>
      <c r="C143" s="11">
        <v>0</v>
      </c>
      <c r="D143" s="11">
        <v>1</v>
      </c>
      <c r="E143" s="11">
        <v>0</v>
      </c>
      <c r="F143" s="11">
        <v>0</v>
      </c>
      <c r="G143" s="11">
        <v>0</v>
      </c>
      <c r="H143" s="14">
        <f t="shared" si="14"/>
        <v>3</v>
      </c>
    </row>
    <row r="144" spans="1:19" x14ac:dyDescent="0.25">
      <c r="A144" s="7" t="s">
        <v>116</v>
      </c>
      <c r="B144" s="11">
        <v>14</v>
      </c>
      <c r="C144" s="11">
        <v>0</v>
      </c>
      <c r="D144" s="11">
        <v>4</v>
      </c>
      <c r="E144" s="11">
        <v>0</v>
      </c>
      <c r="F144" s="11">
        <v>0</v>
      </c>
      <c r="G144" s="11">
        <v>0</v>
      </c>
      <c r="H144" s="14">
        <f t="shared" si="14"/>
        <v>18</v>
      </c>
    </row>
    <row r="145" spans="1:13" x14ac:dyDescent="0.25">
      <c r="A145" s="7" t="s">
        <v>102</v>
      </c>
      <c r="B145" s="11">
        <v>32</v>
      </c>
      <c r="C145" s="11">
        <v>0</v>
      </c>
      <c r="D145" s="11">
        <v>19</v>
      </c>
      <c r="E145" s="11">
        <v>0</v>
      </c>
      <c r="F145" s="11">
        <v>0</v>
      </c>
      <c r="G145" s="11">
        <v>0</v>
      </c>
      <c r="H145" s="14">
        <f>SUM(B145:G145)</f>
        <v>51</v>
      </c>
    </row>
    <row r="146" spans="1:13" x14ac:dyDescent="0.25">
      <c r="A146" s="7" t="s">
        <v>203</v>
      </c>
      <c r="B146" s="11">
        <v>32</v>
      </c>
      <c r="C146" s="11">
        <v>0</v>
      </c>
      <c r="D146" s="11">
        <v>12</v>
      </c>
      <c r="E146" s="11">
        <v>1</v>
      </c>
      <c r="F146" s="11">
        <v>0</v>
      </c>
      <c r="G146" s="11">
        <v>0</v>
      </c>
      <c r="H146" s="14">
        <f>SUM(B146:G146)</f>
        <v>45</v>
      </c>
    </row>
    <row r="147" spans="1:13" x14ac:dyDescent="0.25">
      <c r="A147" s="7" t="s">
        <v>197</v>
      </c>
      <c r="B147" s="11">
        <v>8</v>
      </c>
      <c r="C147" s="11">
        <v>0</v>
      </c>
      <c r="D147" s="11">
        <v>5</v>
      </c>
      <c r="E147" s="11">
        <v>0</v>
      </c>
      <c r="F147" s="11">
        <v>0</v>
      </c>
      <c r="G147" s="11">
        <v>0</v>
      </c>
      <c r="H147" s="14">
        <f t="shared" si="14"/>
        <v>13</v>
      </c>
    </row>
    <row r="148" spans="1:13" x14ac:dyDescent="0.25">
      <c r="A148" s="7" t="s">
        <v>217</v>
      </c>
      <c r="B148" s="11">
        <v>0</v>
      </c>
      <c r="C148" s="11">
        <v>0</v>
      </c>
      <c r="D148" s="11">
        <v>2</v>
      </c>
      <c r="E148" s="11">
        <v>0</v>
      </c>
      <c r="F148" s="11">
        <v>0</v>
      </c>
      <c r="G148" s="11">
        <v>0</v>
      </c>
      <c r="H148" s="14">
        <f t="shared" si="14"/>
        <v>2</v>
      </c>
    </row>
    <row r="149" spans="1:13" x14ac:dyDescent="0.25">
      <c r="A149" s="7" t="s">
        <v>198</v>
      </c>
      <c r="B149" s="11">
        <v>0</v>
      </c>
      <c r="C149" s="11">
        <v>0</v>
      </c>
      <c r="D149" s="11">
        <v>2</v>
      </c>
      <c r="E149" s="11">
        <v>0</v>
      </c>
      <c r="F149" s="11">
        <v>0</v>
      </c>
      <c r="G149" s="11">
        <v>0</v>
      </c>
      <c r="H149" s="14">
        <f t="shared" si="14"/>
        <v>2</v>
      </c>
    </row>
    <row r="150" spans="1:13" x14ac:dyDescent="0.25">
      <c r="A150" s="7" t="s">
        <v>199</v>
      </c>
      <c r="B150" s="11">
        <v>0</v>
      </c>
      <c r="C150" s="11">
        <v>0</v>
      </c>
      <c r="D150" s="11">
        <v>3</v>
      </c>
      <c r="E150" s="11">
        <v>0</v>
      </c>
      <c r="F150" s="11">
        <v>0</v>
      </c>
      <c r="G150" s="11">
        <v>0</v>
      </c>
      <c r="H150" s="14">
        <f>SUM(B150:G150)</f>
        <v>3</v>
      </c>
    </row>
    <row r="151" spans="1:13" x14ac:dyDescent="0.25">
      <c r="A151" s="7" t="s">
        <v>200</v>
      </c>
      <c r="B151" s="11">
        <v>6</v>
      </c>
      <c r="C151" s="11">
        <v>2</v>
      </c>
      <c r="D151" s="11">
        <v>12</v>
      </c>
      <c r="E151" s="11">
        <v>0</v>
      </c>
      <c r="F151" s="11">
        <v>2</v>
      </c>
      <c r="G151" s="11">
        <v>0</v>
      </c>
      <c r="H151" s="14">
        <f>SUM(B151:G151)</f>
        <v>22</v>
      </c>
    </row>
    <row r="152" spans="1:13" x14ac:dyDescent="0.25">
      <c r="A152" s="7"/>
      <c r="B152" s="11"/>
      <c r="C152" s="11"/>
      <c r="D152" s="17"/>
      <c r="E152" s="11"/>
      <c r="F152" s="17"/>
      <c r="G152" s="11"/>
      <c r="H152" s="26"/>
    </row>
    <row r="153" spans="1:13" x14ac:dyDescent="0.25">
      <c r="A153" s="7" t="s">
        <v>105</v>
      </c>
      <c r="B153" s="11">
        <v>12</v>
      </c>
      <c r="C153" s="11">
        <v>0</v>
      </c>
      <c r="D153" s="17">
        <v>21</v>
      </c>
      <c r="E153" s="11">
        <v>0</v>
      </c>
      <c r="F153" s="17">
        <v>1</v>
      </c>
      <c r="G153" s="11">
        <v>0</v>
      </c>
      <c r="H153" s="26">
        <f>SUM(B153:G153)</f>
        <v>34</v>
      </c>
    </row>
    <row r="154" spans="1:13" x14ac:dyDescent="0.25">
      <c r="A154" s="118" t="s">
        <v>206</v>
      </c>
      <c r="B154" s="11">
        <v>2</v>
      </c>
      <c r="C154" s="11">
        <v>0</v>
      </c>
      <c r="D154" s="11">
        <v>3</v>
      </c>
      <c r="E154" s="17">
        <v>0</v>
      </c>
      <c r="F154" s="11">
        <v>0</v>
      </c>
      <c r="G154" s="17">
        <v>0</v>
      </c>
      <c r="H154" s="26">
        <f t="shared" ref="H154:H155" si="15">SUM(B154:G154)</f>
        <v>5</v>
      </c>
    </row>
    <row r="155" spans="1:13" x14ac:dyDescent="0.25">
      <c r="A155" s="6" t="s">
        <v>207</v>
      </c>
      <c r="B155" s="93">
        <v>1</v>
      </c>
      <c r="C155" s="93">
        <v>0</v>
      </c>
      <c r="D155" s="93">
        <v>0</v>
      </c>
      <c r="E155" s="119">
        <v>0</v>
      </c>
      <c r="F155" s="93">
        <v>0</v>
      </c>
      <c r="G155" s="119">
        <v>0</v>
      </c>
      <c r="H155" s="26">
        <f t="shared" si="15"/>
        <v>1</v>
      </c>
    </row>
    <row r="159" spans="1:13" x14ac:dyDescent="0.25">
      <c r="J159" s="133"/>
      <c r="K159" s="133"/>
      <c r="L159" s="133"/>
      <c r="M159" s="133"/>
    </row>
    <row r="160" spans="1:13" x14ac:dyDescent="0.25">
      <c r="J160" s="133"/>
    </row>
    <row r="167" spans="10:17" x14ac:dyDescent="0.25">
      <c r="P167" s="5"/>
      <c r="Q167" s="5"/>
    </row>
    <row r="169" spans="10:17" x14ac:dyDescent="0.25">
      <c r="J169" s="5"/>
      <c r="K169" s="5"/>
      <c r="L169" s="5"/>
      <c r="M169" s="5"/>
      <c r="N169" s="1"/>
      <c r="O169" s="1"/>
    </row>
  </sheetData>
  <mergeCells count="30">
    <mergeCell ref="K109:K110"/>
    <mergeCell ref="J52:Q52"/>
    <mergeCell ref="A3:R3"/>
    <mergeCell ref="B4:J4"/>
    <mergeCell ref="L4:R4"/>
    <mergeCell ref="A9:A10"/>
    <mergeCell ref="B9:H9"/>
    <mergeCell ref="J9:J10"/>
    <mergeCell ref="K9:Q9"/>
    <mergeCell ref="J26:J27"/>
    <mergeCell ref="K26:Q26"/>
    <mergeCell ref="J39:J40"/>
    <mergeCell ref="K39:Q39"/>
    <mergeCell ref="J50:M50"/>
    <mergeCell ref="A115:H115"/>
    <mergeCell ref="J159:J160"/>
    <mergeCell ref="K159:M159"/>
    <mergeCell ref="A108:H108"/>
    <mergeCell ref="J53:P53"/>
    <mergeCell ref="J54:P54"/>
    <mergeCell ref="J55:P55"/>
    <mergeCell ref="J56:P56"/>
    <mergeCell ref="J57:P57"/>
    <mergeCell ref="J58:P58"/>
    <mergeCell ref="J59:P59"/>
    <mergeCell ref="J60:P60"/>
    <mergeCell ref="J61:P61"/>
    <mergeCell ref="J62:P62"/>
    <mergeCell ref="K86:M86"/>
    <mergeCell ref="J109:J110"/>
  </mergeCells>
  <pageMargins left="1" right="1" top="1" bottom="1" header="0.5" footer="0.5"/>
  <pageSetup paperSize="9" scale="50" fitToHeight="0" orientation="landscape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B9687-12D0-4C8E-9526-82908E6D90D3}">
  <sheetPr>
    <pageSetUpPr fitToPage="1"/>
  </sheetPr>
  <dimension ref="A3:S168"/>
  <sheetViews>
    <sheetView topLeftCell="A19" zoomScale="80" zoomScaleNormal="80" workbookViewId="0">
      <selection activeCell="A49" sqref="A49"/>
    </sheetView>
  </sheetViews>
  <sheetFormatPr baseColWidth="10" defaultRowHeight="15" x14ac:dyDescent="0.25"/>
  <cols>
    <col min="1" max="1" width="49.85546875" customWidth="1"/>
    <col min="2" max="6" width="9.85546875" customWidth="1"/>
    <col min="7" max="7" width="13.5703125" customWidth="1"/>
    <col min="8" max="8" width="9.28515625" customWidth="1"/>
    <col min="9" max="9" width="9.42578125" customWidth="1"/>
    <col min="10" max="10" width="43.7109375" customWidth="1"/>
    <col min="11" max="15" width="9.28515625" customWidth="1"/>
    <col min="16" max="16" width="10.42578125" customWidth="1"/>
    <col min="17" max="17" width="10" customWidth="1"/>
    <col min="18" max="18" width="2.85546875" customWidth="1"/>
  </cols>
  <sheetData>
    <row r="3" spans="1:19" ht="26.25" x14ac:dyDescent="0.25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"/>
    </row>
    <row r="4" spans="1:19" ht="15.75" x14ac:dyDescent="0.25">
      <c r="A4" s="1" t="s">
        <v>12</v>
      </c>
      <c r="B4" s="155" t="s">
        <v>16</v>
      </c>
      <c r="C4" s="156"/>
      <c r="D4" s="156"/>
      <c r="E4" s="156"/>
      <c r="F4" s="156"/>
      <c r="G4" s="156"/>
      <c r="H4" s="156"/>
      <c r="I4" s="156"/>
      <c r="J4" s="157"/>
      <c r="K4" s="9" t="s">
        <v>14</v>
      </c>
      <c r="L4" s="147" t="s">
        <v>185</v>
      </c>
      <c r="M4" s="148"/>
      <c r="N4" s="148"/>
      <c r="O4" s="148"/>
      <c r="P4" s="148"/>
      <c r="Q4" s="148"/>
      <c r="R4" s="149"/>
      <c r="S4" s="1"/>
    </row>
    <row r="5" spans="1:19" x14ac:dyDescent="0.25">
      <c r="A5" s="1"/>
      <c r="B5" s="1"/>
      <c r="C5" s="1"/>
      <c r="D5" s="10"/>
      <c r="E5" s="1"/>
      <c r="F5" s="1"/>
      <c r="G5" s="1"/>
      <c r="H5" s="1"/>
      <c r="I5" s="1"/>
      <c r="J5" s="1"/>
      <c r="K5" s="9"/>
      <c r="L5" s="10"/>
      <c r="M5" s="10"/>
      <c r="N5" s="10"/>
      <c r="O5" s="10"/>
      <c r="P5" s="10"/>
      <c r="Q5" s="10"/>
      <c r="R5" s="10"/>
      <c r="S5" s="1"/>
    </row>
    <row r="6" spans="1:19" x14ac:dyDescent="0.25">
      <c r="A6" s="1" t="s">
        <v>15</v>
      </c>
      <c r="B6" s="30">
        <v>3</v>
      </c>
      <c r="C6" s="1"/>
      <c r="D6" s="10"/>
      <c r="E6" s="1"/>
      <c r="F6" s="1"/>
      <c r="G6" s="1"/>
      <c r="H6" s="1"/>
      <c r="I6" s="1"/>
      <c r="J6" s="1"/>
      <c r="K6" s="9" t="s">
        <v>13</v>
      </c>
      <c r="L6" s="30">
        <v>2025</v>
      </c>
      <c r="M6" s="1"/>
      <c r="N6" s="1"/>
      <c r="O6" s="1"/>
      <c r="P6" s="1"/>
      <c r="Q6" s="1"/>
      <c r="R6" s="1"/>
      <c r="S6" s="1"/>
    </row>
    <row r="7" spans="1:19" x14ac:dyDescent="0.25">
      <c r="A7" s="1"/>
      <c r="B7" s="1"/>
      <c r="C7" s="1"/>
      <c r="D7" s="10"/>
      <c r="E7" s="1"/>
      <c r="F7" s="1"/>
      <c r="G7" s="1"/>
      <c r="H7" s="1"/>
      <c r="I7" s="1"/>
      <c r="J7" s="1"/>
      <c r="K7" s="1"/>
      <c r="L7" s="44"/>
      <c r="M7" s="1"/>
      <c r="N7" s="1"/>
      <c r="O7" s="1"/>
      <c r="P7" s="1"/>
      <c r="Q7" s="1"/>
      <c r="R7" s="1"/>
      <c r="S7" s="1"/>
    </row>
    <row r="8" spans="1:19" ht="15.75" thickBot="1" x14ac:dyDescent="0.3">
      <c r="A8" s="2"/>
      <c r="B8" s="2"/>
      <c r="C8" s="2"/>
      <c r="D8" s="20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3"/>
      <c r="S8" s="1"/>
    </row>
    <row r="9" spans="1:19" x14ac:dyDescent="0.25">
      <c r="A9" s="150" t="s">
        <v>148</v>
      </c>
      <c r="B9" s="152" t="s">
        <v>11</v>
      </c>
      <c r="C9" s="152"/>
      <c r="D9" s="152"/>
      <c r="E9" s="152"/>
      <c r="F9" s="152"/>
      <c r="G9" s="152"/>
      <c r="H9" s="152"/>
      <c r="I9" s="1"/>
      <c r="J9" s="153" t="s">
        <v>149</v>
      </c>
      <c r="K9" s="136" t="s">
        <v>11</v>
      </c>
      <c r="L9" s="136"/>
      <c r="M9" s="136"/>
      <c r="N9" s="136"/>
      <c r="O9" s="136"/>
      <c r="P9" s="136"/>
      <c r="Q9" s="137"/>
      <c r="R9" s="4"/>
      <c r="S9" s="1"/>
    </row>
    <row r="10" spans="1:19" x14ac:dyDescent="0.25">
      <c r="A10" s="151"/>
      <c r="B10" s="30" t="s">
        <v>8</v>
      </c>
      <c r="C10" s="30" t="s">
        <v>9</v>
      </c>
      <c r="D10" s="30" t="s">
        <v>10</v>
      </c>
      <c r="E10" s="30" t="s">
        <v>154</v>
      </c>
      <c r="F10" s="30" t="s">
        <v>155</v>
      </c>
      <c r="G10" s="30" t="s">
        <v>147</v>
      </c>
      <c r="H10" s="30" t="s">
        <v>11</v>
      </c>
      <c r="I10" s="1"/>
      <c r="J10" s="154"/>
      <c r="K10" s="30" t="s">
        <v>8</v>
      </c>
      <c r="L10" s="30" t="s">
        <v>9</v>
      </c>
      <c r="M10" s="30" t="s">
        <v>10</v>
      </c>
      <c r="N10" s="30" t="s">
        <v>154</v>
      </c>
      <c r="O10" s="30" t="s">
        <v>155</v>
      </c>
      <c r="P10" s="30" t="s">
        <v>147</v>
      </c>
      <c r="Q10" s="54" t="s">
        <v>11</v>
      </c>
      <c r="R10" s="4"/>
      <c r="S10" s="1"/>
    </row>
    <row r="11" spans="1:19" x14ac:dyDescent="0.25">
      <c r="A11" s="15" t="s">
        <v>0</v>
      </c>
      <c r="B11" s="16">
        <f t="shared" ref="B11:G11" si="0">B12+B51+B69+B82+B95</f>
        <v>13313</v>
      </c>
      <c r="C11" s="16">
        <f t="shared" si="0"/>
        <v>17733</v>
      </c>
      <c r="D11" s="16">
        <f t="shared" si="0"/>
        <v>13544</v>
      </c>
      <c r="E11" s="16">
        <f t="shared" si="0"/>
        <v>760</v>
      </c>
      <c r="F11" s="16">
        <f t="shared" si="0"/>
        <v>525</v>
      </c>
      <c r="G11" s="16">
        <f t="shared" si="0"/>
        <v>7</v>
      </c>
      <c r="H11" s="12">
        <f>SUM(B11:G11)</f>
        <v>45882</v>
      </c>
      <c r="I11" s="1"/>
      <c r="J11" s="79" t="s">
        <v>85</v>
      </c>
      <c r="K11" s="74">
        <f t="shared" ref="K11:P11" si="1">SUM(K12:K23)</f>
        <v>664</v>
      </c>
      <c r="L11" s="74">
        <f t="shared" si="1"/>
        <v>0</v>
      </c>
      <c r="M11" s="74">
        <f t="shared" si="1"/>
        <v>879</v>
      </c>
      <c r="N11" s="74">
        <f t="shared" si="1"/>
        <v>4</v>
      </c>
      <c r="O11" s="74">
        <f t="shared" si="1"/>
        <v>1</v>
      </c>
      <c r="P11" s="74">
        <f t="shared" si="1"/>
        <v>0</v>
      </c>
      <c r="Q11" s="80">
        <f t="shared" ref="Q11:Q23" si="2">SUM(K11:P11)</f>
        <v>1548</v>
      </c>
      <c r="R11" s="4"/>
      <c r="S11" s="1"/>
    </row>
    <row r="12" spans="1:19" x14ac:dyDescent="0.25">
      <c r="A12" s="73" t="s">
        <v>1</v>
      </c>
      <c r="B12" s="74">
        <f t="shared" ref="B12:G12" si="3">SUM(B13:B50)</f>
        <v>8810</v>
      </c>
      <c r="C12" s="74">
        <f t="shared" si="3"/>
        <v>11473</v>
      </c>
      <c r="D12" s="74">
        <f t="shared" si="3"/>
        <v>8363</v>
      </c>
      <c r="E12" s="74">
        <f t="shared" si="3"/>
        <v>466</v>
      </c>
      <c r="F12" s="74">
        <f t="shared" si="3"/>
        <v>372</v>
      </c>
      <c r="G12" s="74">
        <f t="shared" si="3"/>
        <v>0</v>
      </c>
      <c r="H12" s="74">
        <f>SUM(B12:G12)</f>
        <v>29484</v>
      </c>
      <c r="I12" s="1"/>
      <c r="J12" s="55" t="s">
        <v>4</v>
      </c>
      <c r="K12" s="68">
        <v>0</v>
      </c>
      <c r="L12" s="68">
        <v>0</v>
      </c>
      <c r="M12" s="68">
        <v>41</v>
      </c>
      <c r="N12" s="68">
        <v>3</v>
      </c>
      <c r="O12" s="68">
        <v>0</v>
      </c>
      <c r="P12" s="68">
        <v>0</v>
      </c>
      <c r="Q12" s="40">
        <f t="shared" si="2"/>
        <v>44</v>
      </c>
      <c r="R12" s="4"/>
      <c r="S12" s="1"/>
    </row>
    <row r="13" spans="1:19" x14ac:dyDescent="0.25">
      <c r="A13" s="8" t="s">
        <v>17</v>
      </c>
      <c r="B13" s="17">
        <v>31</v>
      </c>
      <c r="C13" s="11">
        <v>0</v>
      </c>
      <c r="D13" s="11">
        <v>58</v>
      </c>
      <c r="E13" s="11">
        <v>2</v>
      </c>
      <c r="F13" s="11">
        <v>4</v>
      </c>
      <c r="G13" s="11">
        <v>0</v>
      </c>
      <c r="H13" s="12">
        <f>SUM(B13:G13)</f>
        <v>95</v>
      </c>
      <c r="I13" s="1"/>
      <c r="J13" s="55" t="s">
        <v>81</v>
      </c>
      <c r="K13" s="68">
        <v>0</v>
      </c>
      <c r="L13" s="68">
        <v>0</v>
      </c>
      <c r="M13" s="68">
        <v>5</v>
      </c>
      <c r="N13" s="68">
        <v>0</v>
      </c>
      <c r="O13" s="68">
        <v>0</v>
      </c>
      <c r="P13" s="68">
        <v>0</v>
      </c>
      <c r="Q13" s="40">
        <f t="shared" si="2"/>
        <v>5</v>
      </c>
      <c r="R13" s="4"/>
      <c r="S13" s="1"/>
    </row>
    <row r="14" spans="1:19" x14ac:dyDescent="0.25">
      <c r="A14" s="7" t="s">
        <v>18</v>
      </c>
      <c r="B14" s="17">
        <v>41</v>
      </c>
      <c r="C14" s="11">
        <v>1</v>
      </c>
      <c r="D14" s="11">
        <v>26</v>
      </c>
      <c r="E14" s="11">
        <v>1</v>
      </c>
      <c r="F14" s="11">
        <v>2</v>
      </c>
      <c r="G14" s="11">
        <v>0</v>
      </c>
      <c r="H14" s="12">
        <f t="shared" ref="H14:H48" si="4">SUM(B14:G14)</f>
        <v>71</v>
      </c>
      <c r="I14" s="1"/>
      <c r="J14" s="56" t="s">
        <v>5</v>
      </c>
      <c r="K14" s="68">
        <v>11</v>
      </c>
      <c r="L14" s="68">
        <v>0</v>
      </c>
      <c r="M14" s="68">
        <v>61</v>
      </c>
      <c r="N14" s="68">
        <v>1</v>
      </c>
      <c r="O14" s="68">
        <v>1</v>
      </c>
      <c r="P14" s="68">
        <v>0</v>
      </c>
      <c r="Q14" s="40">
        <f>SUM(K14:P14)</f>
        <v>74</v>
      </c>
      <c r="R14" s="4"/>
      <c r="S14" s="1"/>
    </row>
    <row r="15" spans="1:19" x14ac:dyDescent="0.25">
      <c r="A15" s="7" t="s">
        <v>19</v>
      </c>
      <c r="B15" s="17">
        <v>65</v>
      </c>
      <c r="C15" s="11">
        <v>129</v>
      </c>
      <c r="D15" s="13">
        <v>15</v>
      </c>
      <c r="E15" s="13">
        <v>6</v>
      </c>
      <c r="F15" s="13">
        <v>1</v>
      </c>
      <c r="G15" s="13">
        <v>0</v>
      </c>
      <c r="H15" s="12">
        <f>SUM(B15:G15)</f>
        <v>216</v>
      </c>
      <c r="I15" s="1"/>
      <c r="J15" s="56" t="s">
        <v>80</v>
      </c>
      <c r="K15" s="68">
        <v>48</v>
      </c>
      <c r="L15" s="68">
        <v>0</v>
      </c>
      <c r="M15" s="68">
        <v>41</v>
      </c>
      <c r="N15" s="68">
        <v>0</v>
      </c>
      <c r="O15" s="68">
        <v>0</v>
      </c>
      <c r="P15" s="68">
        <v>0</v>
      </c>
      <c r="Q15" s="40">
        <f t="shared" si="2"/>
        <v>89</v>
      </c>
      <c r="R15" s="4"/>
      <c r="S15" s="1"/>
    </row>
    <row r="16" spans="1:19" x14ac:dyDescent="0.25">
      <c r="A16" s="7" t="s">
        <v>27</v>
      </c>
      <c r="B16" s="10">
        <v>733</v>
      </c>
      <c r="C16" s="11">
        <v>1572</v>
      </c>
      <c r="D16" s="11">
        <v>911</v>
      </c>
      <c r="E16" s="11">
        <v>66</v>
      </c>
      <c r="F16" s="11">
        <v>36</v>
      </c>
      <c r="G16" s="11">
        <v>0</v>
      </c>
      <c r="H16" s="12">
        <f t="shared" si="4"/>
        <v>3318</v>
      </c>
      <c r="I16" s="1"/>
      <c r="J16" s="57" t="s">
        <v>83</v>
      </c>
      <c r="K16" s="69">
        <v>5</v>
      </c>
      <c r="L16" s="69">
        <v>0</v>
      </c>
      <c r="M16" s="69">
        <v>0</v>
      </c>
      <c r="N16" s="69">
        <v>0</v>
      </c>
      <c r="O16" s="69">
        <v>0</v>
      </c>
      <c r="P16" s="69">
        <v>0</v>
      </c>
      <c r="Q16" s="40">
        <f t="shared" si="2"/>
        <v>5</v>
      </c>
      <c r="R16" s="4"/>
      <c r="S16" s="1"/>
    </row>
    <row r="17" spans="1:19" x14ac:dyDescent="0.25">
      <c r="A17" s="7" t="s">
        <v>186</v>
      </c>
      <c r="B17" s="10">
        <v>0</v>
      </c>
      <c r="C17" s="11">
        <v>0</v>
      </c>
      <c r="D17" s="11">
        <v>13</v>
      </c>
      <c r="E17" s="11">
        <v>0</v>
      </c>
      <c r="F17" s="11">
        <v>1</v>
      </c>
      <c r="G17" s="11">
        <v>0</v>
      </c>
      <c r="H17" s="12">
        <f t="shared" si="4"/>
        <v>14</v>
      </c>
      <c r="I17" s="1"/>
      <c r="J17" s="50" t="s">
        <v>162</v>
      </c>
      <c r="K17" s="69">
        <v>200</v>
      </c>
      <c r="L17" s="69">
        <v>0</v>
      </c>
      <c r="M17" s="69">
        <v>239</v>
      </c>
      <c r="N17" s="69">
        <v>0</v>
      </c>
      <c r="O17" s="69">
        <v>0</v>
      </c>
      <c r="P17" s="69">
        <v>0</v>
      </c>
      <c r="Q17" s="40">
        <f t="shared" si="2"/>
        <v>439</v>
      </c>
      <c r="R17" s="4"/>
      <c r="S17" s="1"/>
    </row>
    <row r="18" spans="1:19" x14ac:dyDescent="0.25">
      <c r="A18" s="7" t="s">
        <v>188</v>
      </c>
      <c r="B18" s="10">
        <v>23</v>
      </c>
      <c r="C18" s="11">
        <v>0</v>
      </c>
      <c r="D18" s="11">
        <v>19</v>
      </c>
      <c r="E18" s="11">
        <v>0</v>
      </c>
      <c r="F18" s="11">
        <v>1</v>
      </c>
      <c r="G18" s="11">
        <v>0</v>
      </c>
      <c r="H18" s="12">
        <f t="shared" si="4"/>
        <v>43</v>
      </c>
      <c r="I18" s="1"/>
      <c r="J18" s="50" t="s">
        <v>163</v>
      </c>
      <c r="K18" s="69">
        <v>200</v>
      </c>
      <c r="L18" s="69">
        <v>0</v>
      </c>
      <c r="M18" s="69">
        <v>243</v>
      </c>
      <c r="N18" s="69">
        <v>0</v>
      </c>
      <c r="O18" s="69">
        <v>0</v>
      </c>
      <c r="P18" s="69">
        <v>0</v>
      </c>
      <c r="Q18" s="40">
        <f t="shared" si="2"/>
        <v>443</v>
      </c>
      <c r="R18" s="4"/>
      <c r="S18" s="1"/>
    </row>
    <row r="19" spans="1:19" x14ac:dyDescent="0.25">
      <c r="A19" s="7" t="s">
        <v>28</v>
      </c>
      <c r="B19" s="17">
        <v>97</v>
      </c>
      <c r="C19" s="11">
        <v>43</v>
      </c>
      <c r="D19" s="11">
        <v>195</v>
      </c>
      <c r="E19" s="11">
        <v>8</v>
      </c>
      <c r="F19" s="11">
        <v>7</v>
      </c>
      <c r="G19" s="11">
        <v>0</v>
      </c>
      <c r="H19" s="12">
        <f t="shared" si="4"/>
        <v>350</v>
      </c>
      <c r="I19" s="1"/>
      <c r="J19" s="50" t="s">
        <v>164</v>
      </c>
      <c r="K19" s="69">
        <v>200</v>
      </c>
      <c r="L19" s="69">
        <v>0</v>
      </c>
      <c r="M19" s="69">
        <v>243</v>
      </c>
      <c r="N19" s="69">
        <v>0</v>
      </c>
      <c r="O19" s="69">
        <v>0</v>
      </c>
      <c r="P19" s="69">
        <v>0</v>
      </c>
      <c r="Q19" s="40">
        <f t="shared" si="2"/>
        <v>443</v>
      </c>
      <c r="R19" s="4"/>
      <c r="S19" s="1"/>
    </row>
    <row r="20" spans="1:19" x14ac:dyDescent="0.25">
      <c r="A20" s="7" t="s">
        <v>29</v>
      </c>
      <c r="B20" s="10">
        <v>0</v>
      </c>
      <c r="C20" s="11">
        <v>0</v>
      </c>
      <c r="D20" s="11">
        <v>31</v>
      </c>
      <c r="E20" s="11">
        <v>2</v>
      </c>
      <c r="F20" s="11">
        <v>4</v>
      </c>
      <c r="G20" s="11">
        <v>0</v>
      </c>
      <c r="H20" s="12">
        <f t="shared" si="4"/>
        <v>37</v>
      </c>
      <c r="I20" s="1"/>
      <c r="J20" s="50" t="s">
        <v>194</v>
      </c>
      <c r="K20" s="69">
        <v>0</v>
      </c>
      <c r="L20" s="69">
        <v>0</v>
      </c>
      <c r="M20" s="69">
        <v>6</v>
      </c>
      <c r="N20" s="69">
        <v>0</v>
      </c>
      <c r="O20" s="69">
        <v>0</v>
      </c>
      <c r="P20" s="69">
        <v>0</v>
      </c>
      <c r="Q20" s="40">
        <f t="shared" si="2"/>
        <v>6</v>
      </c>
      <c r="R20" s="4"/>
      <c r="S20" s="1"/>
    </row>
    <row r="21" spans="1:19" x14ac:dyDescent="0.25">
      <c r="A21" s="7" t="s">
        <v>20</v>
      </c>
      <c r="B21" s="17">
        <v>918</v>
      </c>
      <c r="C21" s="11">
        <v>1598</v>
      </c>
      <c r="D21" s="11">
        <v>912</v>
      </c>
      <c r="E21" s="11">
        <v>62</v>
      </c>
      <c r="F21" s="11">
        <v>40</v>
      </c>
      <c r="G21" s="11">
        <v>0</v>
      </c>
      <c r="H21" s="12">
        <f t="shared" si="4"/>
        <v>3530</v>
      </c>
      <c r="I21" s="1"/>
      <c r="J21" s="50"/>
      <c r="K21" s="69"/>
      <c r="L21" s="69"/>
      <c r="M21" s="69"/>
      <c r="N21" s="69"/>
      <c r="O21" s="69"/>
      <c r="P21" s="69"/>
      <c r="Q21" s="40"/>
      <c r="R21" s="4"/>
      <c r="S21" s="1"/>
    </row>
    <row r="22" spans="1:19" x14ac:dyDescent="0.25">
      <c r="A22" s="7" t="s">
        <v>25</v>
      </c>
      <c r="B22" s="17">
        <v>1</v>
      </c>
      <c r="C22" s="11">
        <v>0</v>
      </c>
      <c r="D22" s="11">
        <v>15</v>
      </c>
      <c r="E22" s="11">
        <v>0</v>
      </c>
      <c r="F22" s="11">
        <v>1</v>
      </c>
      <c r="G22" s="11">
        <v>0</v>
      </c>
      <c r="H22" s="12">
        <f t="shared" si="4"/>
        <v>17</v>
      </c>
      <c r="I22" s="1"/>
      <c r="J22" s="58" t="s">
        <v>6</v>
      </c>
      <c r="K22" s="68">
        <v>0</v>
      </c>
      <c r="L22" s="68">
        <v>0</v>
      </c>
      <c r="M22" s="68">
        <v>0</v>
      </c>
      <c r="N22" s="68">
        <v>0</v>
      </c>
      <c r="O22" s="68">
        <v>0</v>
      </c>
      <c r="P22" s="68">
        <v>0</v>
      </c>
      <c r="Q22" s="40">
        <f t="shared" si="2"/>
        <v>0</v>
      </c>
      <c r="R22" s="4"/>
      <c r="S22" s="1"/>
    </row>
    <row r="23" spans="1:19" ht="15.75" thickBot="1" x14ac:dyDescent="0.3">
      <c r="A23" s="7" t="s">
        <v>218</v>
      </c>
      <c r="B23" s="17">
        <v>0</v>
      </c>
      <c r="C23" s="11">
        <v>0</v>
      </c>
      <c r="D23" s="11">
        <v>48</v>
      </c>
      <c r="E23" s="11">
        <v>0</v>
      </c>
      <c r="F23" s="11">
        <v>1</v>
      </c>
      <c r="G23" s="11">
        <v>0</v>
      </c>
      <c r="H23" s="12">
        <f t="shared" si="4"/>
        <v>49</v>
      </c>
      <c r="I23" s="1"/>
      <c r="J23" s="59" t="s">
        <v>7</v>
      </c>
      <c r="K23" s="94">
        <v>0</v>
      </c>
      <c r="L23" s="94">
        <v>0</v>
      </c>
      <c r="M23" s="94">
        <v>0</v>
      </c>
      <c r="N23" s="94">
        <v>0</v>
      </c>
      <c r="O23" s="94">
        <v>0</v>
      </c>
      <c r="P23" s="94">
        <v>0</v>
      </c>
      <c r="Q23" s="46">
        <f t="shared" si="2"/>
        <v>0</v>
      </c>
      <c r="R23" s="4"/>
      <c r="S23" s="1"/>
    </row>
    <row r="24" spans="1:19" x14ac:dyDescent="0.25">
      <c r="A24" s="7" t="s">
        <v>21</v>
      </c>
      <c r="B24" s="17">
        <v>918</v>
      </c>
      <c r="C24" s="11">
        <v>1600</v>
      </c>
      <c r="D24" s="11">
        <v>908</v>
      </c>
      <c r="E24" s="11">
        <v>61</v>
      </c>
      <c r="F24" s="11">
        <v>40</v>
      </c>
      <c r="G24" s="11">
        <v>0</v>
      </c>
      <c r="H24" s="12">
        <f t="shared" si="4"/>
        <v>3527</v>
      </c>
      <c r="I24" s="1"/>
      <c r="J24" s="1"/>
      <c r="K24" s="1"/>
      <c r="L24" s="1"/>
      <c r="M24" s="1"/>
      <c r="N24" s="1"/>
      <c r="O24" s="1"/>
      <c r="P24" s="1"/>
      <c r="Q24" s="1"/>
      <c r="R24" s="4"/>
      <c r="S24" s="1"/>
    </row>
    <row r="25" spans="1:19" ht="15.75" thickBot="1" x14ac:dyDescent="0.3">
      <c r="A25" s="7" t="s">
        <v>24</v>
      </c>
      <c r="B25" s="17">
        <v>28</v>
      </c>
      <c r="C25" s="11">
        <v>1</v>
      </c>
      <c r="D25" s="11">
        <v>45</v>
      </c>
      <c r="E25" s="11">
        <v>0</v>
      </c>
      <c r="F25" s="11">
        <v>1</v>
      </c>
      <c r="G25" s="11">
        <v>0</v>
      </c>
      <c r="H25" s="12">
        <f t="shared" si="4"/>
        <v>75</v>
      </c>
      <c r="I25" s="1"/>
      <c r="J25" s="1"/>
      <c r="K25" s="1"/>
      <c r="L25" s="1"/>
      <c r="M25" s="1"/>
      <c r="N25" s="1"/>
      <c r="O25" s="1"/>
      <c r="P25" s="1"/>
      <c r="Q25" s="1"/>
      <c r="R25" s="4"/>
      <c r="S25" s="1"/>
    </row>
    <row r="26" spans="1:19" x14ac:dyDescent="0.25">
      <c r="A26" s="7" t="s">
        <v>79</v>
      </c>
      <c r="B26" s="17">
        <v>591</v>
      </c>
      <c r="C26" s="11">
        <v>540</v>
      </c>
      <c r="D26" s="11">
        <v>410</v>
      </c>
      <c r="E26" s="11">
        <v>15</v>
      </c>
      <c r="F26" s="11">
        <v>19</v>
      </c>
      <c r="G26" s="11">
        <v>0</v>
      </c>
      <c r="H26" s="12">
        <f t="shared" si="4"/>
        <v>1575</v>
      </c>
      <c r="I26" s="1"/>
      <c r="J26" s="134" t="s">
        <v>169</v>
      </c>
      <c r="K26" s="136" t="s">
        <v>11</v>
      </c>
      <c r="L26" s="136"/>
      <c r="M26" s="136"/>
      <c r="N26" s="136"/>
      <c r="O26" s="136"/>
      <c r="P26" s="136"/>
      <c r="Q26" s="137"/>
      <c r="R26" s="4"/>
      <c r="S26" s="1"/>
    </row>
    <row r="27" spans="1:19" x14ac:dyDescent="0.25">
      <c r="A27" s="7" t="s">
        <v>75</v>
      </c>
      <c r="B27" s="17">
        <v>591</v>
      </c>
      <c r="C27" s="11">
        <v>540</v>
      </c>
      <c r="D27" s="11">
        <v>410</v>
      </c>
      <c r="E27" s="11">
        <v>15</v>
      </c>
      <c r="F27" s="11">
        <v>19</v>
      </c>
      <c r="G27" s="11">
        <v>0</v>
      </c>
      <c r="H27" s="12">
        <f t="shared" si="4"/>
        <v>1575</v>
      </c>
      <c r="I27" s="1"/>
      <c r="J27" s="135"/>
      <c r="K27" s="30" t="s">
        <v>8</v>
      </c>
      <c r="L27" s="30" t="s">
        <v>9</v>
      </c>
      <c r="M27" s="30" t="s">
        <v>176</v>
      </c>
      <c r="N27" s="30" t="s">
        <v>154</v>
      </c>
      <c r="O27" s="30" t="s">
        <v>155</v>
      </c>
      <c r="P27" s="60" t="s">
        <v>147</v>
      </c>
      <c r="Q27" s="54" t="s">
        <v>11</v>
      </c>
      <c r="R27" s="4"/>
      <c r="S27" s="1"/>
    </row>
    <row r="28" spans="1:19" x14ac:dyDescent="0.25">
      <c r="A28" s="7" t="s">
        <v>76</v>
      </c>
      <c r="B28" s="17">
        <v>632</v>
      </c>
      <c r="C28" s="11">
        <v>600</v>
      </c>
      <c r="D28" s="11">
        <v>486</v>
      </c>
      <c r="E28" s="11">
        <v>23</v>
      </c>
      <c r="F28" s="11">
        <v>24</v>
      </c>
      <c r="G28" s="11">
        <v>0</v>
      </c>
      <c r="H28" s="12">
        <f t="shared" si="4"/>
        <v>1765</v>
      </c>
      <c r="I28" s="1"/>
      <c r="J28" s="79" t="s">
        <v>146</v>
      </c>
      <c r="K28" s="74">
        <f t="shared" ref="K28:P28" si="5">SUM(K29:K37)</f>
        <v>89</v>
      </c>
      <c r="L28" s="74">
        <f t="shared" si="5"/>
        <v>409</v>
      </c>
      <c r="M28" s="74">
        <f t="shared" si="5"/>
        <v>340</v>
      </c>
      <c r="N28" s="74">
        <f t="shared" si="5"/>
        <v>0</v>
      </c>
      <c r="O28" s="74">
        <f t="shared" si="5"/>
        <v>0</v>
      </c>
      <c r="P28" s="74">
        <f t="shared" si="5"/>
        <v>0</v>
      </c>
      <c r="Q28" s="80">
        <f>SUM(K28:P28)</f>
        <v>838</v>
      </c>
      <c r="R28" s="4"/>
      <c r="S28" s="1"/>
    </row>
    <row r="29" spans="1:19" x14ac:dyDescent="0.25">
      <c r="A29" s="7" t="s">
        <v>74</v>
      </c>
      <c r="B29" s="17">
        <v>633</v>
      </c>
      <c r="C29" s="11">
        <v>600</v>
      </c>
      <c r="D29" s="11">
        <v>486</v>
      </c>
      <c r="E29" s="11">
        <v>8</v>
      </c>
      <c r="F29" s="11">
        <v>24</v>
      </c>
      <c r="G29" s="11">
        <v>0</v>
      </c>
      <c r="H29" s="12">
        <f t="shared" si="4"/>
        <v>1751</v>
      </c>
      <c r="I29" s="1"/>
      <c r="J29" s="45" t="s">
        <v>64</v>
      </c>
      <c r="K29" s="68">
        <v>73</v>
      </c>
      <c r="L29" s="68">
        <v>23</v>
      </c>
      <c r="M29" s="68">
        <v>57</v>
      </c>
      <c r="N29" s="68">
        <v>0</v>
      </c>
      <c r="O29" s="68">
        <v>0</v>
      </c>
      <c r="P29" s="69">
        <v>0</v>
      </c>
      <c r="Q29" s="40">
        <f>SUM(K29:P29)</f>
        <v>153</v>
      </c>
      <c r="R29" s="4"/>
      <c r="S29" s="1"/>
    </row>
    <row r="30" spans="1:19" x14ac:dyDescent="0.25">
      <c r="A30" s="7" t="s">
        <v>22</v>
      </c>
      <c r="B30" s="17">
        <v>561</v>
      </c>
      <c r="C30" s="11">
        <v>599</v>
      </c>
      <c r="D30" s="11">
        <v>633</v>
      </c>
      <c r="E30" s="11">
        <v>34</v>
      </c>
      <c r="F30" s="11">
        <v>31</v>
      </c>
      <c r="G30" s="11">
        <v>0</v>
      </c>
      <c r="H30" s="12">
        <f t="shared" si="4"/>
        <v>1858</v>
      </c>
      <c r="I30" s="1"/>
      <c r="J30" s="45" t="s">
        <v>170</v>
      </c>
      <c r="K30" s="68">
        <v>1</v>
      </c>
      <c r="L30" s="68">
        <v>0</v>
      </c>
      <c r="M30" s="68">
        <v>1</v>
      </c>
      <c r="N30" s="68">
        <v>0</v>
      </c>
      <c r="O30" s="68">
        <v>0</v>
      </c>
      <c r="P30" s="69">
        <v>0</v>
      </c>
      <c r="Q30" s="40">
        <f>SUM(K30:P30)</f>
        <v>2</v>
      </c>
      <c r="R30" s="4"/>
      <c r="S30" s="1"/>
    </row>
    <row r="31" spans="1:19" x14ac:dyDescent="0.25">
      <c r="A31" s="7" t="s">
        <v>23</v>
      </c>
      <c r="B31" s="17">
        <v>561</v>
      </c>
      <c r="C31" s="11">
        <v>599</v>
      </c>
      <c r="D31" s="11">
        <v>633</v>
      </c>
      <c r="E31" s="11">
        <v>34</v>
      </c>
      <c r="F31" s="11">
        <v>31</v>
      </c>
      <c r="G31" s="11">
        <v>0</v>
      </c>
      <c r="H31" s="12">
        <f t="shared" si="4"/>
        <v>1858</v>
      </c>
      <c r="I31" s="1"/>
      <c r="J31" s="45" t="s">
        <v>171</v>
      </c>
      <c r="K31" s="68">
        <v>0</v>
      </c>
      <c r="L31" s="68">
        <v>0</v>
      </c>
      <c r="M31" s="68">
        <v>12</v>
      </c>
      <c r="N31" s="68">
        <v>0</v>
      </c>
      <c r="O31" s="68">
        <v>0</v>
      </c>
      <c r="P31" s="69">
        <v>0</v>
      </c>
      <c r="Q31" s="40">
        <f>SUM(K31:P31)</f>
        <v>12</v>
      </c>
      <c r="R31" s="4"/>
      <c r="S31" s="1"/>
    </row>
    <row r="32" spans="1:19" x14ac:dyDescent="0.25">
      <c r="A32" s="7" t="s">
        <v>202</v>
      </c>
      <c r="B32" s="17">
        <v>0</v>
      </c>
      <c r="C32" s="11">
        <v>1</v>
      </c>
      <c r="D32" s="11">
        <v>4</v>
      </c>
      <c r="E32" s="11">
        <v>0</v>
      </c>
      <c r="F32" s="11">
        <v>2</v>
      </c>
      <c r="G32" s="11">
        <v>0</v>
      </c>
      <c r="H32" s="12">
        <f t="shared" si="4"/>
        <v>7</v>
      </c>
      <c r="I32" s="1"/>
      <c r="J32" s="49" t="s">
        <v>65</v>
      </c>
      <c r="K32" s="68">
        <v>15</v>
      </c>
      <c r="L32" s="68">
        <v>275</v>
      </c>
      <c r="M32" s="68">
        <v>30</v>
      </c>
      <c r="N32" s="68">
        <v>0</v>
      </c>
      <c r="O32" s="68">
        <v>0</v>
      </c>
      <c r="P32" s="69">
        <v>0</v>
      </c>
      <c r="Q32" s="40">
        <f t="shared" ref="Q32:Q37" si="6">SUM(K32:P32)</f>
        <v>320</v>
      </c>
      <c r="R32" s="4"/>
      <c r="S32" s="1"/>
    </row>
    <row r="33" spans="1:19" x14ac:dyDescent="0.25">
      <c r="A33" s="7" t="s">
        <v>159</v>
      </c>
      <c r="B33" s="17">
        <v>276</v>
      </c>
      <c r="C33" s="11">
        <v>154</v>
      </c>
      <c r="D33" s="11">
        <v>80</v>
      </c>
      <c r="E33" s="11">
        <v>0</v>
      </c>
      <c r="F33" s="11">
        <v>6</v>
      </c>
      <c r="G33" s="11">
        <v>0</v>
      </c>
      <c r="H33" s="12">
        <f t="shared" si="4"/>
        <v>516</v>
      </c>
      <c r="I33" s="1"/>
      <c r="J33" s="50" t="s">
        <v>130</v>
      </c>
      <c r="K33" s="70">
        <v>0</v>
      </c>
      <c r="L33" s="70">
        <v>0</v>
      </c>
      <c r="M33" s="70">
        <v>203</v>
      </c>
      <c r="N33" s="70">
        <v>0</v>
      </c>
      <c r="O33" s="70">
        <v>0</v>
      </c>
      <c r="P33" s="69">
        <v>0</v>
      </c>
      <c r="Q33" s="40">
        <f t="shared" si="6"/>
        <v>203</v>
      </c>
      <c r="R33" s="4"/>
      <c r="S33" s="1"/>
    </row>
    <row r="34" spans="1:19" x14ac:dyDescent="0.25">
      <c r="A34" s="7" t="s">
        <v>26</v>
      </c>
      <c r="B34" s="17">
        <v>606</v>
      </c>
      <c r="C34" s="11">
        <v>911</v>
      </c>
      <c r="D34" s="11">
        <v>149</v>
      </c>
      <c r="E34" s="11">
        <v>33</v>
      </c>
      <c r="F34" s="11">
        <v>5</v>
      </c>
      <c r="G34" s="11">
        <v>0</v>
      </c>
      <c r="H34" s="12">
        <f t="shared" si="4"/>
        <v>1704</v>
      </c>
      <c r="I34" s="1"/>
      <c r="J34" s="67" t="s">
        <v>131</v>
      </c>
      <c r="K34" s="65">
        <v>0</v>
      </c>
      <c r="L34" s="65">
        <v>0</v>
      </c>
      <c r="M34" s="65">
        <v>35</v>
      </c>
      <c r="N34" s="65">
        <v>0</v>
      </c>
      <c r="O34" s="65">
        <v>0</v>
      </c>
      <c r="P34" s="31">
        <v>0</v>
      </c>
      <c r="Q34" s="40">
        <f t="shared" si="6"/>
        <v>35</v>
      </c>
      <c r="R34" s="4"/>
      <c r="S34" s="1"/>
    </row>
    <row r="35" spans="1:19" x14ac:dyDescent="0.25">
      <c r="A35" s="7" t="s">
        <v>82</v>
      </c>
      <c r="B35" s="17">
        <v>410</v>
      </c>
      <c r="C35" s="11">
        <v>334</v>
      </c>
      <c r="D35" s="11">
        <v>380</v>
      </c>
      <c r="E35" s="11">
        <v>16</v>
      </c>
      <c r="F35" s="11">
        <v>15</v>
      </c>
      <c r="G35" s="11">
        <v>0</v>
      </c>
      <c r="H35" s="12">
        <f t="shared" si="4"/>
        <v>1155</v>
      </c>
      <c r="I35" s="1"/>
      <c r="J35" s="67" t="s">
        <v>160</v>
      </c>
      <c r="K35" s="65">
        <v>0</v>
      </c>
      <c r="L35" s="65">
        <v>109</v>
      </c>
      <c r="M35" s="65"/>
      <c r="N35" s="65">
        <v>0</v>
      </c>
      <c r="O35" s="65">
        <v>0</v>
      </c>
      <c r="P35" s="31">
        <v>0</v>
      </c>
      <c r="Q35" s="40">
        <f t="shared" si="6"/>
        <v>109</v>
      </c>
      <c r="R35" s="4"/>
      <c r="S35" s="1"/>
    </row>
    <row r="36" spans="1:19" x14ac:dyDescent="0.25">
      <c r="A36" s="7" t="s">
        <v>30</v>
      </c>
      <c r="B36" s="17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2">
        <f t="shared" si="4"/>
        <v>0</v>
      </c>
      <c r="I36" s="1"/>
      <c r="J36" s="67" t="s">
        <v>211</v>
      </c>
      <c r="K36" s="65">
        <v>0</v>
      </c>
      <c r="L36" s="65">
        <v>2</v>
      </c>
      <c r="M36" s="65">
        <v>2</v>
      </c>
      <c r="N36" s="65">
        <v>0</v>
      </c>
      <c r="O36" s="65">
        <v>0</v>
      </c>
      <c r="P36" s="31">
        <v>0</v>
      </c>
      <c r="Q36" s="40">
        <f t="shared" si="6"/>
        <v>4</v>
      </c>
      <c r="R36" s="4"/>
      <c r="S36" s="1"/>
    </row>
    <row r="37" spans="1:19" ht="15.75" thickBot="1" x14ac:dyDescent="0.3">
      <c r="A37" s="7" t="s">
        <v>31</v>
      </c>
      <c r="B37" s="17">
        <v>27</v>
      </c>
      <c r="C37" s="11">
        <v>23</v>
      </c>
      <c r="D37" s="11">
        <v>5</v>
      </c>
      <c r="E37" s="11">
        <v>0</v>
      </c>
      <c r="F37" s="11">
        <v>0</v>
      </c>
      <c r="G37" s="11">
        <v>0</v>
      </c>
      <c r="H37" s="12">
        <f t="shared" si="4"/>
        <v>55</v>
      </c>
      <c r="I37" s="1"/>
      <c r="J37" s="51" t="s">
        <v>161</v>
      </c>
      <c r="K37" s="71">
        <v>0</v>
      </c>
      <c r="L37" s="71">
        <v>0</v>
      </c>
      <c r="M37" s="71">
        <v>0</v>
      </c>
      <c r="N37" s="71">
        <v>0</v>
      </c>
      <c r="O37" s="71">
        <v>0</v>
      </c>
      <c r="P37" s="72">
        <v>0</v>
      </c>
      <c r="Q37" s="46">
        <f t="shared" si="6"/>
        <v>0</v>
      </c>
      <c r="R37" s="4"/>
      <c r="S37" s="1"/>
    </row>
    <row r="38" spans="1:19" ht="15.75" thickBot="1" x14ac:dyDescent="0.3">
      <c r="A38" s="7" t="s">
        <v>66</v>
      </c>
      <c r="B38" s="17">
        <v>111</v>
      </c>
      <c r="C38" s="11">
        <v>51</v>
      </c>
      <c r="D38" s="11">
        <v>331</v>
      </c>
      <c r="E38" s="11">
        <v>17</v>
      </c>
      <c r="F38" s="11">
        <v>15</v>
      </c>
      <c r="G38" s="11">
        <v>0</v>
      </c>
      <c r="H38" s="12">
        <f t="shared" si="4"/>
        <v>525</v>
      </c>
      <c r="I38" s="1"/>
      <c r="J38" s="34"/>
      <c r="K38" s="34"/>
      <c r="L38" s="34"/>
      <c r="M38" s="34"/>
      <c r="N38" s="34"/>
      <c r="O38" s="34"/>
      <c r="P38" s="34"/>
      <c r="R38" s="4"/>
      <c r="S38" s="1"/>
    </row>
    <row r="39" spans="1:19" x14ac:dyDescent="0.25">
      <c r="A39" s="7" t="s">
        <v>67</v>
      </c>
      <c r="B39" s="17">
        <v>118</v>
      </c>
      <c r="C39" s="11">
        <v>50</v>
      </c>
      <c r="D39" s="11">
        <v>333</v>
      </c>
      <c r="E39" s="11">
        <v>17</v>
      </c>
      <c r="F39" s="11">
        <v>6</v>
      </c>
      <c r="G39" s="11">
        <v>0</v>
      </c>
      <c r="H39" s="12">
        <f t="shared" si="4"/>
        <v>524</v>
      </c>
      <c r="I39" s="1"/>
      <c r="J39" s="134" t="s">
        <v>136</v>
      </c>
      <c r="K39" s="136" t="s">
        <v>11</v>
      </c>
      <c r="L39" s="136"/>
      <c r="M39" s="136"/>
      <c r="N39" s="136"/>
      <c r="O39" s="136"/>
      <c r="P39" s="136"/>
      <c r="Q39" s="137"/>
      <c r="R39" s="4"/>
      <c r="S39" s="1"/>
    </row>
    <row r="40" spans="1:19" x14ac:dyDescent="0.25">
      <c r="A40" s="7" t="s">
        <v>77</v>
      </c>
      <c r="B40" s="17">
        <v>68</v>
      </c>
      <c r="C40" s="11">
        <v>0</v>
      </c>
      <c r="D40" s="11">
        <v>239</v>
      </c>
      <c r="E40" s="11">
        <v>8</v>
      </c>
      <c r="F40" s="11">
        <v>11</v>
      </c>
      <c r="G40" s="11">
        <v>0</v>
      </c>
      <c r="H40" s="12">
        <f t="shared" si="4"/>
        <v>326</v>
      </c>
      <c r="I40" s="1"/>
      <c r="J40" s="135"/>
      <c r="K40" s="30" t="s">
        <v>8</v>
      </c>
      <c r="L40" s="30" t="s">
        <v>9</v>
      </c>
      <c r="M40" s="30" t="s">
        <v>10</v>
      </c>
      <c r="N40" s="30" t="s">
        <v>154</v>
      </c>
      <c r="O40" s="30" t="s">
        <v>155</v>
      </c>
      <c r="P40" s="30" t="s">
        <v>147</v>
      </c>
      <c r="Q40" s="54" t="s">
        <v>11</v>
      </c>
      <c r="R40" s="4"/>
      <c r="S40" s="1"/>
    </row>
    <row r="41" spans="1:19" ht="15.75" thickBot="1" x14ac:dyDescent="0.3">
      <c r="A41" s="7" t="s">
        <v>78</v>
      </c>
      <c r="B41" s="17">
        <v>68</v>
      </c>
      <c r="C41" s="11">
        <v>0</v>
      </c>
      <c r="D41" s="11">
        <v>251</v>
      </c>
      <c r="E41" s="11">
        <v>7</v>
      </c>
      <c r="F41" s="11">
        <v>11</v>
      </c>
      <c r="G41" s="11">
        <v>0</v>
      </c>
      <c r="H41" s="12">
        <f t="shared" si="4"/>
        <v>337</v>
      </c>
      <c r="I41" s="1"/>
      <c r="J41" s="95" t="s">
        <v>150</v>
      </c>
      <c r="K41" s="29">
        <f t="shared" ref="K41:P41" si="7">SUM(K42:K49)</f>
        <v>882</v>
      </c>
      <c r="L41" s="29">
        <f t="shared" si="7"/>
        <v>306</v>
      </c>
      <c r="M41" s="29">
        <f t="shared" si="7"/>
        <v>0</v>
      </c>
      <c r="N41" s="29">
        <f t="shared" si="7"/>
        <v>3</v>
      </c>
      <c r="O41" s="29">
        <f t="shared" si="7"/>
        <v>0</v>
      </c>
      <c r="P41" s="29">
        <f t="shared" si="7"/>
        <v>0</v>
      </c>
      <c r="Q41" s="96">
        <f>SUM(K41:P41)</f>
        <v>1191</v>
      </c>
      <c r="R41" s="4"/>
      <c r="S41" s="1"/>
    </row>
    <row r="42" spans="1:19" x14ac:dyDescent="0.25">
      <c r="A42" s="7" t="s">
        <v>42</v>
      </c>
      <c r="B42" s="17">
        <v>6</v>
      </c>
      <c r="C42" s="11">
        <v>0</v>
      </c>
      <c r="D42" s="11">
        <v>3</v>
      </c>
      <c r="E42" s="11">
        <v>0</v>
      </c>
      <c r="F42" s="11">
        <v>0</v>
      </c>
      <c r="G42" s="11">
        <v>0</v>
      </c>
      <c r="H42" s="12">
        <f t="shared" si="4"/>
        <v>9</v>
      </c>
      <c r="I42" s="1"/>
      <c r="J42" s="97" t="s">
        <v>165</v>
      </c>
      <c r="K42" s="98">
        <v>0</v>
      </c>
      <c r="L42" s="98">
        <v>0</v>
      </c>
      <c r="M42" s="98">
        <v>0</v>
      </c>
      <c r="N42" s="98">
        <v>0</v>
      </c>
      <c r="O42" s="98">
        <v>0</v>
      </c>
      <c r="P42" s="98">
        <v>0</v>
      </c>
      <c r="Q42" s="99">
        <f t="shared" ref="Q42:Q49" si="8">SUM(K42:P42)</f>
        <v>0</v>
      </c>
      <c r="R42" s="4"/>
      <c r="S42" s="1"/>
    </row>
    <row r="43" spans="1:19" x14ac:dyDescent="0.25">
      <c r="A43" s="7" t="s">
        <v>43</v>
      </c>
      <c r="B43" s="17">
        <v>12</v>
      </c>
      <c r="C43" s="11">
        <v>3</v>
      </c>
      <c r="D43" s="11">
        <v>34</v>
      </c>
      <c r="E43" s="11">
        <v>1</v>
      </c>
      <c r="F43" s="11">
        <v>1</v>
      </c>
      <c r="G43" s="11">
        <v>0</v>
      </c>
      <c r="H43" s="12">
        <f t="shared" si="4"/>
        <v>51</v>
      </c>
      <c r="I43" s="1"/>
      <c r="J43" s="86" t="s">
        <v>166</v>
      </c>
      <c r="K43" s="89">
        <v>212</v>
      </c>
      <c r="L43" s="89">
        <v>89</v>
      </c>
      <c r="M43" s="89">
        <v>0</v>
      </c>
      <c r="N43" s="89">
        <v>1</v>
      </c>
      <c r="O43" s="89">
        <v>0</v>
      </c>
      <c r="P43" s="89">
        <v>0</v>
      </c>
      <c r="Q43" s="40">
        <f t="shared" si="8"/>
        <v>302</v>
      </c>
      <c r="R43" s="4"/>
      <c r="S43" s="1"/>
    </row>
    <row r="44" spans="1:19" x14ac:dyDescent="0.25">
      <c r="A44" s="7" t="s">
        <v>101</v>
      </c>
      <c r="B44" s="17">
        <v>22</v>
      </c>
      <c r="C44" s="11">
        <v>0</v>
      </c>
      <c r="D44" s="11">
        <v>53</v>
      </c>
      <c r="E44" s="11">
        <v>0</v>
      </c>
      <c r="F44" s="11">
        <v>2</v>
      </c>
      <c r="G44" s="11">
        <v>0</v>
      </c>
      <c r="H44" s="12">
        <f t="shared" si="4"/>
        <v>77</v>
      </c>
      <c r="I44" s="1"/>
      <c r="J44" s="86" t="s">
        <v>167</v>
      </c>
      <c r="K44" s="89">
        <v>32</v>
      </c>
      <c r="L44" s="89">
        <v>4</v>
      </c>
      <c r="M44" s="89">
        <v>0</v>
      </c>
      <c r="N44" s="89">
        <v>0</v>
      </c>
      <c r="O44" s="89">
        <v>0</v>
      </c>
      <c r="P44" s="89">
        <v>0</v>
      </c>
      <c r="Q44" s="40">
        <f t="shared" si="8"/>
        <v>36</v>
      </c>
      <c r="R44" s="4"/>
      <c r="S44" s="1"/>
    </row>
    <row r="45" spans="1:19" x14ac:dyDescent="0.25">
      <c r="A45" s="7" t="s">
        <v>95</v>
      </c>
      <c r="B45" s="37">
        <v>73</v>
      </c>
      <c r="C45" s="11">
        <v>127</v>
      </c>
      <c r="D45" s="11">
        <v>21</v>
      </c>
      <c r="E45" s="11">
        <v>4</v>
      </c>
      <c r="F45" s="11">
        <v>1</v>
      </c>
      <c r="G45" s="11">
        <v>0</v>
      </c>
      <c r="H45" s="12">
        <f t="shared" si="4"/>
        <v>226</v>
      </c>
      <c r="I45" s="1"/>
      <c r="J45" s="86" t="s">
        <v>168</v>
      </c>
      <c r="K45" s="89">
        <v>14</v>
      </c>
      <c r="L45" s="89">
        <v>0</v>
      </c>
      <c r="M45" s="89">
        <v>0</v>
      </c>
      <c r="N45" s="89">
        <v>0</v>
      </c>
      <c r="O45" s="89">
        <v>0</v>
      </c>
      <c r="P45" s="89">
        <v>0</v>
      </c>
      <c r="Q45" s="40">
        <f>SUM(K45:P45)</f>
        <v>14</v>
      </c>
      <c r="R45" s="4"/>
      <c r="S45" s="1"/>
    </row>
    <row r="46" spans="1:19" x14ac:dyDescent="0.25">
      <c r="A46" s="7" t="s">
        <v>96</v>
      </c>
      <c r="B46" s="37">
        <v>16</v>
      </c>
      <c r="C46" s="11">
        <v>0</v>
      </c>
      <c r="D46" s="11">
        <v>47</v>
      </c>
      <c r="E46" s="11">
        <v>0</v>
      </c>
      <c r="F46" s="11">
        <v>1</v>
      </c>
      <c r="G46" s="11">
        <v>0</v>
      </c>
      <c r="H46" s="12">
        <f t="shared" si="4"/>
        <v>64</v>
      </c>
      <c r="J46" s="86" t="s">
        <v>34</v>
      </c>
      <c r="K46" s="89">
        <v>74</v>
      </c>
      <c r="L46" s="89">
        <v>5</v>
      </c>
      <c r="M46" s="89">
        <v>0</v>
      </c>
      <c r="N46" s="89">
        <v>0</v>
      </c>
      <c r="O46" s="89">
        <v>0</v>
      </c>
      <c r="P46" s="89">
        <v>0</v>
      </c>
      <c r="Q46" s="40">
        <f t="shared" si="8"/>
        <v>79</v>
      </c>
      <c r="R46" s="4"/>
      <c r="S46" s="1"/>
    </row>
    <row r="47" spans="1:19" x14ac:dyDescent="0.25">
      <c r="A47" s="7" t="s">
        <v>97</v>
      </c>
      <c r="B47" s="37">
        <v>19</v>
      </c>
      <c r="C47" s="11">
        <v>10</v>
      </c>
      <c r="D47" s="11">
        <v>30</v>
      </c>
      <c r="E47" s="11">
        <v>1</v>
      </c>
      <c r="F47" s="11">
        <v>1</v>
      </c>
      <c r="G47" s="11">
        <v>0</v>
      </c>
      <c r="H47" s="12">
        <f t="shared" si="4"/>
        <v>61</v>
      </c>
      <c r="I47" s="1"/>
      <c r="J47" s="86" t="s">
        <v>179</v>
      </c>
      <c r="K47" s="89">
        <v>221</v>
      </c>
      <c r="L47" s="89">
        <v>98</v>
      </c>
      <c r="M47" s="89">
        <v>0</v>
      </c>
      <c r="N47" s="89">
        <v>1</v>
      </c>
      <c r="O47" s="89">
        <v>0</v>
      </c>
      <c r="P47" s="89">
        <v>0</v>
      </c>
      <c r="Q47" s="40">
        <f t="shared" si="8"/>
        <v>320</v>
      </c>
      <c r="R47" s="4"/>
      <c r="S47" s="1"/>
    </row>
    <row r="48" spans="1:19" x14ac:dyDescent="0.25">
      <c r="A48" s="36" t="s">
        <v>98</v>
      </c>
      <c r="B48" s="37">
        <v>19</v>
      </c>
      <c r="C48" s="11">
        <v>10</v>
      </c>
      <c r="D48" s="11">
        <v>30</v>
      </c>
      <c r="E48" s="11">
        <v>1</v>
      </c>
      <c r="F48" s="11">
        <v>1</v>
      </c>
      <c r="G48" s="11">
        <v>0</v>
      </c>
      <c r="H48" s="12">
        <f t="shared" si="4"/>
        <v>61</v>
      </c>
      <c r="I48" s="1"/>
      <c r="J48" s="86" t="s">
        <v>177</v>
      </c>
      <c r="K48" s="89">
        <v>253</v>
      </c>
      <c r="L48" s="89">
        <v>102</v>
      </c>
      <c r="M48" s="89">
        <v>0</v>
      </c>
      <c r="N48" s="89">
        <v>1</v>
      </c>
      <c r="O48" s="89">
        <v>0</v>
      </c>
      <c r="P48" s="89">
        <v>0</v>
      </c>
      <c r="Q48" s="40">
        <f t="shared" si="8"/>
        <v>356</v>
      </c>
      <c r="R48" s="4"/>
      <c r="S48" s="1"/>
    </row>
    <row r="49" spans="1:19" ht="15.75" thickBot="1" x14ac:dyDescent="0.3">
      <c r="A49" s="7" t="s">
        <v>86</v>
      </c>
      <c r="B49" s="17">
        <v>0</v>
      </c>
      <c r="C49" s="11">
        <v>814</v>
      </c>
      <c r="D49" s="11">
        <v>2</v>
      </c>
      <c r="E49" s="11">
        <v>2</v>
      </c>
      <c r="F49" s="11">
        <v>0</v>
      </c>
      <c r="G49" s="11">
        <v>0</v>
      </c>
      <c r="H49" s="14">
        <f>SUM(B49:G49)</f>
        <v>818</v>
      </c>
      <c r="I49" s="1"/>
      <c r="J49" s="87" t="s">
        <v>178</v>
      </c>
      <c r="K49" s="71">
        <v>76</v>
      </c>
      <c r="L49" s="71">
        <v>8</v>
      </c>
      <c r="M49" s="71">
        <v>0</v>
      </c>
      <c r="N49" s="71">
        <v>0</v>
      </c>
      <c r="O49" s="71">
        <v>0</v>
      </c>
      <c r="P49" s="71">
        <v>0</v>
      </c>
      <c r="Q49" s="46">
        <f t="shared" si="8"/>
        <v>84</v>
      </c>
      <c r="R49" s="4"/>
      <c r="S49" s="1"/>
    </row>
    <row r="50" spans="1:19" x14ac:dyDescent="0.25">
      <c r="A50" s="18" t="s">
        <v>87</v>
      </c>
      <c r="B50" s="38">
        <v>535</v>
      </c>
      <c r="C50" s="19">
        <v>563</v>
      </c>
      <c r="D50" s="19">
        <v>117</v>
      </c>
      <c r="E50" s="19">
        <v>22</v>
      </c>
      <c r="F50" s="19">
        <v>7</v>
      </c>
      <c r="G50" s="19">
        <v>0</v>
      </c>
      <c r="H50" s="14">
        <f>SUM(B50:G50)</f>
        <v>1244</v>
      </c>
      <c r="I50" s="1"/>
      <c r="J50" s="158"/>
      <c r="K50" s="158"/>
      <c r="L50" s="158"/>
      <c r="M50" s="158"/>
      <c r="N50" s="34"/>
      <c r="O50" s="34"/>
      <c r="P50" s="34"/>
      <c r="Q50" s="35"/>
      <c r="R50" s="4"/>
      <c r="S50" s="1"/>
    </row>
    <row r="51" spans="1:19" ht="15.75" thickBot="1" x14ac:dyDescent="0.3">
      <c r="A51" s="73" t="s">
        <v>139</v>
      </c>
      <c r="B51" s="75">
        <f t="shared" ref="B51:G51" si="9">SUM(B52:B68)</f>
        <v>2761</v>
      </c>
      <c r="C51" s="75">
        <f t="shared" si="9"/>
        <v>4871</v>
      </c>
      <c r="D51" s="77">
        <f t="shared" si="9"/>
        <v>1969</v>
      </c>
      <c r="E51" s="75">
        <f t="shared" si="9"/>
        <v>166</v>
      </c>
      <c r="F51" s="75">
        <f t="shared" si="9"/>
        <v>94</v>
      </c>
      <c r="G51" s="78">
        <f t="shared" si="9"/>
        <v>7</v>
      </c>
      <c r="H51" s="75">
        <f>SUM(B51:G51)</f>
        <v>9868</v>
      </c>
      <c r="I51" s="1"/>
      <c r="Q51" s="24"/>
      <c r="R51" s="4"/>
      <c r="S51" s="1"/>
    </row>
    <row r="52" spans="1:19" x14ac:dyDescent="0.25">
      <c r="A52" s="7" t="s">
        <v>90</v>
      </c>
      <c r="B52" s="13">
        <v>387</v>
      </c>
      <c r="C52" s="13">
        <v>83</v>
      </c>
      <c r="D52" s="25">
        <v>101</v>
      </c>
      <c r="E52" s="65">
        <v>0</v>
      </c>
      <c r="F52" s="65">
        <v>5</v>
      </c>
      <c r="G52" s="65">
        <v>0</v>
      </c>
      <c r="H52" s="26">
        <f t="shared" ref="H52:H113" si="10">SUM(B52:G52)</f>
        <v>576</v>
      </c>
      <c r="I52" s="1"/>
      <c r="J52" s="159" t="s">
        <v>152</v>
      </c>
      <c r="K52" s="160"/>
      <c r="L52" s="160"/>
      <c r="M52" s="160"/>
      <c r="N52" s="160"/>
      <c r="O52" s="160"/>
      <c r="P52" s="160"/>
      <c r="Q52" s="161"/>
      <c r="R52" s="4"/>
      <c r="S52" s="1"/>
    </row>
    <row r="53" spans="1:19" x14ac:dyDescent="0.25">
      <c r="A53" s="7" t="s">
        <v>91</v>
      </c>
      <c r="B53" s="13">
        <v>10</v>
      </c>
      <c r="C53" s="13">
        <v>0</v>
      </c>
      <c r="D53" s="25">
        <v>39</v>
      </c>
      <c r="E53" s="66">
        <v>2</v>
      </c>
      <c r="F53" s="66">
        <v>0</v>
      </c>
      <c r="G53" s="66">
        <v>0</v>
      </c>
      <c r="H53" s="26">
        <f t="shared" si="10"/>
        <v>51</v>
      </c>
      <c r="I53" s="1"/>
      <c r="J53" s="138" t="s">
        <v>72</v>
      </c>
      <c r="K53" s="139"/>
      <c r="L53" s="139"/>
      <c r="M53" s="139"/>
      <c r="N53" s="139"/>
      <c r="O53" s="139"/>
      <c r="P53" s="139"/>
      <c r="Q53" s="62" t="s">
        <v>11</v>
      </c>
      <c r="R53" s="4"/>
      <c r="S53" s="1"/>
    </row>
    <row r="54" spans="1:19" x14ac:dyDescent="0.25">
      <c r="A54" s="7" t="s">
        <v>32</v>
      </c>
      <c r="B54" s="13">
        <v>848</v>
      </c>
      <c r="C54" s="13">
        <v>2338</v>
      </c>
      <c r="D54" s="25">
        <v>1003</v>
      </c>
      <c r="E54" s="66">
        <v>72</v>
      </c>
      <c r="F54" s="66">
        <v>33</v>
      </c>
      <c r="G54" s="66">
        <v>7</v>
      </c>
      <c r="H54" s="26">
        <f t="shared" si="10"/>
        <v>4301</v>
      </c>
      <c r="I54" s="1"/>
      <c r="J54" s="138" t="s">
        <v>71</v>
      </c>
      <c r="K54" s="139"/>
      <c r="L54" s="139"/>
      <c r="M54" s="139"/>
      <c r="N54" s="139"/>
      <c r="O54" s="139"/>
      <c r="P54" s="139"/>
      <c r="Q54" s="47"/>
      <c r="R54" s="4"/>
      <c r="S54" s="1"/>
    </row>
    <row r="55" spans="1:19" x14ac:dyDescent="0.25">
      <c r="A55" s="7" t="s">
        <v>34</v>
      </c>
      <c r="B55" s="11">
        <v>12</v>
      </c>
      <c r="C55" s="13">
        <v>4</v>
      </c>
      <c r="D55" s="23">
        <v>59</v>
      </c>
      <c r="E55" s="66">
        <v>2</v>
      </c>
      <c r="F55" s="66">
        <v>3</v>
      </c>
      <c r="G55" s="66">
        <v>0</v>
      </c>
      <c r="H55" s="26">
        <f t="shared" si="10"/>
        <v>80</v>
      </c>
      <c r="I55" s="1"/>
      <c r="J55" s="138" t="s">
        <v>137</v>
      </c>
      <c r="K55" s="139"/>
      <c r="L55" s="139"/>
      <c r="M55" s="139"/>
      <c r="N55" s="139"/>
      <c r="O55" s="139"/>
      <c r="P55" s="139"/>
      <c r="Q55" s="47">
        <f>(H12)</f>
        <v>29484</v>
      </c>
      <c r="R55" s="4"/>
      <c r="S55" s="1"/>
    </row>
    <row r="56" spans="1:19" x14ac:dyDescent="0.25">
      <c r="A56" s="7" t="s">
        <v>181</v>
      </c>
      <c r="B56" s="13">
        <v>145</v>
      </c>
      <c r="C56" s="13">
        <v>707</v>
      </c>
      <c r="D56" s="25">
        <v>278</v>
      </c>
      <c r="E56" s="66">
        <v>35</v>
      </c>
      <c r="F56" s="66">
        <v>10</v>
      </c>
      <c r="G56" s="66">
        <v>0</v>
      </c>
      <c r="H56" s="26">
        <f t="shared" si="10"/>
        <v>1175</v>
      </c>
      <c r="I56" s="1"/>
      <c r="J56" s="138" t="s">
        <v>138</v>
      </c>
      <c r="K56" s="139"/>
      <c r="L56" s="139"/>
      <c r="M56" s="139"/>
      <c r="N56" s="139"/>
      <c r="O56" s="139"/>
      <c r="P56" s="139"/>
      <c r="Q56" s="48">
        <f>(H51)</f>
        <v>9868</v>
      </c>
      <c r="R56" s="4"/>
      <c r="S56" s="1"/>
    </row>
    <row r="57" spans="1:19" x14ac:dyDescent="0.25">
      <c r="A57" s="7" t="s">
        <v>184</v>
      </c>
      <c r="B57" s="11">
        <v>61</v>
      </c>
      <c r="C57" s="11">
        <v>3</v>
      </c>
      <c r="D57" s="23">
        <v>39</v>
      </c>
      <c r="E57" s="66">
        <v>1</v>
      </c>
      <c r="F57" s="66">
        <v>2</v>
      </c>
      <c r="G57" s="66">
        <v>0</v>
      </c>
      <c r="H57" s="26">
        <f t="shared" si="10"/>
        <v>106</v>
      </c>
      <c r="I57" s="1"/>
      <c r="J57" s="138" t="s">
        <v>140</v>
      </c>
      <c r="K57" s="139"/>
      <c r="L57" s="139"/>
      <c r="M57" s="139"/>
      <c r="N57" s="139"/>
      <c r="O57" s="139"/>
      <c r="P57" s="139"/>
      <c r="Q57" s="48">
        <f>(H69)</f>
        <v>784</v>
      </c>
      <c r="R57" s="4"/>
      <c r="S57" s="1"/>
    </row>
    <row r="58" spans="1:19" x14ac:dyDescent="0.25">
      <c r="A58" s="7" t="s">
        <v>88</v>
      </c>
      <c r="B58" s="11">
        <v>11</v>
      </c>
      <c r="C58" s="11">
        <v>0</v>
      </c>
      <c r="D58" s="23">
        <v>17</v>
      </c>
      <c r="E58" s="66">
        <v>0</v>
      </c>
      <c r="F58" s="66">
        <v>3</v>
      </c>
      <c r="G58" s="66">
        <v>0</v>
      </c>
      <c r="H58" s="26">
        <f t="shared" si="10"/>
        <v>31</v>
      </c>
      <c r="I58" s="1"/>
      <c r="J58" s="138" t="s">
        <v>144</v>
      </c>
      <c r="K58" s="139"/>
      <c r="L58" s="139"/>
      <c r="M58" s="139"/>
      <c r="N58" s="139"/>
      <c r="O58" s="139"/>
      <c r="P58" s="139"/>
      <c r="Q58" s="48">
        <f>H82</f>
        <v>1950</v>
      </c>
      <c r="R58" s="4"/>
      <c r="S58" s="1"/>
    </row>
    <row r="59" spans="1:19" x14ac:dyDescent="0.25">
      <c r="A59" s="7" t="s">
        <v>89</v>
      </c>
      <c r="B59" s="11">
        <v>6</v>
      </c>
      <c r="C59" s="11">
        <v>0</v>
      </c>
      <c r="D59" s="23">
        <v>8</v>
      </c>
      <c r="E59" s="66">
        <v>0</v>
      </c>
      <c r="F59" s="66">
        <v>1</v>
      </c>
      <c r="G59" s="66">
        <v>0</v>
      </c>
      <c r="H59" s="26">
        <f t="shared" si="10"/>
        <v>15</v>
      </c>
      <c r="I59" s="1"/>
      <c r="J59" s="138" t="s">
        <v>141</v>
      </c>
      <c r="K59" s="139"/>
      <c r="L59" s="139"/>
      <c r="M59" s="139"/>
      <c r="N59" s="139"/>
      <c r="O59" s="139"/>
      <c r="P59" s="139"/>
      <c r="Q59" s="48">
        <f>H95</f>
        <v>3796</v>
      </c>
      <c r="R59" s="4"/>
      <c r="S59" s="1"/>
    </row>
    <row r="60" spans="1:19" x14ac:dyDescent="0.25">
      <c r="A60" s="7" t="s">
        <v>183</v>
      </c>
      <c r="B60" s="11">
        <v>287</v>
      </c>
      <c r="C60" s="11">
        <v>849</v>
      </c>
      <c r="D60" s="23">
        <v>293</v>
      </c>
      <c r="E60" s="66">
        <v>22</v>
      </c>
      <c r="F60" s="66">
        <v>7</v>
      </c>
      <c r="G60" s="66">
        <v>0</v>
      </c>
      <c r="H60" s="26">
        <f t="shared" si="10"/>
        <v>1458</v>
      </c>
      <c r="I60" s="1"/>
      <c r="J60" s="138" t="s">
        <v>143</v>
      </c>
      <c r="K60" s="139"/>
      <c r="L60" s="139"/>
      <c r="M60" s="139"/>
      <c r="N60" s="139"/>
      <c r="O60" s="139"/>
      <c r="P60" s="139"/>
      <c r="Q60" s="63">
        <f>Q11</f>
        <v>1548</v>
      </c>
      <c r="R60" s="4"/>
      <c r="S60" s="1"/>
    </row>
    <row r="61" spans="1:19" x14ac:dyDescent="0.25">
      <c r="A61" s="7" t="s">
        <v>36</v>
      </c>
      <c r="B61" s="11">
        <v>22</v>
      </c>
      <c r="C61" s="11">
        <v>2</v>
      </c>
      <c r="D61" s="23">
        <v>16</v>
      </c>
      <c r="E61" s="66">
        <v>2</v>
      </c>
      <c r="F61" s="66">
        <v>2</v>
      </c>
      <c r="G61" s="66">
        <v>0</v>
      </c>
      <c r="H61" s="26">
        <f t="shared" si="10"/>
        <v>44</v>
      </c>
      <c r="I61" s="1"/>
      <c r="J61" s="138" t="s">
        <v>145</v>
      </c>
      <c r="K61" s="139"/>
      <c r="L61" s="139"/>
      <c r="M61" s="139"/>
      <c r="N61" s="139"/>
      <c r="O61" s="139"/>
      <c r="P61" s="139"/>
      <c r="Q61" s="41">
        <f>Q28</f>
        <v>838</v>
      </c>
      <c r="R61" s="4"/>
      <c r="S61" s="1"/>
    </row>
    <row r="62" spans="1:19" ht="15.75" thickBot="1" x14ac:dyDescent="0.3">
      <c r="A62" s="7" t="s">
        <v>119</v>
      </c>
      <c r="B62" s="11">
        <v>0</v>
      </c>
      <c r="C62" s="10">
        <v>0</v>
      </c>
      <c r="D62" s="23">
        <v>0</v>
      </c>
      <c r="E62" s="66">
        <v>0</v>
      </c>
      <c r="F62" s="66">
        <v>0</v>
      </c>
      <c r="G62" s="66">
        <v>0</v>
      </c>
      <c r="H62" s="26">
        <f>SUM(B62:G62)</f>
        <v>0</v>
      </c>
      <c r="I62" s="1"/>
      <c r="J62" s="144" t="s">
        <v>151</v>
      </c>
      <c r="K62" s="145"/>
      <c r="L62" s="145"/>
      <c r="M62" s="145"/>
      <c r="N62" s="145"/>
      <c r="O62" s="145"/>
      <c r="P62" s="145"/>
      <c r="Q62" s="64">
        <f>Q41</f>
        <v>1191</v>
      </c>
      <c r="R62" s="4"/>
      <c r="S62" s="1"/>
    </row>
    <row r="63" spans="1:19" ht="15.75" thickBot="1" x14ac:dyDescent="0.3">
      <c r="A63" s="7" t="s">
        <v>118</v>
      </c>
      <c r="B63" s="11">
        <v>14</v>
      </c>
      <c r="C63" s="11">
        <v>1</v>
      </c>
      <c r="D63" s="23">
        <v>16</v>
      </c>
      <c r="E63" s="66">
        <v>1</v>
      </c>
      <c r="F63" s="66">
        <v>1</v>
      </c>
      <c r="G63" s="66">
        <v>0</v>
      </c>
      <c r="H63" s="33">
        <f>SUM(B63:G63)</f>
        <v>33</v>
      </c>
      <c r="I63" s="1"/>
      <c r="M63" s="53"/>
      <c r="N63" s="53"/>
      <c r="O63" s="53"/>
      <c r="P63" s="39" t="s">
        <v>11</v>
      </c>
      <c r="Q63" s="61">
        <f>SUM(Q54:Q62)</f>
        <v>49459</v>
      </c>
      <c r="R63" s="4"/>
      <c r="S63" s="1"/>
    </row>
    <row r="64" spans="1:19" x14ac:dyDescent="0.25">
      <c r="A64" s="8" t="s">
        <v>37</v>
      </c>
      <c r="B64" s="31">
        <v>119</v>
      </c>
      <c r="C64" s="20">
        <v>92</v>
      </c>
      <c r="D64" s="42">
        <v>35</v>
      </c>
      <c r="E64" s="65">
        <v>6</v>
      </c>
      <c r="F64" s="65">
        <v>3</v>
      </c>
      <c r="G64" s="65">
        <v>0</v>
      </c>
      <c r="H64" s="26">
        <f t="shared" si="10"/>
        <v>255</v>
      </c>
      <c r="I64" s="1"/>
      <c r="P64" s="1"/>
      <c r="Q64" s="1"/>
      <c r="R64" s="4"/>
      <c r="S64" s="1"/>
    </row>
    <row r="65" spans="1:19" x14ac:dyDescent="0.25">
      <c r="A65" s="7" t="s">
        <v>38</v>
      </c>
      <c r="B65" s="11">
        <v>364</v>
      </c>
      <c r="C65" s="10">
        <v>338</v>
      </c>
      <c r="D65" s="23">
        <v>23</v>
      </c>
      <c r="E65" s="66">
        <v>9</v>
      </c>
      <c r="F65" s="66">
        <v>12</v>
      </c>
      <c r="G65" s="66">
        <v>0</v>
      </c>
      <c r="H65" s="26">
        <f t="shared" si="10"/>
        <v>746</v>
      </c>
      <c r="I65" s="1"/>
      <c r="R65" s="4"/>
      <c r="S65" s="1"/>
    </row>
    <row r="66" spans="1:19" x14ac:dyDescent="0.25">
      <c r="A66" s="7" t="s">
        <v>73</v>
      </c>
      <c r="B66" s="11">
        <v>364</v>
      </c>
      <c r="C66" s="10">
        <v>338</v>
      </c>
      <c r="D66" s="23">
        <v>23</v>
      </c>
      <c r="E66" s="11">
        <v>9</v>
      </c>
      <c r="F66" s="11">
        <v>12</v>
      </c>
      <c r="G66" s="11">
        <v>0</v>
      </c>
      <c r="H66" s="26">
        <f t="shared" si="10"/>
        <v>746</v>
      </c>
      <c r="I66" s="1"/>
      <c r="J66" s="1"/>
      <c r="K66" s="1"/>
      <c r="L66" s="1"/>
      <c r="M66" s="1"/>
      <c r="N66" s="1"/>
      <c r="O66" s="1"/>
      <c r="R66" s="4"/>
      <c r="S66" s="1"/>
    </row>
    <row r="67" spans="1:19" x14ac:dyDescent="0.25">
      <c r="A67" s="7" t="s">
        <v>39</v>
      </c>
      <c r="B67" s="11">
        <v>108</v>
      </c>
      <c r="C67" s="10">
        <v>114</v>
      </c>
      <c r="D67" s="23">
        <v>17</v>
      </c>
      <c r="E67" s="11">
        <v>5</v>
      </c>
      <c r="F67" s="11">
        <v>0</v>
      </c>
      <c r="G67" s="11">
        <v>0</v>
      </c>
      <c r="H67" s="26">
        <f t="shared" si="10"/>
        <v>244</v>
      </c>
      <c r="I67" s="1"/>
      <c r="R67" s="4"/>
      <c r="S67" s="1"/>
    </row>
    <row r="68" spans="1:19" x14ac:dyDescent="0.25">
      <c r="A68" s="18" t="s">
        <v>40</v>
      </c>
      <c r="B68" s="19">
        <v>3</v>
      </c>
      <c r="C68" s="21">
        <v>2</v>
      </c>
      <c r="D68" s="43">
        <v>2</v>
      </c>
      <c r="E68" s="19">
        <v>0</v>
      </c>
      <c r="F68" s="19">
        <v>0</v>
      </c>
      <c r="G68" s="19">
        <v>0</v>
      </c>
      <c r="H68" s="26">
        <f t="shared" si="10"/>
        <v>7</v>
      </c>
      <c r="I68" s="1"/>
      <c r="R68" s="4"/>
      <c r="S68" s="1"/>
    </row>
    <row r="69" spans="1:19" x14ac:dyDescent="0.25">
      <c r="A69" s="73" t="s">
        <v>54</v>
      </c>
      <c r="B69" s="74">
        <f t="shared" ref="B69:G69" si="11">SUM(B70:B81)</f>
        <v>526</v>
      </c>
      <c r="C69" s="74">
        <f t="shared" si="11"/>
        <v>63</v>
      </c>
      <c r="D69" s="74">
        <f t="shared" si="11"/>
        <v>183</v>
      </c>
      <c r="E69" s="74">
        <f t="shared" si="11"/>
        <v>12</v>
      </c>
      <c r="F69" s="74">
        <f t="shared" si="11"/>
        <v>0</v>
      </c>
      <c r="G69" s="76">
        <f t="shared" si="11"/>
        <v>0</v>
      </c>
      <c r="H69" s="75">
        <f t="shared" si="10"/>
        <v>784</v>
      </c>
      <c r="I69" s="1"/>
      <c r="R69" s="4"/>
      <c r="S69" s="1"/>
    </row>
    <row r="70" spans="1:19" x14ac:dyDescent="0.25">
      <c r="A70" s="52" t="s">
        <v>55</v>
      </c>
      <c r="B70" s="65">
        <v>70</v>
      </c>
      <c r="C70" s="10">
        <v>12</v>
      </c>
      <c r="D70" s="65">
        <v>96</v>
      </c>
      <c r="E70" s="65">
        <v>10</v>
      </c>
      <c r="F70" s="11">
        <v>0</v>
      </c>
      <c r="G70" s="65">
        <v>0</v>
      </c>
      <c r="H70" s="26">
        <f t="shared" si="10"/>
        <v>188</v>
      </c>
      <c r="I70" s="1"/>
      <c r="R70" s="4"/>
      <c r="S70" s="1"/>
    </row>
    <row r="71" spans="1:19" x14ac:dyDescent="0.25">
      <c r="A71" s="52" t="s">
        <v>56</v>
      </c>
      <c r="B71" s="66">
        <v>135</v>
      </c>
      <c r="C71" s="91">
        <v>19</v>
      </c>
      <c r="D71" s="66">
        <v>16</v>
      </c>
      <c r="E71" s="66">
        <v>0</v>
      </c>
      <c r="F71" s="11">
        <v>0</v>
      </c>
      <c r="G71" s="66">
        <v>0</v>
      </c>
      <c r="H71" s="26">
        <f t="shared" si="10"/>
        <v>170</v>
      </c>
      <c r="I71" s="1"/>
      <c r="R71" s="4"/>
      <c r="S71" s="1"/>
    </row>
    <row r="72" spans="1:19" x14ac:dyDescent="0.25">
      <c r="A72" s="52" t="s">
        <v>58</v>
      </c>
      <c r="B72" s="66">
        <v>8</v>
      </c>
      <c r="C72" s="10">
        <v>0</v>
      </c>
      <c r="D72" s="66">
        <v>0</v>
      </c>
      <c r="E72" s="66">
        <v>0</v>
      </c>
      <c r="F72" s="11">
        <v>0</v>
      </c>
      <c r="G72" s="66">
        <v>0</v>
      </c>
      <c r="H72" s="26">
        <f t="shared" si="10"/>
        <v>8</v>
      </c>
      <c r="I72" s="1"/>
      <c r="R72" s="4"/>
      <c r="S72" s="1"/>
    </row>
    <row r="73" spans="1:19" x14ac:dyDescent="0.25">
      <c r="A73" s="52" t="s">
        <v>68</v>
      </c>
      <c r="B73" s="66">
        <v>50</v>
      </c>
      <c r="C73" s="91">
        <v>6</v>
      </c>
      <c r="D73" s="66">
        <v>13</v>
      </c>
      <c r="E73" s="66">
        <v>1</v>
      </c>
      <c r="F73" s="92">
        <v>0</v>
      </c>
      <c r="G73" s="66">
        <v>0</v>
      </c>
      <c r="H73" s="26">
        <f t="shared" si="10"/>
        <v>70</v>
      </c>
      <c r="I73" s="1"/>
      <c r="R73" s="4"/>
      <c r="S73" s="1"/>
    </row>
    <row r="74" spans="1:19" x14ac:dyDescent="0.25">
      <c r="A74" s="52" t="s">
        <v>69</v>
      </c>
      <c r="B74" s="66">
        <v>22</v>
      </c>
      <c r="C74" s="91">
        <v>1</v>
      </c>
      <c r="D74" s="66">
        <v>2</v>
      </c>
      <c r="E74" s="66">
        <v>0</v>
      </c>
      <c r="F74" s="92">
        <v>0</v>
      </c>
      <c r="G74" s="66">
        <v>0</v>
      </c>
      <c r="H74" s="26">
        <f t="shared" si="10"/>
        <v>25</v>
      </c>
      <c r="I74" s="1"/>
      <c r="R74" s="4"/>
      <c r="S74" s="1"/>
    </row>
    <row r="75" spans="1:19" x14ac:dyDescent="0.25">
      <c r="A75" s="52" t="s">
        <v>57</v>
      </c>
      <c r="B75" s="66">
        <v>9</v>
      </c>
      <c r="C75" s="91">
        <v>0</v>
      </c>
      <c r="D75" s="66">
        <v>1</v>
      </c>
      <c r="E75" s="66">
        <v>0</v>
      </c>
      <c r="F75" s="91">
        <v>0</v>
      </c>
      <c r="G75" s="66">
        <v>0</v>
      </c>
      <c r="H75" s="26">
        <f t="shared" si="10"/>
        <v>10</v>
      </c>
      <c r="I75" s="1"/>
      <c r="R75" s="4"/>
      <c r="S75" s="1"/>
    </row>
    <row r="76" spans="1:19" x14ac:dyDescent="0.25">
      <c r="A76" s="52" t="s">
        <v>142</v>
      </c>
      <c r="B76" s="66">
        <v>119</v>
      </c>
      <c r="C76" s="91">
        <v>20</v>
      </c>
      <c r="D76" s="66">
        <v>22</v>
      </c>
      <c r="E76" s="66">
        <v>0</v>
      </c>
      <c r="F76" s="92">
        <v>0</v>
      </c>
      <c r="G76" s="66">
        <v>0</v>
      </c>
      <c r="H76" s="26">
        <f t="shared" si="10"/>
        <v>161</v>
      </c>
      <c r="I76" s="1"/>
      <c r="R76" s="4"/>
      <c r="S76" s="1"/>
    </row>
    <row r="77" spans="1:19" x14ac:dyDescent="0.25">
      <c r="A77" s="52" t="s">
        <v>59</v>
      </c>
      <c r="B77" s="66">
        <v>8</v>
      </c>
      <c r="C77" s="91">
        <v>0</v>
      </c>
      <c r="D77" s="66">
        <v>9</v>
      </c>
      <c r="E77" s="66">
        <v>1</v>
      </c>
      <c r="F77" s="92">
        <v>0</v>
      </c>
      <c r="G77" s="66">
        <v>0</v>
      </c>
      <c r="H77" s="26">
        <f t="shared" si="10"/>
        <v>18</v>
      </c>
      <c r="I77" s="1"/>
      <c r="R77" s="4"/>
      <c r="S77" s="1"/>
    </row>
    <row r="78" spans="1:19" x14ac:dyDescent="0.25">
      <c r="A78" s="52" t="s">
        <v>60</v>
      </c>
      <c r="B78" s="66">
        <v>33</v>
      </c>
      <c r="C78" s="91">
        <v>1</v>
      </c>
      <c r="D78" s="66">
        <v>13</v>
      </c>
      <c r="E78" s="66">
        <v>0</v>
      </c>
      <c r="F78" s="91">
        <v>0</v>
      </c>
      <c r="G78" s="66">
        <v>0</v>
      </c>
      <c r="H78" s="26">
        <f t="shared" si="10"/>
        <v>47</v>
      </c>
      <c r="I78" s="1"/>
      <c r="R78" s="4"/>
      <c r="S78" s="1"/>
    </row>
    <row r="79" spans="1:19" x14ac:dyDescent="0.25">
      <c r="A79" s="52" t="s">
        <v>106</v>
      </c>
      <c r="B79" s="66">
        <v>22</v>
      </c>
      <c r="C79" s="91">
        <v>1</v>
      </c>
      <c r="D79" s="66">
        <v>3</v>
      </c>
      <c r="E79" s="66">
        <v>0</v>
      </c>
      <c r="F79" s="91">
        <v>0</v>
      </c>
      <c r="G79" s="66">
        <v>0</v>
      </c>
      <c r="H79" s="26">
        <f t="shared" si="10"/>
        <v>26</v>
      </c>
      <c r="I79" s="1"/>
      <c r="R79" s="4"/>
      <c r="S79" s="1"/>
    </row>
    <row r="80" spans="1:19" x14ac:dyDescent="0.25">
      <c r="A80" s="52" t="s">
        <v>132</v>
      </c>
      <c r="B80" s="66">
        <v>22</v>
      </c>
      <c r="C80" s="91">
        <v>1</v>
      </c>
      <c r="D80" s="66">
        <v>3</v>
      </c>
      <c r="E80" s="66">
        <v>0</v>
      </c>
      <c r="F80" s="92">
        <v>0</v>
      </c>
      <c r="G80" s="66">
        <v>0</v>
      </c>
      <c r="H80" s="26">
        <f t="shared" si="10"/>
        <v>26</v>
      </c>
      <c r="I80" s="1"/>
      <c r="R80" s="4"/>
      <c r="S80" s="1"/>
    </row>
    <row r="81" spans="1:19" x14ac:dyDescent="0.25">
      <c r="A81" s="52" t="s">
        <v>133</v>
      </c>
      <c r="B81" s="93">
        <v>28</v>
      </c>
      <c r="C81" s="91">
        <v>2</v>
      </c>
      <c r="D81" s="93">
        <v>5</v>
      </c>
      <c r="E81" s="93"/>
      <c r="F81" s="92"/>
      <c r="G81" s="93">
        <v>0</v>
      </c>
      <c r="H81" s="26">
        <f t="shared" si="10"/>
        <v>35</v>
      </c>
      <c r="I81" s="1"/>
      <c r="R81" s="4"/>
      <c r="S81" s="1"/>
    </row>
    <row r="82" spans="1:19" x14ac:dyDescent="0.25">
      <c r="A82" s="73" t="s">
        <v>70</v>
      </c>
      <c r="B82" s="74">
        <f>SUM(B83:B94)</f>
        <v>154</v>
      </c>
      <c r="C82" s="74">
        <f t="shared" ref="C82:G82" si="12">SUM(C83:C94)</f>
        <v>727</v>
      </c>
      <c r="D82" s="74">
        <f t="shared" si="12"/>
        <v>998</v>
      </c>
      <c r="E82" s="74">
        <f t="shared" si="12"/>
        <v>57</v>
      </c>
      <c r="F82" s="74">
        <f t="shared" si="12"/>
        <v>14</v>
      </c>
      <c r="G82" s="74">
        <f t="shared" si="12"/>
        <v>0</v>
      </c>
      <c r="H82" s="75">
        <f t="shared" si="10"/>
        <v>1950</v>
      </c>
      <c r="I82" s="1"/>
      <c r="R82" s="4"/>
      <c r="S82" s="1"/>
    </row>
    <row r="83" spans="1:19" x14ac:dyDescent="0.25">
      <c r="A83" s="22" t="s">
        <v>84</v>
      </c>
      <c r="B83" s="11">
        <v>16</v>
      </c>
      <c r="C83" s="10">
        <v>0</v>
      </c>
      <c r="D83" s="11">
        <v>90</v>
      </c>
      <c r="E83" s="11">
        <v>7</v>
      </c>
      <c r="F83" s="10">
        <v>1</v>
      </c>
      <c r="G83" s="11">
        <v>0</v>
      </c>
      <c r="H83" s="26">
        <f t="shared" si="10"/>
        <v>114</v>
      </c>
      <c r="I83" s="1"/>
      <c r="R83" s="4"/>
      <c r="S83" s="1"/>
    </row>
    <row r="84" spans="1:19" x14ac:dyDescent="0.25">
      <c r="A84" s="22" t="s">
        <v>114</v>
      </c>
      <c r="B84" s="11">
        <v>13</v>
      </c>
      <c r="C84" s="10">
        <v>0</v>
      </c>
      <c r="D84" s="11">
        <v>70</v>
      </c>
      <c r="E84" s="11">
        <v>10</v>
      </c>
      <c r="F84" s="10">
        <v>1</v>
      </c>
      <c r="G84" s="11">
        <v>0</v>
      </c>
      <c r="H84" s="26">
        <f t="shared" si="10"/>
        <v>94</v>
      </c>
      <c r="I84" s="1"/>
      <c r="R84" s="4"/>
      <c r="S84" s="1"/>
    </row>
    <row r="85" spans="1:19" ht="14.25" customHeight="1" x14ac:dyDescent="0.25">
      <c r="A85" s="22" t="s">
        <v>61</v>
      </c>
      <c r="B85" s="11">
        <v>2</v>
      </c>
      <c r="C85" s="10">
        <v>43</v>
      </c>
      <c r="D85" s="11">
        <v>6</v>
      </c>
      <c r="E85" s="11">
        <v>3</v>
      </c>
      <c r="F85" s="10">
        <v>0</v>
      </c>
      <c r="G85" s="11">
        <v>0</v>
      </c>
      <c r="H85" s="26">
        <f t="shared" si="10"/>
        <v>54</v>
      </c>
      <c r="I85" s="1"/>
      <c r="R85" s="4"/>
      <c r="S85" s="1"/>
    </row>
    <row r="86" spans="1:19" x14ac:dyDescent="0.25">
      <c r="A86" s="22" t="s">
        <v>62</v>
      </c>
      <c r="B86" s="11">
        <v>17</v>
      </c>
      <c r="C86" s="10">
        <v>0</v>
      </c>
      <c r="D86" s="11">
        <v>181</v>
      </c>
      <c r="E86" s="11">
        <v>5</v>
      </c>
      <c r="F86" s="10">
        <v>3</v>
      </c>
      <c r="G86" s="11">
        <v>0</v>
      </c>
      <c r="H86" s="26">
        <f t="shared" si="10"/>
        <v>206</v>
      </c>
      <c r="I86" s="1"/>
      <c r="K86" s="133"/>
      <c r="L86" s="133"/>
      <c r="M86" s="133"/>
      <c r="R86" s="4"/>
      <c r="S86" s="1"/>
    </row>
    <row r="87" spans="1:19" x14ac:dyDescent="0.25">
      <c r="A87" s="22" t="s">
        <v>93</v>
      </c>
      <c r="B87" s="11">
        <v>0</v>
      </c>
      <c r="C87" s="10">
        <v>0</v>
      </c>
      <c r="D87" s="11">
        <v>0</v>
      </c>
      <c r="E87" s="11">
        <v>0</v>
      </c>
      <c r="F87" s="10">
        <v>0</v>
      </c>
      <c r="G87" s="11">
        <v>0</v>
      </c>
      <c r="H87" s="26">
        <f t="shared" si="10"/>
        <v>0</v>
      </c>
      <c r="I87" s="1"/>
      <c r="R87" s="4"/>
      <c r="S87" s="1"/>
    </row>
    <row r="88" spans="1:19" x14ac:dyDescent="0.25">
      <c r="A88" s="22" t="s">
        <v>94</v>
      </c>
      <c r="B88" s="11">
        <v>0</v>
      </c>
      <c r="C88" s="10">
        <v>0</v>
      </c>
      <c r="D88" s="11">
        <v>0</v>
      </c>
      <c r="E88" s="11">
        <v>0</v>
      </c>
      <c r="F88" s="10">
        <v>0</v>
      </c>
      <c r="G88" s="11">
        <v>0</v>
      </c>
      <c r="H88" s="33">
        <f t="shared" si="10"/>
        <v>0</v>
      </c>
      <c r="I88" s="1"/>
      <c r="R88" s="4"/>
      <c r="S88" s="1"/>
    </row>
    <row r="89" spans="1:19" x14ac:dyDescent="0.25">
      <c r="A89" s="81" t="s">
        <v>108</v>
      </c>
      <c r="B89" s="82">
        <v>88</v>
      </c>
      <c r="C89" s="83">
        <v>638</v>
      </c>
      <c r="D89" s="82">
        <v>428</v>
      </c>
      <c r="E89" s="82">
        <v>24</v>
      </c>
      <c r="F89" s="85">
        <v>4</v>
      </c>
      <c r="G89" s="82">
        <v>0</v>
      </c>
      <c r="H89" s="84">
        <f>SUM(B89:G89)</f>
        <v>1182</v>
      </c>
      <c r="I89" s="1"/>
      <c r="R89" s="4"/>
      <c r="S89" s="1"/>
    </row>
    <row r="90" spans="1:19" x14ac:dyDescent="0.25">
      <c r="A90" s="32" t="s">
        <v>63</v>
      </c>
      <c r="B90" s="31">
        <v>2</v>
      </c>
      <c r="C90" s="20">
        <v>0</v>
      </c>
      <c r="D90" s="31">
        <v>2</v>
      </c>
      <c r="E90" s="31">
        <v>0</v>
      </c>
      <c r="F90" s="20">
        <v>0</v>
      </c>
      <c r="G90" s="31">
        <v>0</v>
      </c>
      <c r="H90" s="26">
        <f t="shared" si="10"/>
        <v>4</v>
      </c>
      <c r="I90" s="1"/>
      <c r="R90" s="4"/>
      <c r="S90" s="1"/>
    </row>
    <row r="91" spans="1:19" x14ac:dyDescent="0.25">
      <c r="A91" s="22" t="s">
        <v>153</v>
      </c>
      <c r="B91" s="11">
        <v>4</v>
      </c>
      <c r="C91" s="10">
        <v>0</v>
      </c>
      <c r="D91" s="11">
        <v>15</v>
      </c>
      <c r="E91" s="11">
        <v>0</v>
      </c>
      <c r="F91" s="10">
        <v>1</v>
      </c>
      <c r="G91" s="11">
        <v>0</v>
      </c>
      <c r="H91" s="26">
        <f t="shared" si="10"/>
        <v>20</v>
      </c>
      <c r="I91" s="1"/>
      <c r="R91" s="4"/>
      <c r="S91" s="1"/>
    </row>
    <row r="92" spans="1:19" x14ac:dyDescent="0.25">
      <c r="A92" s="22" t="s">
        <v>107</v>
      </c>
      <c r="B92" s="11">
        <v>6</v>
      </c>
      <c r="C92" s="10">
        <v>46</v>
      </c>
      <c r="D92" s="11">
        <v>95</v>
      </c>
      <c r="E92" s="11">
        <v>3</v>
      </c>
      <c r="F92" s="10">
        <v>2</v>
      </c>
      <c r="G92" s="11">
        <v>0</v>
      </c>
      <c r="H92" s="26">
        <f t="shared" si="10"/>
        <v>152</v>
      </c>
      <c r="I92" s="1"/>
      <c r="R92" s="4"/>
      <c r="S92" s="1"/>
    </row>
    <row r="93" spans="1:19" x14ac:dyDescent="0.25">
      <c r="A93" s="22" t="s">
        <v>210</v>
      </c>
      <c r="B93" s="11">
        <v>4</v>
      </c>
      <c r="C93" s="10">
        <v>0</v>
      </c>
      <c r="D93" s="11">
        <v>111</v>
      </c>
      <c r="E93" s="11">
        <v>5</v>
      </c>
      <c r="F93" s="10">
        <v>2</v>
      </c>
      <c r="G93" s="11">
        <v>0</v>
      </c>
      <c r="H93" s="26">
        <f t="shared" si="10"/>
        <v>122</v>
      </c>
      <c r="I93" s="1"/>
      <c r="R93" s="4"/>
      <c r="S93" s="1"/>
    </row>
    <row r="94" spans="1:19" x14ac:dyDescent="0.25">
      <c r="A94" s="22" t="s">
        <v>182</v>
      </c>
      <c r="B94" s="11">
        <v>2</v>
      </c>
      <c r="C94" s="10">
        <v>0</v>
      </c>
      <c r="D94" s="11">
        <v>0</v>
      </c>
      <c r="E94" s="11">
        <v>0</v>
      </c>
      <c r="F94" s="10">
        <v>0</v>
      </c>
      <c r="G94" s="11">
        <v>0</v>
      </c>
      <c r="H94" s="26">
        <f t="shared" si="10"/>
        <v>2</v>
      </c>
      <c r="I94" s="1"/>
      <c r="R94" s="4"/>
      <c r="S94" s="1"/>
    </row>
    <row r="95" spans="1:19" x14ac:dyDescent="0.25">
      <c r="A95" s="73" t="s">
        <v>3</v>
      </c>
      <c r="B95" s="74">
        <f>SUM(B96:B155)</f>
        <v>1062</v>
      </c>
      <c r="C95" s="74">
        <f t="shared" ref="C95:G95" si="13">SUM(C96:C155)</f>
        <v>599</v>
      </c>
      <c r="D95" s="74">
        <f t="shared" si="13"/>
        <v>2031</v>
      </c>
      <c r="E95" s="74">
        <f t="shared" si="13"/>
        <v>59</v>
      </c>
      <c r="F95" s="74">
        <f t="shared" si="13"/>
        <v>45</v>
      </c>
      <c r="G95" s="74">
        <f t="shared" si="13"/>
        <v>0</v>
      </c>
      <c r="H95" s="75">
        <f t="shared" si="10"/>
        <v>3796</v>
      </c>
      <c r="I95" s="1"/>
      <c r="R95" s="4"/>
      <c r="S95" s="1"/>
    </row>
    <row r="96" spans="1:19" x14ac:dyDescent="0.25">
      <c r="A96" s="7" t="s">
        <v>113</v>
      </c>
      <c r="B96" s="11">
        <v>78</v>
      </c>
      <c r="C96" s="11">
        <v>2</v>
      </c>
      <c r="D96" s="11">
        <v>278</v>
      </c>
      <c r="E96" s="11">
        <v>2</v>
      </c>
      <c r="F96" s="17">
        <v>4</v>
      </c>
      <c r="G96" s="11">
        <v>0</v>
      </c>
      <c r="H96" s="14">
        <f t="shared" si="10"/>
        <v>364</v>
      </c>
      <c r="I96" s="1"/>
      <c r="R96" s="4"/>
      <c r="S96" s="1"/>
    </row>
    <row r="97" spans="1:19" x14ac:dyDescent="0.25">
      <c r="A97" s="7" t="s">
        <v>112</v>
      </c>
      <c r="B97" s="11">
        <v>0</v>
      </c>
      <c r="C97" s="11">
        <v>0</v>
      </c>
      <c r="D97" s="11">
        <v>0</v>
      </c>
      <c r="E97" s="11">
        <v>0</v>
      </c>
      <c r="F97" s="17">
        <v>0</v>
      </c>
      <c r="G97" s="11">
        <v>0</v>
      </c>
      <c r="H97" s="27">
        <f t="shared" si="10"/>
        <v>0</v>
      </c>
      <c r="I97" s="1"/>
      <c r="R97" s="4"/>
      <c r="S97" s="1"/>
    </row>
    <row r="98" spans="1:19" x14ac:dyDescent="0.25">
      <c r="A98" s="7" t="s">
        <v>41</v>
      </c>
      <c r="B98" s="11">
        <v>0</v>
      </c>
      <c r="C98" s="11">
        <v>1</v>
      </c>
      <c r="D98" s="11">
        <v>1</v>
      </c>
      <c r="E98" s="11">
        <v>0</v>
      </c>
      <c r="F98" s="17">
        <v>0</v>
      </c>
      <c r="G98" s="11">
        <v>0</v>
      </c>
      <c r="H98" s="27">
        <f t="shared" si="10"/>
        <v>2</v>
      </c>
      <c r="I98" s="1"/>
      <c r="R98" s="4"/>
      <c r="S98" s="1"/>
    </row>
    <row r="99" spans="1:19" x14ac:dyDescent="0.25">
      <c r="A99" s="7" t="s">
        <v>192</v>
      </c>
      <c r="B99" s="11">
        <v>1</v>
      </c>
      <c r="C99" s="11">
        <v>0</v>
      </c>
      <c r="D99" s="11">
        <v>0</v>
      </c>
      <c r="E99" s="11">
        <v>0</v>
      </c>
      <c r="F99" s="17">
        <v>0</v>
      </c>
      <c r="G99" s="11">
        <v>0</v>
      </c>
      <c r="H99" s="27">
        <f t="shared" si="10"/>
        <v>1</v>
      </c>
      <c r="I99" s="1"/>
      <c r="R99" s="4"/>
      <c r="S99" s="1"/>
    </row>
    <row r="100" spans="1:19" x14ac:dyDescent="0.25">
      <c r="A100" s="7" t="s">
        <v>213</v>
      </c>
      <c r="B100" s="11">
        <v>2</v>
      </c>
      <c r="C100" s="11">
        <v>0</v>
      </c>
      <c r="D100" s="11">
        <v>7</v>
      </c>
      <c r="E100" s="11">
        <v>0</v>
      </c>
      <c r="F100" s="17">
        <v>0</v>
      </c>
      <c r="G100" s="11">
        <v>0</v>
      </c>
      <c r="H100" s="27">
        <f t="shared" si="10"/>
        <v>9</v>
      </c>
      <c r="I100" s="1"/>
      <c r="R100" s="4"/>
      <c r="S100" s="1"/>
    </row>
    <row r="101" spans="1:19" x14ac:dyDescent="0.25">
      <c r="A101" s="7" t="s">
        <v>214</v>
      </c>
      <c r="B101" s="11">
        <v>4</v>
      </c>
      <c r="C101" s="11">
        <v>0</v>
      </c>
      <c r="D101" s="11">
        <v>7</v>
      </c>
      <c r="E101" s="11">
        <v>0</v>
      </c>
      <c r="F101" s="17">
        <v>0</v>
      </c>
      <c r="G101" s="11">
        <v>0</v>
      </c>
      <c r="H101" s="27">
        <f t="shared" si="10"/>
        <v>11</v>
      </c>
      <c r="I101" s="1"/>
      <c r="R101" s="4"/>
      <c r="S101" s="1"/>
    </row>
    <row r="102" spans="1:19" x14ac:dyDescent="0.25">
      <c r="A102" s="7" t="s">
        <v>215</v>
      </c>
      <c r="B102" s="11">
        <v>0</v>
      </c>
      <c r="C102" s="11">
        <v>0</v>
      </c>
      <c r="D102" s="11">
        <v>1</v>
      </c>
      <c r="E102" s="11">
        <v>0</v>
      </c>
      <c r="F102" s="17">
        <v>0</v>
      </c>
      <c r="G102" s="11">
        <v>0</v>
      </c>
      <c r="H102" s="27">
        <f t="shared" si="10"/>
        <v>1</v>
      </c>
      <c r="I102" s="1"/>
      <c r="R102" s="4"/>
      <c r="S102" s="1"/>
    </row>
    <row r="103" spans="1:19" x14ac:dyDescent="0.25">
      <c r="A103" s="7" t="s">
        <v>219</v>
      </c>
      <c r="B103" s="11">
        <v>0</v>
      </c>
      <c r="C103" s="11">
        <v>0</v>
      </c>
      <c r="D103" s="11">
        <v>0</v>
      </c>
      <c r="E103" s="11">
        <v>0</v>
      </c>
      <c r="F103" s="17">
        <v>0</v>
      </c>
      <c r="G103" s="11">
        <v>0</v>
      </c>
      <c r="H103" s="27">
        <f t="shared" si="10"/>
        <v>0</v>
      </c>
      <c r="I103" s="1"/>
      <c r="R103" s="4"/>
      <c r="S103" s="1"/>
    </row>
    <row r="104" spans="1:19" x14ac:dyDescent="0.25">
      <c r="A104" s="7" t="s">
        <v>220</v>
      </c>
      <c r="B104" s="11">
        <v>1</v>
      </c>
      <c r="C104" s="11">
        <v>0</v>
      </c>
      <c r="D104" s="11">
        <v>4</v>
      </c>
      <c r="E104" s="11">
        <v>0</v>
      </c>
      <c r="F104" s="17">
        <v>0</v>
      </c>
      <c r="G104" s="11">
        <v>0</v>
      </c>
      <c r="H104" s="27">
        <f t="shared" si="10"/>
        <v>5</v>
      </c>
      <c r="I104" s="1"/>
      <c r="R104" s="4"/>
      <c r="S104" s="1"/>
    </row>
    <row r="105" spans="1:19" x14ac:dyDescent="0.25">
      <c r="A105" s="7" t="s">
        <v>216</v>
      </c>
      <c r="B105" s="11">
        <v>0</v>
      </c>
      <c r="C105" s="11">
        <v>0</v>
      </c>
      <c r="D105" s="11">
        <v>0</v>
      </c>
      <c r="E105" s="11">
        <v>0</v>
      </c>
      <c r="F105" s="17">
        <v>0</v>
      </c>
      <c r="G105" s="11">
        <v>0</v>
      </c>
      <c r="H105" s="27">
        <f t="shared" si="10"/>
        <v>0</v>
      </c>
      <c r="I105" s="1"/>
      <c r="R105" s="4"/>
      <c r="S105" s="1"/>
    </row>
    <row r="106" spans="1:19" x14ac:dyDescent="0.25">
      <c r="A106" s="7" t="s">
        <v>174</v>
      </c>
      <c r="B106" s="11">
        <v>3</v>
      </c>
      <c r="C106" s="11">
        <v>0</v>
      </c>
      <c r="D106" s="11">
        <v>33</v>
      </c>
      <c r="E106" s="11">
        <v>1</v>
      </c>
      <c r="F106" s="17">
        <v>0</v>
      </c>
      <c r="G106" s="11">
        <v>0</v>
      </c>
      <c r="H106" s="27">
        <f t="shared" si="10"/>
        <v>37</v>
      </c>
      <c r="I106" s="1"/>
      <c r="R106" s="4"/>
      <c r="S106" s="1"/>
    </row>
    <row r="107" spans="1:19" x14ac:dyDescent="0.25">
      <c r="A107" s="7" t="s">
        <v>175</v>
      </c>
      <c r="B107" s="11">
        <v>3</v>
      </c>
      <c r="C107" s="11">
        <v>0</v>
      </c>
      <c r="D107" s="11">
        <v>15</v>
      </c>
      <c r="E107" s="19">
        <v>3</v>
      </c>
      <c r="F107" s="17">
        <v>0</v>
      </c>
      <c r="G107" s="11">
        <v>0</v>
      </c>
      <c r="H107" s="27">
        <f t="shared" si="10"/>
        <v>21</v>
      </c>
      <c r="I107" s="1"/>
      <c r="R107" s="4"/>
      <c r="S107" s="1"/>
    </row>
    <row r="108" spans="1:19" x14ac:dyDescent="0.25">
      <c r="A108" s="143" t="s">
        <v>109</v>
      </c>
      <c r="B108" s="143"/>
      <c r="C108" s="143"/>
      <c r="D108" s="143"/>
      <c r="E108" s="143"/>
      <c r="F108" s="143"/>
      <c r="G108" s="143"/>
      <c r="H108" s="143"/>
      <c r="I108" s="1"/>
      <c r="R108" s="4"/>
      <c r="S108" s="1"/>
    </row>
    <row r="109" spans="1:19" x14ac:dyDescent="0.25">
      <c r="A109" s="7" t="s">
        <v>123</v>
      </c>
      <c r="B109" s="11">
        <v>8</v>
      </c>
      <c r="C109" s="11">
        <v>253</v>
      </c>
      <c r="D109" s="11">
        <v>29</v>
      </c>
      <c r="E109" s="11">
        <v>0</v>
      </c>
      <c r="F109" s="11">
        <v>3</v>
      </c>
      <c r="G109" s="11">
        <v>0</v>
      </c>
      <c r="H109" s="28">
        <f t="shared" si="10"/>
        <v>293</v>
      </c>
      <c r="I109" s="1"/>
      <c r="J109" s="133"/>
      <c r="K109" s="133"/>
      <c r="R109" s="4"/>
      <c r="S109" s="1"/>
    </row>
    <row r="110" spans="1:19" x14ac:dyDescent="0.25">
      <c r="A110" s="7" t="s">
        <v>122</v>
      </c>
      <c r="B110" s="11">
        <v>7</v>
      </c>
      <c r="C110" s="11">
        <v>229</v>
      </c>
      <c r="D110" s="10">
        <v>30</v>
      </c>
      <c r="E110" s="11">
        <v>0</v>
      </c>
      <c r="F110" s="11">
        <v>0</v>
      </c>
      <c r="G110" s="11">
        <v>0</v>
      </c>
      <c r="H110" s="14">
        <f t="shared" si="10"/>
        <v>266</v>
      </c>
      <c r="I110" s="1"/>
      <c r="J110" s="133"/>
      <c r="K110" s="133"/>
      <c r="R110" s="4"/>
      <c r="S110" s="1"/>
    </row>
    <row r="111" spans="1:19" x14ac:dyDescent="0.25">
      <c r="A111" s="7" t="s">
        <v>121</v>
      </c>
      <c r="B111" s="11">
        <v>6</v>
      </c>
      <c r="C111" s="11">
        <v>27</v>
      </c>
      <c r="D111" s="11">
        <v>13</v>
      </c>
      <c r="E111" s="11">
        <v>0</v>
      </c>
      <c r="F111" s="11">
        <v>0</v>
      </c>
      <c r="G111" s="11">
        <v>0</v>
      </c>
      <c r="H111" s="14">
        <f t="shared" si="10"/>
        <v>46</v>
      </c>
      <c r="I111" s="1"/>
      <c r="R111" s="4"/>
      <c r="S111" s="1"/>
    </row>
    <row r="112" spans="1:19" x14ac:dyDescent="0.25">
      <c r="A112" s="7" t="s">
        <v>120</v>
      </c>
      <c r="B112" s="11">
        <v>4</v>
      </c>
      <c r="C112" s="11">
        <v>27</v>
      </c>
      <c r="D112" s="11">
        <v>6</v>
      </c>
      <c r="E112" s="11">
        <v>0</v>
      </c>
      <c r="F112" s="11">
        <v>0</v>
      </c>
      <c r="G112" s="11">
        <v>0</v>
      </c>
      <c r="H112" s="14">
        <f t="shared" si="10"/>
        <v>37</v>
      </c>
      <c r="I112" s="1"/>
      <c r="R112" s="4"/>
      <c r="S112" s="1"/>
    </row>
    <row r="113" spans="1:19" x14ac:dyDescent="0.25">
      <c r="A113" s="7" t="s">
        <v>124</v>
      </c>
      <c r="B113" s="11">
        <v>26</v>
      </c>
      <c r="C113" s="11">
        <v>0</v>
      </c>
      <c r="D113" s="11">
        <v>8</v>
      </c>
      <c r="E113" s="11">
        <v>1</v>
      </c>
      <c r="F113" s="11">
        <v>0</v>
      </c>
      <c r="G113" s="11">
        <v>0</v>
      </c>
      <c r="H113" s="14">
        <f t="shared" si="10"/>
        <v>35</v>
      </c>
      <c r="I113" s="1"/>
      <c r="R113" s="4"/>
      <c r="S113" s="1"/>
    </row>
    <row r="114" spans="1:19" x14ac:dyDescent="0.25">
      <c r="A114" s="7" t="s">
        <v>48</v>
      </c>
      <c r="B114" s="11">
        <v>0</v>
      </c>
      <c r="C114" s="11">
        <v>0</v>
      </c>
      <c r="D114" s="11">
        <v>0</v>
      </c>
      <c r="E114" s="11">
        <v>0</v>
      </c>
      <c r="F114" s="11">
        <v>0</v>
      </c>
      <c r="G114" s="11">
        <v>0</v>
      </c>
      <c r="H114" s="14">
        <f>SUM(B114:G114)</f>
        <v>0</v>
      </c>
      <c r="I114" s="1"/>
      <c r="R114" s="4"/>
      <c r="S114" s="1"/>
    </row>
    <row r="115" spans="1:19" x14ac:dyDescent="0.25">
      <c r="A115" s="162" t="s">
        <v>110</v>
      </c>
      <c r="B115" s="163"/>
      <c r="C115" s="163"/>
      <c r="D115" s="163"/>
      <c r="E115" s="163"/>
      <c r="F115" s="163"/>
      <c r="G115" s="163"/>
      <c r="H115" s="142"/>
      <c r="I115" s="1"/>
      <c r="R115" s="4"/>
      <c r="S115" s="1"/>
    </row>
    <row r="116" spans="1:19" x14ac:dyDescent="0.25">
      <c r="A116" s="8" t="s">
        <v>111</v>
      </c>
      <c r="B116" s="31">
        <v>64</v>
      </c>
      <c r="C116" s="31">
        <v>2</v>
      </c>
      <c r="D116" s="31">
        <v>234</v>
      </c>
      <c r="E116" s="31">
        <v>13</v>
      </c>
      <c r="F116" s="31">
        <v>3</v>
      </c>
      <c r="G116" s="31">
        <v>0</v>
      </c>
      <c r="H116" s="14">
        <f t="shared" ref="H116:H149" si="14">SUM(B116:G116)</f>
        <v>316</v>
      </c>
      <c r="I116" s="1"/>
      <c r="R116" s="4"/>
      <c r="S116" s="1"/>
    </row>
    <row r="117" spans="1:19" x14ac:dyDescent="0.25">
      <c r="A117" s="7" t="s">
        <v>158</v>
      </c>
      <c r="B117" s="11">
        <v>75</v>
      </c>
      <c r="C117" s="11">
        <v>2</v>
      </c>
      <c r="D117" s="11">
        <v>273</v>
      </c>
      <c r="E117" s="11">
        <v>6</v>
      </c>
      <c r="F117" s="11">
        <v>6</v>
      </c>
      <c r="G117" s="11">
        <v>0</v>
      </c>
      <c r="H117" s="14">
        <f t="shared" si="14"/>
        <v>362</v>
      </c>
      <c r="I117" s="1"/>
      <c r="R117" s="4"/>
      <c r="S117" s="1"/>
    </row>
    <row r="118" spans="1:19" x14ac:dyDescent="0.25">
      <c r="A118" s="7" t="s">
        <v>156</v>
      </c>
      <c r="B118" s="11">
        <v>60</v>
      </c>
      <c r="C118" s="11">
        <v>0</v>
      </c>
      <c r="D118" s="11">
        <v>99</v>
      </c>
      <c r="E118" s="11">
        <v>2</v>
      </c>
      <c r="F118" s="11">
        <v>2</v>
      </c>
      <c r="G118" s="11">
        <v>0</v>
      </c>
      <c r="H118" s="14">
        <f t="shared" si="14"/>
        <v>163</v>
      </c>
      <c r="I118" s="1"/>
      <c r="R118" s="4"/>
      <c r="S118" s="1"/>
    </row>
    <row r="119" spans="1:19" x14ac:dyDescent="0.25">
      <c r="A119" s="7" t="s">
        <v>187</v>
      </c>
      <c r="B119" s="11">
        <v>0</v>
      </c>
      <c r="C119" s="11">
        <v>0</v>
      </c>
      <c r="D119" s="11">
        <v>0</v>
      </c>
      <c r="E119" s="11">
        <v>1</v>
      </c>
      <c r="F119" s="11">
        <v>0</v>
      </c>
      <c r="G119" s="11">
        <v>0</v>
      </c>
      <c r="H119" s="14">
        <f t="shared" si="14"/>
        <v>1</v>
      </c>
      <c r="I119" s="1"/>
      <c r="R119" s="4"/>
      <c r="S119" s="1"/>
    </row>
    <row r="120" spans="1:19" x14ac:dyDescent="0.25">
      <c r="A120" s="7" t="s">
        <v>157</v>
      </c>
      <c r="B120" s="11">
        <v>61</v>
      </c>
      <c r="C120" s="11">
        <v>1</v>
      </c>
      <c r="D120" s="11">
        <v>128</v>
      </c>
      <c r="E120" s="11">
        <v>2</v>
      </c>
      <c r="F120" s="11">
        <v>5</v>
      </c>
      <c r="G120" s="11">
        <v>0</v>
      </c>
      <c r="H120" s="14">
        <f t="shared" si="14"/>
        <v>197</v>
      </c>
      <c r="I120" s="1"/>
      <c r="R120" s="4"/>
      <c r="S120" s="1"/>
    </row>
    <row r="121" spans="1:19" x14ac:dyDescent="0.25">
      <c r="A121" s="7" t="s">
        <v>125</v>
      </c>
      <c r="B121" s="11">
        <v>36</v>
      </c>
      <c r="C121" s="11">
        <v>0</v>
      </c>
      <c r="D121" s="11">
        <v>36</v>
      </c>
      <c r="E121" s="11">
        <v>1</v>
      </c>
      <c r="F121" s="11">
        <v>2</v>
      </c>
      <c r="G121" s="11">
        <v>0</v>
      </c>
      <c r="H121" s="14">
        <f t="shared" si="14"/>
        <v>75</v>
      </c>
      <c r="I121" s="1"/>
      <c r="R121" s="4"/>
      <c r="S121" s="1"/>
    </row>
    <row r="122" spans="1:19" x14ac:dyDescent="0.25">
      <c r="A122" s="7" t="s">
        <v>126</v>
      </c>
      <c r="B122" s="11">
        <v>31</v>
      </c>
      <c r="C122" s="11">
        <v>0</v>
      </c>
      <c r="D122" s="11">
        <v>37</v>
      </c>
      <c r="E122" s="11">
        <v>0</v>
      </c>
      <c r="F122" s="11">
        <v>1</v>
      </c>
      <c r="G122" s="11">
        <v>0</v>
      </c>
      <c r="H122" s="14">
        <f t="shared" si="14"/>
        <v>69</v>
      </c>
      <c r="I122" s="1"/>
      <c r="R122" s="4"/>
      <c r="S122" s="1"/>
    </row>
    <row r="123" spans="1:19" x14ac:dyDescent="0.25">
      <c r="A123" s="7" t="s">
        <v>103</v>
      </c>
      <c r="B123" s="11">
        <v>7</v>
      </c>
      <c r="C123" s="11">
        <v>0</v>
      </c>
      <c r="D123" s="11">
        <v>22</v>
      </c>
      <c r="E123" s="11">
        <v>0</v>
      </c>
      <c r="F123" s="11">
        <v>2</v>
      </c>
      <c r="G123" s="11">
        <v>0</v>
      </c>
      <c r="H123" s="14">
        <f t="shared" si="14"/>
        <v>31</v>
      </c>
      <c r="I123" s="1"/>
      <c r="R123" s="4"/>
      <c r="S123" s="1"/>
    </row>
    <row r="124" spans="1:19" x14ac:dyDescent="0.25">
      <c r="A124" s="7" t="s">
        <v>127</v>
      </c>
      <c r="B124" s="11">
        <v>19</v>
      </c>
      <c r="C124" s="11">
        <v>0</v>
      </c>
      <c r="D124" s="11">
        <v>21</v>
      </c>
      <c r="E124" s="11">
        <v>0</v>
      </c>
      <c r="F124" s="11">
        <v>0</v>
      </c>
      <c r="G124" s="11">
        <v>0</v>
      </c>
      <c r="H124" s="14">
        <f t="shared" si="14"/>
        <v>40</v>
      </c>
      <c r="I124" s="1"/>
      <c r="R124" s="4"/>
      <c r="S124" s="1"/>
    </row>
    <row r="125" spans="1:19" x14ac:dyDescent="0.25">
      <c r="A125" s="7" t="s">
        <v>128</v>
      </c>
      <c r="B125" s="11">
        <v>8</v>
      </c>
      <c r="C125" s="11">
        <v>0</v>
      </c>
      <c r="D125" s="11">
        <v>22</v>
      </c>
      <c r="E125" s="11">
        <v>0</v>
      </c>
      <c r="F125" s="11">
        <v>0</v>
      </c>
      <c r="G125" s="11">
        <v>0</v>
      </c>
      <c r="H125" s="14">
        <f t="shared" si="14"/>
        <v>30</v>
      </c>
      <c r="I125" s="1"/>
      <c r="R125" s="4"/>
      <c r="S125" s="1"/>
    </row>
    <row r="126" spans="1:19" x14ac:dyDescent="0.25">
      <c r="A126" s="7" t="s">
        <v>129</v>
      </c>
      <c r="B126" s="11">
        <v>19</v>
      </c>
      <c r="C126" s="11">
        <v>0</v>
      </c>
      <c r="D126" s="11">
        <v>15</v>
      </c>
      <c r="E126" s="11">
        <v>0</v>
      </c>
      <c r="F126" s="11">
        <v>0</v>
      </c>
      <c r="G126" s="11">
        <v>0</v>
      </c>
      <c r="H126" s="14">
        <f t="shared" si="14"/>
        <v>34</v>
      </c>
      <c r="I126" s="1"/>
      <c r="R126" s="4"/>
      <c r="S126" s="1"/>
    </row>
    <row r="127" spans="1:19" x14ac:dyDescent="0.25">
      <c r="A127" s="7" t="s">
        <v>44</v>
      </c>
      <c r="B127" s="11">
        <v>18</v>
      </c>
      <c r="C127" s="11">
        <v>1</v>
      </c>
      <c r="D127" s="11">
        <v>65</v>
      </c>
      <c r="E127" s="11">
        <v>3</v>
      </c>
      <c r="F127" s="11">
        <v>1</v>
      </c>
      <c r="G127" s="11">
        <v>0</v>
      </c>
      <c r="H127" s="14">
        <f t="shared" si="14"/>
        <v>88</v>
      </c>
      <c r="I127" s="1"/>
      <c r="R127" s="4"/>
      <c r="S127" s="1"/>
    </row>
    <row r="128" spans="1:19" x14ac:dyDescent="0.25">
      <c r="A128" s="7" t="s">
        <v>92</v>
      </c>
      <c r="B128" s="11">
        <v>1</v>
      </c>
      <c r="C128" s="11">
        <v>1</v>
      </c>
      <c r="D128" s="11">
        <v>61</v>
      </c>
      <c r="E128" s="11">
        <v>1</v>
      </c>
      <c r="F128" s="11">
        <v>1</v>
      </c>
      <c r="G128" s="11">
        <v>0</v>
      </c>
      <c r="H128" s="14">
        <f t="shared" si="14"/>
        <v>65</v>
      </c>
      <c r="I128" s="1"/>
      <c r="R128" s="4"/>
      <c r="S128" s="1"/>
    </row>
    <row r="129" spans="1:19" x14ac:dyDescent="0.25">
      <c r="A129" s="7" t="s">
        <v>45</v>
      </c>
      <c r="B129" s="11">
        <v>18</v>
      </c>
      <c r="C129" s="11">
        <v>0</v>
      </c>
      <c r="D129" s="11">
        <v>4</v>
      </c>
      <c r="E129" s="11">
        <v>0</v>
      </c>
      <c r="F129" s="11">
        <v>0</v>
      </c>
      <c r="G129" s="11">
        <v>0</v>
      </c>
      <c r="H129" s="14">
        <f t="shared" si="14"/>
        <v>22</v>
      </c>
      <c r="I129" s="1"/>
      <c r="R129" s="4"/>
      <c r="S129" s="1"/>
    </row>
    <row r="130" spans="1:19" x14ac:dyDescent="0.25">
      <c r="A130" s="7" t="s">
        <v>99</v>
      </c>
      <c r="B130" s="11">
        <v>82</v>
      </c>
      <c r="C130" s="11">
        <v>39</v>
      </c>
      <c r="D130" s="11">
        <v>14</v>
      </c>
      <c r="E130" s="11">
        <v>1</v>
      </c>
      <c r="F130" s="11">
        <v>1</v>
      </c>
      <c r="G130" s="11">
        <v>0</v>
      </c>
      <c r="H130" s="14">
        <f t="shared" si="14"/>
        <v>137</v>
      </c>
      <c r="I130" s="1"/>
      <c r="R130" s="4"/>
      <c r="S130" s="1"/>
    </row>
    <row r="131" spans="1:19" ht="15.75" customHeight="1" x14ac:dyDescent="0.25">
      <c r="A131" s="7" t="s">
        <v>100</v>
      </c>
      <c r="B131" s="11">
        <v>1</v>
      </c>
      <c r="C131" s="11">
        <v>0</v>
      </c>
      <c r="D131" s="11">
        <v>25</v>
      </c>
      <c r="E131" s="11">
        <v>1</v>
      </c>
      <c r="F131" s="11">
        <v>0</v>
      </c>
      <c r="G131" s="11">
        <v>0</v>
      </c>
      <c r="H131" s="14">
        <f t="shared" si="14"/>
        <v>27</v>
      </c>
      <c r="I131" s="1"/>
      <c r="R131" s="4"/>
      <c r="S131" s="1"/>
    </row>
    <row r="132" spans="1:19" x14ac:dyDescent="0.25">
      <c r="A132" s="7" t="s">
        <v>46</v>
      </c>
      <c r="B132" s="11">
        <v>0</v>
      </c>
      <c r="C132" s="11">
        <v>0</v>
      </c>
      <c r="D132" s="11">
        <v>2</v>
      </c>
      <c r="E132" s="11">
        <v>0</v>
      </c>
      <c r="F132" s="11">
        <v>0</v>
      </c>
      <c r="G132" s="11">
        <v>0</v>
      </c>
      <c r="H132" s="14">
        <f t="shared" si="14"/>
        <v>2</v>
      </c>
      <c r="I132" s="1"/>
      <c r="R132" s="4"/>
      <c r="S132" s="1"/>
    </row>
    <row r="133" spans="1:19" x14ac:dyDescent="0.25">
      <c r="A133" s="7" t="s">
        <v>47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  <c r="H133" s="14">
        <f t="shared" si="14"/>
        <v>0</v>
      </c>
      <c r="I133" s="1"/>
      <c r="R133" s="4"/>
      <c r="S133" s="1"/>
    </row>
    <row r="134" spans="1:19" x14ac:dyDescent="0.25">
      <c r="A134" s="7" t="s">
        <v>53</v>
      </c>
      <c r="B134" s="11">
        <v>0</v>
      </c>
      <c r="C134" s="11">
        <v>0</v>
      </c>
      <c r="D134" s="11">
        <v>0</v>
      </c>
      <c r="E134" s="11">
        <v>0</v>
      </c>
      <c r="F134" s="11">
        <v>0</v>
      </c>
      <c r="G134" s="11">
        <v>0</v>
      </c>
      <c r="H134" s="14">
        <f t="shared" si="14"/>
        <v>0</v>
      </c>
      <c r="I134" s="1"/>
      <c r="R134" s="4"/>
      <c r="S134" s="1"/>
    </row>
    <row r="135" spans="1:19" x14ac:dyDescent="0.25">
      <c r="A135" s="7" t="s">
        <v>134</v>
      </c>
      <c r="B135" s="11">
        <v>57</v>
      </c>
      <c r="C135" s="11">
        <v>2</v>
      </c>
      <c r="D135" s="11">
        <v>95</v>
      </c>
      <c r="E135" s="11">
        <v>5</v>
      </c>
      <c r="F135" s="11">
        <v>1</v>
      </c>
      <c r="G135" s="11">
        <v>0</v>
      </c>
      <c r="H135" s="14">
        <f t="shared" si="14"/>
        <v>160</v>
      </c>
      <c r="I135" s="1"/>
      <c r="R135" s="4"/>
      <c r="S135" s="1"/>
    </row>
    <row r="136" spans="1:19" x14ac:dyDescent="0.25">
      <c r="A136" s="7" t="s">
        <v>135</v>
      </c>
      <c r="B136" s="11">
        <v>63</v>
      </c>
      <c r="C136" s="11">
        <v>2</v>
      </c>
      <c r="D136" s="11">
        <v>169</v>
      </c>
      <c r="E136" s="11">
        <v>8</v>
      </c>
      <c r="F136" s="11">
        <v>4</v>
      </c>
      <c r="G136" s="11">
        <v>0</v>
      </c>
      <c r="H136" s="14">
        <f t="shared" si="14"/>
        <v>246</v>
      </c>
      <c r="I136" s="1"/>
      <c r="R136" s="4"/>
      <c r="S136" s="1"/>
    </row>
    <row r="137" spans="1:19" x14ac:dyDescent="0.25">
      <c r="A137" s="7" t="s">
        <v>49</v>
      </c>
      <c r="B137" s="11">
        <v>173</v>
      </c>
      <c r="C137" s="11">
        <v>2</v>
      </c>
      <c r="D137" s="11">
        <v>173</v>
      </c>
      <c r="E137" s="11">
        <v>8</v>
      </c>
      <c r="F137" s="11">
        <v>4</v>
      </c>
      <c r="G137" s="11">
        <v>0</v>
      </c>
      <c r="H137" s="27">
        <f t="shared" si="14"/>
        <v>360</v>
      </c>
      <c r="I137" s="1"/>
      <c r="R137" s="4"/>
      <c r="S137" s="1"/>
    </row>
    <row r="138" spans="1:19" x14ac:dyDescent="0.25">
      <c r="A138" s="7" t="s">
        <v>189</v>
      </c>
      <c r="B138" s="11">
        <v>2</v>
      </c>
      <c r="C138" s="11">
        <v>0</v>
      </c>
      <c r="D138" s="11">
        <v>12</v>
      </c>
      <c r="E138" s="11">
        <v>0</v>
      </c>
      <c r="F138" s="11">
        <v>0</v>
      </c>
      <c r="G138" s="11">
        <v>0</v>
      </c>
      <c r="H138" s="27">
        <f t="shared" si="14"/>
        <v>14</v>
      </c>
      <c r="I138" s="1"/>
      <c r="R138" s="4"/>
      <c r="S138" s="1"/>
    </row>
    <row r="139" spans="1:19" x14ac:dyDescent="0.25">
      <c r="A139" s="7" t="s">
        <v>50</v>
      </c>
      <c r="B139" s="11">
        <v>10</v>
      </c>
      <c r="C139" s="11">
        <v>2</v>
      </c>
      <c r="D139" s="11">
        <v>4</v>
      </c>
      <c r="E139" s="11">
        <v>0</v>
      </c>
      <c r="F139" s="11">
        <v>0</v>
      </c>
      <c r="G139" s="11">
        <v>0</v>
      </c>
      <c r="H139" s="14">
        <f t="shared" si="14"/>
        <v>16</v>
      </c>
      <c r="I139" s="1"/>
      <c r="R139" s="4"/>
      <c r="S139" s="1"/>
    </row>
    <row r="140" spans="1:19" x14ac:dyDescent="0.25">
      <c r="A140" s="7" t="s">
        <v>104</v>
      </c>
      <c r="B140" s="11">
        <v>17</v>
      </c>
      <c r="C140" s="11">
        <v>1</v>
      </c>
      <c r="D140" s="11">
        <v>3</v>
      </c>
      <c r="E140" s="11">
        <v>0</v>
      </c>
      <c r="F140" s="11">
        <v>0</v>
      </c>
      <c r="G140" s="11">
        <v>0</v>
      </c>
      <c r="H140" s="14">
        <f t="shared" si="14"/>
        <v>21</v>
      </c>
      <c r="I140" s="1"/>
      <c r="R140" s="6"/>
      <c r="S140" s="1"/>
    </row>
    <row r="141" spans="1:19" x14ac:dyDescent="0.25">
      <c r="A141" s="7" t="s">
        <v>51</v>
      </c>
      <c r="B141" s="11">
        <v>19</v>
      </c>
      <c r="C141" s="11">
        <v>1</v>
      </c>
      <c r="D141" s="11">
        <v>5</v>
      </c>
      <c r="E141" s="11">
        <v>0</v>
      </c>
      <c r="F141" s="11">
        <v>0</v>
      </c>
      <c r="G141" s="11">
        <v>0</v>
      </c>
      <c r="H141" s="14">
        <f t="shared" si="14"/>
        <v>25</v>
      </c>
    </row>
    <row r="142" spans="1:19" x14ac:dyDescent="0.25">
      <c r="A142" s="7" t="s">
        <v>52</v>
      </c>
      <c r="B142" s="11">
        <v>19</v>
      </c>
      <c r="C142" s="11">
        <v>1</v>
      </c>
      <c r="D142" s="11">
        <v>3</v>
      </c>
      <c r="E142" s="11">
        <v>0</v>
      </c>
      <c r="F142" s="11">
        <v>0</v>
      </c>
      <c r="G142" s="11">
        <v>0</v>
      </c>
      <c r="H142" s="14">
        <f t="shared" si="14"/>
        <v>23</v>
      </c>
    </row>
    <row r="143" spans="1:19" x14ac:dyDescent="0.25">
      <c r="A143" s="7" t="s">
        <v>115</v>
      </c>
      <c r="B143" s="11">
        <v>5</v>
      </c>
      <c r="C143" s="11">
        <v>0</v>
      </c>
      <c r="D143" s="11">
        <v>3</v>
      </c>
      <c r="E143" s="11">
        <v>0</v>
      </c>
      <c r="F143" s="11">
        <v>0</v>
      </c>
      <c r="G143" s="11">
        <v>0</v>
      </c>
      <c r="H143" s="14">
        <f t="shared" si="14"/>
        <v>8</v>
      </c>
    </row>
    <row r="144" spans="1:19" x14ac:dyDescent="0.25">
      <c r="A144" s="7" t="s">
        <v>116</v>
      </c>
      <c r="B144" s="11">
        <v>8</v>
      </c>
      <c r="C144" s="11">
        <v>0</v>
      </c>
      <c r="D144" s="11">
        <v>1</v>
      </c>
      <c r="E144" s="11">
        <v>0</v>
      </c>
      <c r="F144" s="11">
        <v>0</v>
      </c>
      <c r="G144" s="11">
        <v>0</v>
      </c>
      <c r="H144" s="14">
        <f t="shared" si="14"/>
        <v>9</v>
      </c>
    </row>
    <row r="145" spans="1:13" x14ac:dyDescent="0.25">
      <c r="A145" s="7" t="s">
        <v>102</v>
      </c>
      <c r="B145" s="11">
        <v>17</v>
      </c>
      <c r="C145" s="11">
        <v>0</v>
      </c>
      <c r="D145" s="11">
        <v>19</v>
      </c>
      <c r="E145" s="11">
        <v>0</v>
      </c>
      <c r="F145" s="11">
        <v>2</v>
      </c>
      <c r="G145" s="11">
        <v>0</v>
      </c>
      <c r="H145" s="14">
        <f t="shared" si="14"/>
        <v>38</v>
      </c>
    </row>
    <row r="146" spans="1:13" x14ac:dyDescent="0.25">
      <c r="A146" s="7" t="s">
        <v>203</v>
      </c>
      <c r="B146" s="11">
        <v>3</v>
      </c>
      <c r="C146" s="11">
        <v>0</v>
      </c>
      <c r="D146" s="11">
        <v>10</v>
      </c>
      <c r="E146" s="11">
        <v>0</v>
      </c>
      <c r="F146" s="11">
        <v>0</v>
      </c>
      <c r="G146" s="11">
        <v>0</v>
      </c>
      <c r="H146" s="14">
        <f t="shared" si="14"/>
        <v>13</v>
      </c>
    </row>
    <row r="147" spans="1:13" x14ac:dyDescent="0.25">
      <c r="A147" s="7" t="s">
        <v>197</v>
      </c>
      <c r="B147" s="11">
        <v>3</v>
      </c>
      <c r="C147" s="11">
        <v>0</v>
      </c>
      <c r="D147" s="11">
        <v>1</v>
      </c>
      <c r="E147" s="11">
        <v>0</v>
      </c>
      <c r="F147" s="11">
        <v>0</v>
      </c>
      <c r="G147" s="11">
        <v>0</v>
      </c>
      <c r="H147" s="14">
        <f t="shared" si="14"/>
        <v>4</v>
      </c>
    </row>
    <row r="148" spans="1:13" x14ac:dyDescent="0.25">
      <c r="A148" s="7" t="s">
        <v>217</v>
      </c>
      <c r="B148" s="11">
        <v>0</v>
      </c>
      <c r="C148" s="11">
        <v>0</v>
      </c>
      <c r="D148" s="11">
        <v>1</v>
      </c>
      <c r="E148" s="11">
        <v>0</v>
      </c>
      <c r="F148" s="11">
        <v>0</v>
      </c>
      <c r="G148" s="11">
        <v>0</v>
      </c>
      <c r="H148" s="14">
        <f t="shared" si="14"/>
        <v>1</v>
      </c>
    </row>
    <row r="149" spans="1:13" x14ac:dyDescent="0.25">
      <c r="A149" s="7" t="s">
        <v>198</v>
      </c>
      <c r="B149" s="11">
        <v>0</v>
      </c>
      <c r="C149" s="11">
        <v>0</v>
      </c>
      <c r="D149" s="11">
        <v>2</v>
      </c>
      <c r="E149" s="11">
        <v>0</v>
      </c>
      <c r="F149" s="11">
        <v>0</v>
      </c>
      <c r="G149" s="11">
        <v>0</v>
      </c>
      <c r="H149" s="14">
        <f t="shared" si="14"/>
        <v>2</v>
      </c>
    </row>
    <row r="150" spans="1:13" x14ac:dyDescent="0.25">
      <c r="A150" s="7" t="s">
        <v>199</v>
      </c>
      <c r="B150" s="11">
        <v>0</v>
      </c>
      <c r="C150" s="11">
        <v>0</v>
      </c>
      <c r="D150" s="11">
        <v>3</v>
      </c>
      <c r="E150" s="11">
        <v>0</v>
      </c>
      <c r="F150" s="11">
        <v>0</v>
      </c>
      <c r="G150" s="11">
        <v>0</v>
      </c>
      <c r="H150" s="14">
        <f>SUM(B150:G150)</f>
        <v>3</v>
      </c>
    </row>
    <row r="151" spans="1:13" x14ac:dyDescent="0.25">
      <c r="A151" s="7" t="s">
        <v>200</v>
      </c>
      <c r="B151" s="11">
        <v>4</v>
      </c>
      <c r="C151" s="11">
        <v>2</v>
      </c>
      <c r="D151" s="11">
        <v>17</v>
      </c>
      <c r="E151" s="11">
        <v>0</v>
      </c>
      <c r="F151" s="11">
        <v>1</v>
      </c>
      <c r="G151" s="11">
        <v>0</v>
      </c>
      <c r="H151" s="14">
        <f>SUM(B151:G151)</f>
        <v>24</v>
      </c>
    </row>
    <row r="152" spans="1:13" x14ac:dyDescent="0.25">
      <c r="A152" s="7"/>
      <c r="B152" s="11"/>
      <c r="C152" s="11"/>
      <c r="D152" s="11"/>
      <c r="E152" s="17"/>
      <c r="F152" s="11"/>
      <c r="G152" s="11"/>
      <c r="H152" s="14"/>
    </row>
    <row r="153" spans="1:13" x14ac:dyDescent="0.25">
      <c r="A153" s="7" t="s">
        <v>105</v>
      </c>
      <c r="B153" s="11">
        <v>14</v>
      </c>
      <c r="C153" s="11">
        <v>1</v>
      </c>
      <c r="D153" s="11">
        <v>13</v>
      </c>
      <c r="E153" s="17">
        <v>0</v>
      </c>
      <c r="F153" s="11">
        <v>2</v>
      </c>
      <c r="G153" s="11">
        <v>0</v>
      </c>
      <c r="H153" s="14">
        <f>SUM(B153:G153)</f>
        <v>30</v>
      </c>
    </row>
    <row r="154" spans="1:13" x14ac:dyDescent="0.25">
      <c r="A154" s="7" t="s">
        <v>206</v>
      </c>
      <c r="B154" s="11">
        <v>0</v>
      </c>
      <c r="C154" s="11">
        <v>0</v>
      </c>
      <c r="D154" s="11">
        <v>0</v>
      </c>
      <c r="E154" s="11">
        <v>0</v>
      </c>
      <c r="F154" s="11">
        <v>0</v>
      </c>
      <c r="G154" s="11">
        <v>0</v>
      </c>
      <c r="H154" s="14">
        <f t="shared" ref="H154:H155" si="15">SUM(B154:G154)</f>
        <v>0</v>
      </c>
    </row>
    <row r="155" spans="1:13" x14ac:dyDescent="0.25">
      <c r="A155" s="107" t="s">
        <v>207</v>
      </c>
      <c r="B155" s="93">
        <v>5</v>
      </c>
      <c r="C155" s="93">
        <v>0</v>
      </c>
      <c r="D155" s="93">
        <v>7</v>
      </c>
      <c r="E155" s="93">
        <v>0</v>
      </c>
      <c r="F155" s="93">
        <v>0</v>
      </c>
      <c r="G155" s="93">
        <v>0</v>
      </c>
      <c r="H155" s="14">
        <f t="shared" si="15"/>
        <v>12</v>
      </c>
    </row>
    <row r="158" spans="1:13" x14ac:dyDescent="0.25">
      <c r="J158" s="133"/>
      <c r="K158" s="133"/>
      <c r="L158" s="133"/>
      <c r="M158" s="133"/>
    </row>
    <row r="159" spans="1:13" x14ac:dyDescent="0.25">
      <c r="J159" s="133"/>
    </row>
    <row r="166" spans="10:17" x14ac:dyDescent="0.25">
      <c r="P166" s="5"/>
      <c r="Q166" s="5"/>
    </row>
    <row r="168" spans="10:17" x14ac:dyDescent="0.25">
      <c r="J168" s="5"/>
      <c r="K168" s="5"/>
      <c r="L168" s="5"/>
      <c r="M168" s="5"/>
      <c r="N168" s="1"/>
      <c r="O168" s="1"/>
    </row>
  </sheetData>
  <mergeCells count="30">
    <mergeCell ref="J109:J110"/>
    <mergeCell ref="K109:K110"/>
    <mergeCell ref="A115:H115"/>
    <mergeCell ref="J158:J159"/>
    <mergeCell ref="K158:M158"/>
    <mergeCell ref="A108:H108"/>
    <mergeCell ref="J60:P60"/>
    <mergeCell ref="J61:P61"/>
    <mergeCell ref="J62:P62"/>
    <mergeCell ref="J53:P53"/>
    <mergeCell ref="J54:P54"/>
    <mergeCell ref="J55:P55"/>
    <mergeCell ref="J56:P56"/>
    <mergeCell ref="J57:P57"/>
    <mergeCell ref="K86:M86"/>
    <mergeCell ref="J58:P58"/>
    <mergeCell ref="J59:P59"/>
    <mergeCell ref="J52:Q52"/>
    <mergeCell ref="A3:R3"/>
    <mergeCell ref="B4:J4"/>
    <mergeCell ref="L4:R4"/>
    <mergeCell ref="A9:A10"/>
    <mergeCell ref="B9:H9"/>
    <mergeCell ref="J9:J10"/>
    <mergeCell ref="K9:Q9"/>
    <mergeCell ref="J26:J27"/>
    <mergeCell ref="K26:Q26"/>
    <mergeCell ref="J39:J40"/>
    <mergeCell ref="K39:Q39"/>
    <mergeCell ref="J50:M50"/>
  </mergeCells>
  <pageMargins left="1" right="1" top="1" bottom="1" header="0.5" footer="0.5"/>
  <pageSetup paperSize="9" scale="50" fitToHeight="0" orientation="landscape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3B071-0EF4-4CE3-A0EC-0A497820D46F}">
  <sheetPr>
    <pageSetUpPr fitToPage="1"/>
  </sheetPr>
  <dimension ref="A3:S168"/>
  <sheetViews>
    <sheetView topLeftCell="F19" zoomScale="80" zoomScaleNormal="80" workbookViewId="0">
      <selection activeCell="H12" sqref="H12"/>
    </sheetView>
  </sheetViews>
  <sheetFormatPr baseColWidth="10" defaultRowHeight="15" x14ac:dyDescent="0.25"/>
  <cols>
    <col min="1" max="1" width="49.85546875" customWidth="1"/>
    <col min="2" max="6" width="9.85546875" customWidth="1"/>
    <col min="7" max="7" width="13.5703125" customWidth="1"/>
    <col min="8" max="8" width="9.28515625" customWidth="1"/>
    <col min="9" max="9" width="9.42578125" customWidth="1"/>
    <col min="10" max="10" width="43.7109375" customWidth="1"/>
    <col min="11" max="15" width="9.28515625" customWidth="1"/>
    <col min="16" max="16" width="10.42578125" customWidth="1"/>
    <col min="17" max="17" width="10" customWidth="1"/>
    <col min="18" max="18" width="2.85546875" customWidth="1"/>
  </cols>
  <sheetData>
    <row r="3" spans="1:19" ht="26.25" x14ac:dyDescent="0.25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"/>
    </row>
    <row r="4" spans="1:19" ht="15.75" x14ac:dyDescent="0.25">
      <c r="A4" s="1" t="s">
        <v>12</v>
      </c>
      <c r="B4" s="155" t="s">
        <v>16</v>
      </c>
      <c r="C4" s="156"/>
      <c r="D4" s="156"/>
      <c r="E4" s="156"/>
      <c r="F4" s="156"/>
      <c r="G4" s="156"/>
      <c r="H4" s="156"/>
      <c r="I4" s="156"/>
      <c r="J4" s="157"/>
      <c r="K4" s="9" t="s">
        <v>14</v>
      </c>
      <c r="L4" s="147" t="s">
        <v>190</v>
      </c>
      <c r="M4" s="148"/>
      <c r="N4" s="148"/>
      <c r="O4" s="148"/>
      <c r="P4" s="148"/>
      <c r="Q4" s="148"/>
      <c r="R4" s="149"/>
      <c r="S4" s="1"/>
    </row>
    <row r="5" spans="1:19" x14ac:dyDescent="0.25">
      <c r="A5" s="1"/>
      <c r="B5" s="1"/>
      <c r="C5" s="1"/>
      <c r="D5" s="10"/>
      <c r="E5" s="1"/>
      <c r="F5" s="1"/>
      <c r="G5" s="1"/>
      <c r="H5" s="1"/>
      <c r="I5" s="1"/>
      <c r="J5" s="1"/>
      <c r="K5" s="9"/>
      <c r="L5" s="10"/>
      <c r="M5" s="10"/>
      <c r="N5" s="10"/>
      <c r="O5" s="10"/>
      <c r="P5" s="10"/>
      <c r="Q5" s="10"/>
      <c r="R5" s="10"/>
      <c r="S5" s="1"/>
    </row>
    <row r="6" spans="1:19" x14ac:dyDescent="0.25">
      <c r="A6" s="1" t="s">
        <v>15</v>
      </c>
      <c r="B6" s="30">
        <v>3</v>
      </c>
      <c r="C6" s="1"/>
      <c r="D6" s="10"/>
      <c r="E6" s="1"/>
      <c r="F6" s="1"/>
      <c r="G6" s="1"/>
      <c r="H6" s="1"/>
      <c r="I6" s="1"/>
      <c r="J6" s="1"/>
      <c r="K6" s="9" t="s">
        <v>13</v>
      </c>
      <c r="L6" s="30">
        <v>2025</v>
      </c>
      <c r="M6" s="1"/>
      <c r="N6" s="1"/>
      <c r="O6" s="1"/>
      <c r="P6" s="1"/>
      <c r="Q6" s="1"/>
      <c r="R6" s="1"/>
      <c r="S6" s="1"/>
    </row>
    <row r="7" spans="1:19" x14ac:dyDescent="0.25">
      <c r="A7" s="1"/>
      <c r="B7" s="1"/>
      <c r="C7" s="1"/>
      <c r="D7" s="10"/>
      <c r="E7" s="1"/>
      <c r="F7" s="1"/>
      <c r="G7" s="1"/>
      <c r="H7" s="1"/>
      <c r="I7" s="1"/>
      <c r="J7" s="1"/>
      <c r="K7" s="1"/>
      <c r="L7" s="44"/>
      <c r="M7" s="1"/>
      <c r="N7" s="1"/>
      <c r="O7" s="1"/>
      <c r="P7" s="1"/>
      <c r="Q7" s="1"/>
      <c r="R7" s="1"/>
      <c r="S7" s="1"/>
    </row>
    <row r="8" spans="1:19" ht="15.75" thickBot="1" x14ac:dyDescent="0.3">
      <c r="A8" s="2"/>
      <c r="B8" s="2"/>
      <c r="C8" s="2"/>
      <c r="D8" s="20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3"/>
      <c r="S8" s="1"/>
    </row>
    <row r="9" spans="1:19" x14ac:dyDescent="0.25">
      <c r="A9" s="150" t="s">
        <v>148</v>
      </c>
      <c r="B9" s="152" t="s">
        <v>11</v>
      </c>
      <c r="C9" s="152"/>
      <c r="D9" s="152"/>
      <c r="E9" s="152"/>
      <c r="F9" s="152"/>
      <c r="G9" s="152"/>
      <c r="H9" s="152"/>
      <c r="I9" s="1"/>
      <c r="J9" s="153" t="s">
        <v>149</v>
      </c>
      <c r="K9" s="136" t="s">
        <v>11</v>
      </c>
      <c r="L9" s="136"/>
      <c r="M9" s="136"/>
      <c r="N9" s="136"/>
      <c r="O9" s="136"/>
      <c r="P9" s="136"/>
      <c r="Q9" s="137"/>
      <c r="R9" s="4"/>
      <c r="S9" s="1"/>
    </row>
    <row r="10" spans="1:19" x14ac:dyDescent="0.25">
      <c r="A10" s="151"/>
      <c r="B10" s="30" t="s">
        <v>8</v>
      </c>
      <c r="C10" s="30" t="s">
        <v>9</v>
      </c>
      <c r="D10" s="30" t="s">
        <v>10</v>
      </c>
      <c r="E10" s="30" t="s">
        <v>154</v>
      </c>
      <c r="F10" s="30" t="s">
        <v>155</v>
      </c>
      <c r="G10" s="30" t="s">
        <v>147</v>
      </c>
      <c r="H10" s="30" t="s">
        <v>11</v>
      </c>
      <c r="I10" s="1"/>
      <c r="J10" s="154"/>
      <c r="K10" s="30" t="s">
        <v>8</v>
      </c>
      <c r="L10" s="30" t="s">
        <v>9</v>
      </c>
      <c r="M10" s="30" t="s">
        <v>10</v>
      </c>
      <c r="N10" s="30" t="s">
        <v>154</v>
      </c>
      <c r="O10" s="30" t="s">
        <v>155</v>
      </c>
      <c r="P10" s="30" t="s">
        <v>147</v>
      </c>
      <c r="Q10" s="54" t="s">
        <v>11</v>
      </c>
      <c r="R10" s="4"/>
      <c r="S10" s="1"/>
    </row>
    <row r="11" spans="1:19" x14ac:dyDescent="0.25">
      <c r="A11" s="15" t="s">
        <v>0</v>
      </c>
      <c r="B11" s="16">
        <f t="shared" ref="B11:G11" si="0">B12+B51+B69+B82+B95</f>
        <v>12318</v>
      </c>
      <c r="C11" s="16">
        <f t="shared" si="0"/>
        <v>18362</v>
      </c>
      <c r="D11" s="16">
        <f t="shared" si="0"/>
        <v>13863</v>
      </c>
      <c r="E11" s="16">
        <f t="shared" si="0"/>
        <v>803</v>
      </c>
      <c r="F11" s="16">
        <f t="shared" si="0"/>
        <v>544</v>
      </c>
      <c r="G11" s="16">
        <f t="shared" si="0"/>
        <v>34</v>
      </c>
      <c r="H11" s="12">
        <f>SUM(B11:G11)</f>
        <v>45924</v>
      </c>
      <c r="I11" s="1"/>
      <c r="J11" s="79" t="s">
        <v>85</v>
      </c>
      <c r="K11" s="74">
        <f t="shared" ref="K11:P11" si="1">SUM(K12:K23)</f>
        <v>657</v>
      </c>
      <c r="L11" s="74">
        <f t="shared" si="1"/>
        <v>0</v>
      </c>
      <c r="M11" s="74">
        <f t="shared" si="1"/>
        <v>1183</v>
      </c>
      <c r="N11" s="74">
        <f t="shared" si="1"/>
        <v>3</v>
      </c>
      <c r="O11" s="74">
        <f t="shared" si="1"/>
        <v>6</v>
      </c>
      <c r="P11" s="74">
        <f t="shared" si="1"/>
        <v>0</v>
      </c>
      <c r="Q11" s="80">
        <f t="shared" ref="Q11:Q23" si="2">SUM(K11:P11)</f>
        <v>1849</v>
      </c>
      <c r="R11" s="4"/>
      <c r="S11" s="1"/>
    </row>
    <row r="12" spans="1:19" x14ac:dyDescent="0.25">
      <c r="A12" s="73" t="s">
        <v>1</v>
      </c>
      <c r="B12" s="74">
        <f t="shared" ref="B12:G12" si="3">SUM(B13:B50)</f>
        <v>8256</v>
      </c>
      <c r="C12" s="74">
        <f t="shared" si="3"/>
        <v>11594</v>
      </c>
      <c r="D12" s="74">
        <f t="shared" si="3"/>
        <v>7750</v>
      </c>
      <c r="E12" s="74">
        <f t="shared" si="3"/>
        <v>481</v>
      </c>
      <c r="F12" s="74">
        <f t="shared" si="3"/>
        <v>386</v>
      </c>
      <c r="G12" s="74">
        <f t="shared" si="3"/>
        <v>31</v>
      </c>
      <c r="H12" s="74">
        <f>SUM(B12:G12)</f>
        <v>28498</v>
      </c>
      <c r="I12" s="1"/>
      <c r="J12" s="55" t="s">
        <v>4</v>
      </c>
      <c r="K12" s="68">
        <v>0</v>
      </c>
      <c r="L12" s="68">
        <v>0</v>
      </c>
      <c r="M12" s="68">
        <v>26</v>
      </c>
      <c r="N12" s="68">
        <v>1</v>
      </c>
      <c r="O12" s="68">
        <v>0</v>
      </c>
      <c r="P12" s="68">
        <v>0</v>
      </c>
      <c r="Q12" s="40">
        <f t="shared" si="2"/>
        <v>27</v>
      </c>
      <c r="R12" s="4"/>
      <c r="S12" s="1"/>
    </row>
    <row r="13" spans="1:19" x14ac:dyDescent="0.25">
      <c r="A13" s="8" t="s">
        <v>17</v>
      </c>
      <c r="B13" s="17">
        <v>18</v>
      </c>
      <c r="C13" s="11">
        <v>1</v>
      </c>
      <c r="D13" s="11">
        <v>52</v>
      </c>
      <c r="E13" s="11">
        <v>1</v>
      </c>
      <c r="F13" s="11">
        <v>0</v>
      </c>
      <c r="G13" s="11">
        <v>0</v>
      </c>
      <c r="H13" s="12">
        <f>SUM(B13:G13)</f>
        <v>72</v>
      </c>
      <c r="I13" s="1"/>
      <c r="J13" s="55" t="s">
        <v>81</v>
      </c>
      <c r="K13" s="68">
        <v>0</v>
      </c>
      <c r="L13" s="68">
        <v>0</v>
      </c>
      <c r="M13" s="68">
        <v>1</v>
      </c>
      <c r="N13" s="68">
        <v>0</v>
      </c>
      <c r="O13" s="68">
        <v>0</v>
      </c>
      <c r="P13" s="68">
        <v>0</v>
      </c>
      <c r="Q13" s="40">
        <f t="shared" si="2"/>
        <v>1</v>
      </c>
      <c r="R13" s="4"/>
      <c r="S13" s="1"/>
    </row>
    <row r="14" spans="1:19" x14ac:dyDescent="0.25">
      <c r="A14" s="7" t="s">
        <v>18</v>
      </c>
      <c r="B14" s="17">
        <v>30</v>
      </c>
      <c r="C14" s="11">
        <v>2</v>
      </c>
      <c r="D14" s="11">
        <v>80</v>
      </c>
      <c r="E14" s="11">
        <v>1</v>
      </c>
      <c r="F14" s="11">
        <v>0</v>
      </c>
      <c r="G14" s="11">
        <v>0</v>
      </c>
      <c r="H14" s="12">
        <f t="shared" ref="H14:H48" si="4">SUM(B14:G14)</f>
        <v>113</v>
      </c>
      <c r="I14" s="1"/>
      <c r="J14" s="56" t="s">
        <v>5</v>
      </c>
      <c r="K14" s="68">
        <v>1</v>
      </c>
      <c r="L14" s="68">
        <v>0</v>
      </c>
      <c r="M14" s="68">
        <v>70</v>
      </c>
      <c r="N14" s="68">
        <v>2</v>
      </c>
      <c r="O14" s="68">
        <v>6</v>
      </c>
      <c r="P14" s="68">
        <v>0</v>
      </c>
      <c r="Q14" s="40">
        <f>SUM(K14:P14)</f>
        <v>79</v>
      </c>
      <c r="R14" s="4"/>
      <c r="S14" s="1"/>
    </row>
    <row r="15" spans="1:19" x14ac:dyDescent="0.25">
      <c r="A15" s="7" t="s">
        <v>19</v>
      </c>
      <c r="B15" s="17">
        <v>61</v>
      </c>
      <c r="C15" s="11">
        <v>129</v>
      </c>
      <c r="D15" s="13">
        <v>17</v>
      </c>
      <c r="E15" s="13">
        <v>4</v>
      </c>
      <c r="F15" s="13">
        <v>0</v>
      </c>
      <c r="G15" s="13">
        <v>0</v>
      </c>
      <c r="H15" s="12">
        <f>SUM(B15:G15)</f>
        <v>211</v>
      </c>
      <c r="I15" s="1"/>
      <c r="J15" s="56" t="s">
        <v>80</v>
      </c>
      <c r="K15" s="68">
        <v>46</v>
      </c>
      <c r="L15" s="68">
        <v>0</v>
      </c>
      <c r="M15" s="68">
        <v>36</v>
      </c>
      <c r="N15" s="68">
        <v>0</v>
      </c>
      <c r="O15" s="68">
        <v>0</v>
      </c>
      <c r="P15" s="68">
        <v>0</v>
      </c>
      <c r="Q15" s="40">
        <f t="shared" si="2"/>
        <v>82</v>
      </c>
      <c r="R15" s="4"/>
      <c r="S15" s="1"/>
    </row>
    <row r="16" spans="1:19" x14ac:dyDescent="0.25">
      <c r="A16" s="7" t="s">
        <v>27</v>
      </c>
      <c r="B16" s="10">
        <v>762</v>
      </c>
      <c r="C16" s="11">
        <v>1572</v>
      </c>
      <c r="D16" s="11">
        <v>868</v>
      </c>
      <c r="E16" s="11">
        <v>75</v>
      </c>
      <c r="F16" s="11">
        <v>60</v>
      </c>
      <c r="G16" s="11">
        <v>3</v>
      </c>
      <c r="H16" s="12">
        <f t="shared" si="4"/>
        <v>3340</v>
      </c>
      <c r="I16" s="1"/>
      <c r="J16" s="57" t="s">
        <v>83</v>
      </c>
      <c r="K16" s="69">
        <v>10</v>
      </c>
      <c r="L16" s="69">
        <v>0</v>
      </c>
      <c r="M16" s="69">
        <v>0</v>
      </c>
      <c r="N16" s="69">
        <v>0</v>
      </c>
      <c r="O16" s="69">
        <v>0</v>
      </c>
      <c r="P16" s="69">
        <v>0</v>
      </c>
      <c r="Q16" s="40">
        <f t="shared" si="2"/>
        <v>10</v>
      </c>
      <c r="R16" s="4"/>
      <c r="S16" s="1"/>
    </row>
    <row r="17" spans="1:19" x14ac:dyDescent="0.25">
      <c r="A17" s="7" t="s">
        <v>186</v>
      </c>
      <c r="B17" s="10">
        <v>0</v>
      </c>
      <c r="C17" s="11">
        <v>0</v>
      </c>
      <c r="D17" s="11">
        <v>8</v>
      </c>
      <c r="E17" s="11">
        <v>2</v>
      </c>
      <c r="F17" s="11">
        <v>0</v>
      </c>
      <c r="G17" s="11">
        <v>0</v>
      </c>
      <c r="H17" s="12">
        <f t="shared" si="4"/>
        <v>10</v>
      </c>
      <c r="I17" s="1"/>
      <c r="J17" s="50" t="s">
        <v>162</v>
      </c>
      <c r="K17" s="69">
        <v>200</v>
      </c>
      <c r="L17" s="69">
        <v>0</v>
      </c>
      <c r="M17" s="69">
        <v>338</v>
      </c>
      <c r="N17" s="69">
        <v>0</v>
      </c>
      <c r="O17" s="69">
        <v>0</v>
      </c>
      <c r="P17" s="69">
        <v>0</v>
      </c>
      <c r="Q17" s="40">
        <f t="shared" si="2"/>
        <v>538</v>
      </c>
      <c r="R17" s="4"/>
      <c r="S17" s="1"/>
    </row>
    <row r="18" spans="1:19" x14ac:dyDescent="0.25">
      <c r="A18" s="7" t="s">
        <v>188</v>
      </c>
      <c r="B18" s="10">
        <v>4</v>
      </c>
      <c r="C18" s="11">
        <v>0</v>
      </c>
      <c r="D18" s="11">
        <v>55</v>
      </c>
      <c r="E18" s="11">
        <v>0</v>
      </c>
      <c r="F18" s="11">
        <v>0</v>
      </c>
      <c r="G18" s="11">
        <v>0</v>
      </c>
      <c r="H18" s="12">
        <f t="shared" si="4"/>
        <v>59</v>
      </c>
      <c r="I18" s="1"/>
      <c r="J18" s="50" t="s">
        <v>163</v>
      </c>
      <c r="K18" s="69">
        <v>200</v>
      </c>
      <c r="L18" s="69">
        <v>0</v>
      </c>
      <c r="M18" s="69">
        <v>348</v>
      </c>
      <c r="N18" s="69">
        <v>0</v>
      </c>
      <c r="O18" s="69">
        <v>0</v>
      </c>
      <c r="P18" s="69">
        <v>0</v>
      </c>
      <c r="Q18" s="40">
        <f t="shared" si="2"/>
        <v>548</v>
      </c>
      <c r="R18" s="4"/>
      <c r="S18" s="1"/>
    </row>
    <row r="19" spans="1:19" x14ac:dyDescent="0.25">
      <c r="A19" s="7" t="s">
        <v>28</v>
      </c>
      <c r="B19" s="17">
        <v>93</v>
      </c>
      <c r="C19" s="11">
        <v>35</v>
      </c>
      <c r="D19" s="11">
        <v>175</v>
      </c>
      <c r="E19" s="11">
        <v>10</v>
      </c>
      <c r="F19" s="11">
        <v>14</v>
      </c>
      <c r="G19" s="11">
        <v>0</v>
      </c>
      <c r="H19" s="12">
        <f t="shared" si="4"/>
        <v>327</v>
      </c>
      <c r="I19" s="1"/>
      <c r="J19" s="50" t="s">
        <v>164</v>
      </c>
      <c r="K19" s="69">
        <v>200</v>
      </c>
      <c r="L19" s="69">
        <v>0</v>
      </c>
      <c r="M19" s="69">
        <v>348</v>
      </c>
      <c r="N19" s="69">
        <v>0</v>
      </c>
      <c r="O19" s="69">
        <v>0</v>
      </c>
      <c r="P19" s="69">
        <v>0</v>
      </c>
      <c r="Q19" s="40">
        <f t="shared" si="2"/>
        <v>548</v>
      </c>
      <c r="R19" s="4"/>
      <c r="S19" s="1"/>
    </row>
    <row r="20" spans="1:19" x14ac:dyDescent="0.25">
      <c r="A20" s="7" t="s">
        <v>29</v>
      </c>
      <c r="B20" s="10">
        <v>0</v>
      </c>
      <c r="C20" s="11">
        <v>0</v>
      </c>
      <c r="D20" s="11">
        <v>26</v>
      </c>
      <c r="E20" s="11">
        <v>0</v>
      </c>
      <c r="F20" s="11">
        <v>0</v>
      </c>
      <c r="G20" s="11">
        <v>2</v>
      </c>
      <c r="H20" s="12">
        <f t="shared" si="4"/>
        <v>28</v>
      </c>
      <c r="I20" s="1"/>
      <c r="J20" s="50" t="s">
        <v>194</v>
      </c>
      <c r="K20" s="69">
        <v>0</v>
      </c>
      <c r="L20" s="69">
        <v>0</v>
      </c>
      <c r="M20" s="69">
        <v>4</v>
      </c>
      <c r="N20" s="69">
        <v>0</v>
      </c>
      <c r="O20" s="69">
        <v>0</v>
      </c>
      <c r="P20" s="69">
        <v>0</v>
      </c>
      <c r="Q20" s="40">
        <f t="shared" si="2"/>
        <v>4</v>
      </c>
      <c r="R20" s="4"/>
      <c r="S20" s="1"/>
    </row>
    <row r="21" spans="1:19" x14ac:dyDescent="0.25">
      <c r="A21" s="7" t="s">
        <v>20</v>
      </c>
      <c r="B21" s="17">
        <v>758</v>
      </c>
      <c r="C21" s="11">
        <v>1598</v>
      </c>
      <c r="D21" s="11">
        <v>845</v>
      </c>
      <c r="E21" s="11">
        <v>73</v>
      </c>
      <c r="F21" s="11">
        <v>46</v>
      </c>
      <c r="G21" s="11">
        <v>1</v>
      </c>
      <c r="H21" s="12">
        <f t="shared" si="4"/>
        <v>3321</v>
      </c>
      <c r="I21" s="1"/>
      <c r="J21" s="50" t="s">
        <v>221</v>
      </c>
      <c r="K21" s="69">
        <v>0</v>
      </c>
      <c r="L21" s="69">
        <v>0</v>
      </c>
      <c r="M21" s="69">
        <v>12</v>
      </c>
      <c r="N21" s="69">
        <v>0</v>
      </c>
      <c r="O21" s="69">
        <v>0</v>
      </c>
      <c r="P21" s="69">
        <v>0</v>
      </c>
      <c r="Q21" s="40">
        <f t="shared" si="2"/>
        <v>12</v>
      </c>
      <c r="R21" s="4"/>
      <c r="S21" s="1"/>
    </row>
    <row r="22" spans="1:19" x14ac:dyDescent="0.25">
      <c r="A22" s="7" t="s">
        <v>25</v>
      </c>
      <c r="B22" s="17">
        <v>1</v>
      </c>
      <c r="C22" s="11">
        <v>0</v>
      </c>
      <c r="D22" s="11">
        <v>6</v>
      </c>
      <c r="E22" s="11">
        <v>0</v>
      </c>
      <c r="F22" s="11">
        <v>0</v>
      </c>
      <c r="G22" s="11">
        <v>0</v>
      </c>
      <c r="H22" s="12">
        <f t="shared" si="4"/>
        <v>7</v>
      </c>
      <c r="I22" s="1"/>
      <c r="J22" s="58" t="s">
        <v>6</v>
      </c>
      <c r="K22" s="68">
        <v>0</v>
      </c>
      <c r="L22" s="68">
        <v>0</v>
      </c>
      <c r="M22" s="68">
        <v>0</v>
      </c>
      <c r="N22" s="68">
        <v>0</v>
      </c>
      <c r="O22" s="68">
        <v>0</v>
      </c>
      <c r="P22" s="68">
        <v>0</v>
      </c>
      <c r="Q22" s="40">
        <f t="shared" si="2"/>
        <v>0</v>
      </c>
      <c r="R22" s="4"/>
      <c r="S22" s="1"/>
    </row>
    <row r="23" spans="1:19" ht="15.75" thickBot="1" x14ac:dyDescent="0.3">
      <c r="A23" s="7" t="s">
        <v>218</v>
      </c>
      <c r="B23" s="17">
        <v>2</v>
      </c>
      <c r="C23" s="11">
        <v>0</v>
      </c>
      <c r="D23" s="11">
        <v>26</v>
      </c>
      <c r="E23" s="11">
        <v>0</v>
      </c>
      <c r="F23" s="11">
        <v>10</v>
      </c>
      <c r="G23" s="11">
        <v>0</v>
      </c>
      <c r="H23" s="12">
        <f t="shared" si="4"/>
        <v>38</v>
      </c>
      <c r="I23" s="1"/>
      <c r="J23" s="59" t="s">
        <v>7</v>
      </c>
      <c r="K23" s="94">
        <v>0</v>
      </c>
      <c r="L23" s="94">
        <v>0</v>
      </c>
      <c r="M23" s="94">
        <v>0</v>
      </c>
      <c r="N23" s="94">
        <v>0</v>
      </c>
      <c r="O23" s="94">
        <v>0</v>
      </c>
      <c r="P23" s="94">
        <v>0</v>
      </c>
      <c r="Q23" s="46">
        <f t="shared" si="2"/>
        <v>0</v>
      </c>
      <c r="R23" s="4"/>
      <c r="S23" s="1"/>
    </row>
    <row r="24" spans="1:19" x14ac:dyDescent="0.25">
      <c r="A24" s="7" t="s">
        <v>21</v>
      </c>
      <c r="B24" s="17">
        <v>795</v>
      </c>
      <c r="C24" s="11">
        <v>1600</v>
      </c>
      <c r="D24" s="11">
        <v>849</v>
      </c>
      <c r="E24" s="11">
        <v>70</v>
      </c>
      <c r="F24" s="11">
        <v>15</v>
      </c>
      <c r="G24" s="11">
        <v>1</v>
      </c>
      <c r="H24" s="12">
        <f t="shared" si="4"/>
        <v>3330</v>
      </c>
      <c r="I24" s="1"/>
      <c r="J24" s="1"/>
      <c r="K24" s="1"/>
      <c r="L24" s="1"/>
      <c r="M24" s="1"/>
      <c r="N24" s="1"/>
      <c r="O24" s="1"/>
      <c r="P24" s="1"/>
      <c r="Q24" s="1"/>
      <c r="R24" s="4"/>
      <c r="S24" s="1"/>
    </row>
    <row r="25" spans="1:19" ht="15.75" thickBot="1" x14ac:dyDescent="0.3">
      <c r="A25" s="7" t="s">
        <v>24</v>
      </c>
      <c r="B25" s="17">
        <v>23</v>
      </c>
      <c r="C25" s="11">
        <v>4</v>
      </c>
      <c r="D25" s="11">
        <v>27</v>
      </c>
      <c r="E25" s="11">
        <v>0</v>
      </c>
      <c r="F25" s="11">
        <v>3</v>
      </c>
      <c r="G25" s="11">
        <v>0</v>
      </c>
      <c r="H25" s="12">
        <f t="shared" si="4"/>
        <v>57</v>
      </c>
      <c r="I25" s="1"/>
      <c r="J25" s="1"/>
      <c r="K25" s="1"/>
      <c r="L25" s="1"/>
      <c r="M25" s="1"/>
      <c r="N25" s="1"/>
      <c r="O25" s="1"/>
      <c r="P25" s="1"/>
      <c r="Q25" s="1"/>
      <c r="R25" s="4"/>
      <c r="S25" s="1"/>
    </row>
    <row r="26" spans="1:19" x14ac:dyDescent="0.25">
      <c r="A26" s="7" t="s">
        <v>79</v>
      </c>
      <c r="B26" s="17">
        <v>574</v>
      </c>
      <c r="C26" s="11">
        <v>540</v>
      </c>
      <c r="D26" s="11">
        <v>441</v>
      </c>
      <c r="E26" s="11">
        <v>16</v>
      </c>
      <c r="F26" s="11">
        <v>8</v>
      </c>
      <c r="G26" s="11">
        <v>2</v>
      </c>
      <c r="H26" s="12">
        <f t="shared" si="4"/>
        <v>1581</v>
      </c>
      <c r="I26" s="1"/>
      <c r="J26" s="134" t="s">
        <v>169</v>
      </c>
      <c r="K26" s="136" t="s">
        <v>11</v>
      </c>
      <c r="L26" s="136"/>
      <c r="M26" s="136"/>
      <c r="N26" s="136"/>
      <c r="O26" s="136"/>
      <c r="P26" s="136"/>
      <c r="Q26" s="137"/>
      <c r="R26" s="4"/>
      <c r="S26" s="1"/>
    </row>
    <row r="27" spans="1:19" x14ac:dyDescent="0.25">
      <c r="A27" s="7" t="s">
        <v>75</v>
      </c>
      <c r="B27" s="17">
        <v>574</v>
      </c>
      <c r="C27" s="11">
        <v>540</v>
      </c>
      <c r="D27" s="11">
        <v>441</v>
      </c>
      <c r="E27" s="11">
        <v>16</v>
      </c>
      <c r="F27" s="11">
        <v>8</v>
      </c>
      <c r="G27" s="11">
        <v>2</v>
      </c>
      <c r="H27" s="12">
        <f t="shared" si="4"/>
        <v>1581</v>
      </c>
      <c r="I27" s="1"/>
      <c r="J27" s="135"/>
      <c r="K27" s="30" t="s">
        <v>8</v>
      </c>
      <c r="L27" s="30" t="s">
        <v>9</v>
      </c>
      <c r="M27" s="30" t="s">
        <v>176</v>
      </c>
      <c r="N27" s="30" t="s">
        <v>154</v>
      </c>
      <c r="O27" s="30" t="s">
        <v>155</v>
      </c>
      <c r="P27" s="60" t="s">
        <v>147</v>
      </c>
      <c r="Q27" s="54" t="s">
        <v>11</v>
      </c>
      <c r="R27" s="4"/>
      <c r="S27" s="1"/>
    </row>
    <row r="28" spans="1:19" x14ac:dyDescent="0.25">
      <c r="A28" s="7" t="s">
        <v>76</v>
      </c>
      <c r="B28" s="17">
        <v>544</v>
      </c>
      <c r="C28" s="11">
        <v>600</v>
      </c>
      <c r="D28" s="11">
        <v>440</v>
      </c>
      <c r="E28" s="11">
        <v>8</v>
      </c>
      <c r="F28" s="11">
        <v>11</v>
      </c>
      <c r="G28" s="11">
        <v>3</v>
      </c>
      <c r="H28" s="12">
        <f t="shared" si="4"/>
        <v>1606</v>
      </c>
      <c r="I28" s="1"/>
      <c r="J28" s="79" t="s">
        <v>146</v>
      </c>
      <c r="K28" s="74">
        <f t="shared" ref="K28:P28" si="5">SUM(K29:K37)</f>
        <v>97</v>
      </c>
      <c r="L28" s="74">
        <f t="shared" si="5"/>
        <v>380</v>
      </c>
      <c r="M28" s="74">
        <f t="shared" si="5"/>
        <v>122</v>
      </c>
      <c r="N28" s="74">
        <f t="shared" si="5"/>
        <v>0</v>
      </c>
      <c r="O28" s="74">
        <f t="shared" si="5"/>
        <v>0</v>
      </c>
      <c r="P28" s="74">
        <f t="shared" si="5"/>
        <v>0</v>
      </c>
      <c r="Q28" s="80">
        <f>SUM(K28:P28)</f>
        <v>599</v>
      </c>
      <c r="R28" s="4"/>
      <c r="S28" s="1"/>
    </row>
    <row r="29" spans="1:19" x14ac:dyDescent="0.25">
      <c r="A29" s="7" t="s">
        <v>74</v>
      </c>
      <c r="B29" s="17">
        <v>524</v>
      </c>
      <c r="C29" s="11">
        <v>600</v>
      </c>
      <c r="D29" s="11">
        <v>440</v>
      </c>
      <c r="E29" s="11">
        <v>8</v>
      </c>
      <c r="F29" s="11">
        <v>11</v>
      </c>
      <c r="G29" s="11">
        <v>3</v>
      </c>
      <c r="H29" s="12">
        <f t="shared" si="4"/>
        <v>1586</v>
      </c>
      <c r="I29" s="1"/>
      <c r="J29" s="45" t="s">
        <v>64</v>
      </c>
      <c r="K29" s="68">
        <v>89</v>
      </c>
      <c r="L29" s="68">
        <v>7</v>
      </c>
      <c r="M29" s="68">
        <v>95</v>
      </c>
      <c r="N29" s="68">
        <v>0</v>
      </c>
      <c r="O29" s="68">
        <v>0</v>
      </c>
      <c r="P29" s="69">
        <v>0</v>
      </c>
      <c r="Q29" s="40">
        <f>SUM(K29:P29)</f>
        <v>191</v>
      </c>
      <c r="R29" s="4"/>
      <c r="S29" s="1"/>
    </row>
    <row r="30" spans="1:19" x14ac:dyDescent="0.25">
      <c r="A30" s="7" t="s">
        <v>22</v>
      </c>
      <c r="B30" s="17">
        <v>536</v>
      </c>
      <c r="C30" s="11">
        <v>599</v>
      </c>
      <c r="D30" s="11">
        <v>600</v>
      </c>
      <c r="E30" s="11">
        <v>34</v>
      </c>
      <c r="F30" s="11">
        <v>51</v>
      </c>
      <c r="G30" s="11">
        <v>3</v>
      </c>
      <c r="H30" s="12">
        <f t="shared" si="4"/>
        <v>1823</v>
      </c>
      <c r="I30" s="1"/>
      <c r="J30" s="45" t="s">
        <v>170</v>
      </c>
      <c r="K30" s="68">
        <v>0</v>
      </c>
      <c r="L30" s="68">
        <v>0</v>
      </c>
      <c r="M30" s="68">
        <v>1</v>
      </c>
      <c r="N30" s="68">
        <v>0</v>
      </c>
      <c r="O30" s="68">
        <v>0</v>
      </c>
      <c r="P30" s="69">
        <v>0</v>
      </c>
      <c r="Q30" s="40">
        <f>SUM(K30:P30)</f>
        <v>1</v>
      </c>
      <c r="R30" s="4"/>
      <c r="S30" s="1"/>
    </row>
    <row r="31" spans="1:19" x14ac:dyDescent="0.25">
      <c r="A31" s="7" t="s">
        <v>23</v>
      </c>
      <c r="B31" s="17">
        <v>536</v>
      </c>
      <c r="C31" s="11">
        <v>599</v>
      </c>
      <c r="D31" s="11">
        <v>600</v>
      </c>
      <c r="E31" s="11">
        <v>34</v>
      </c>
      <c r="F31" s="11">
        <v>51</v>
      </c>
      <c r="G31" s="11">
        <v>3</v>
      </c>
      <c r="H31" s="12">
        <f t="shared" si="4"/>
        <v>1823</v>
      </c>
      <c r="I31" s="1"/>
      <c r="J31" s="45" t="s">
        <v>171</v>
      </c>
      <c r="K31" s="68">
        <v>0</v>
      </c>
      <c r="L31" s="68">
        <v>0</v>
      </c>
      <c r="M31" s="68">
        <v>0</v>
      </c>
      <c r="N31" s="68">
        <v>0</v>
      </c>
      <c r="O31" s="68">
        <v>0</v>
      </c>
      <c r="P31" s="69">
        <v>0</v>
      </c>
      <c r="Q31" s="40">
        <f>SUM(K31:P31)</f>
        <v>0</v>
      </c>
      <c r="R31" s="4"/>
      <c r="S31" s="1"/>
    </row>
    <row r="32" spans="1:19" x14ac:dyDescent="0.25">
      <c r="A32" s="7" t="s">
        <v>202</v>
      </c>
      <c r="B32" s="17">
        <v>15</v>
      </c>
      <c r="C32" s="11">
        <v>0</v>
      </c>
      <c r="D32" s="11">
        <v>12</v>
      </c>
      <c r="E32" s="11">
        <v>0</v>
      </c>
      <c r="F32" s="11">
        <v>0</v>
      </c>
      <c r="G32" s="11">
        <v>0</v>
      </c>
      <c r="H32" s="12">
        <f t="shared" si="4"/>
        <v>27</v>
      </c>
      <c r="I32" s="1"/>
      <c r="J32" s="49" t="s">
        <v>65</v>
      </c>
      <c r="K32" s="68">
        <v>6</v>
      </c>
      <c r="L32" s="68">
        <v>202</v>
      </c>
      <c r="M32" s="68">
        <v>26</v>
      </c>
      <c r="N32" s="68">
        <v>0</v>
      </c>
      <c r="O32" s="68">
        <v>0</v>
      </c>
      <c r="P32" s="69">
        <v>0</v>
      </c>
      <c r="Q32" s="40">
        <f t="shared" ref="Q32:Q37" si="6">SUM(K32:P32)</f>
        <v>234</v>
      </c>
      <c r="R32" s="4"/>
      <c r="S32" s="1"/>
    </row>
    <row r="33" spans="1:19" x14ac:dyDescent="0.25">
      <c r="A33" s="7" t="s">
        <v>159</v>
      </c>
      <c r="B33" s="17">
        <v>260</v>
      </c>
      <c r="C33" s="11">
        <v>154</v>
      </c>
      <c r="D33" s="11">
        <v>58</v>
      </c>
      <c r="E33" s="11">
        <v>1</v>
      </c>
      <c r="F33" s="11">
        <v>1</v>
      </c>
      <c r="G33" s="11">
        <v>0</v>
      </c>
      <c r="H33" s="12">
        <f t="shared" si="4"/>
        <v>474</v>
      </c>
      <c r="I33" s="1"/>
      <c r="J33" s="50" t="s">
        <v>130</v>
      </c>
      <c r="K33" s="70">
        <v>0</v>
      </c>
      <c r="L33" s="70">
        <v>97</v>
      </c>
      <c r="M33" s="70">
        <v>0</v>
      </c>
      <c r="N33" s="70">
        <v>0</v>
      </c>
      <c r="O33" s="70">
        <v>0</v>
      </c>
      <c r="P33" s="69">
        <v>0</v>
      </c>
      <c r="Q33" s="40">
        <f t="shared" si="6"/>
        <v>97</v>
      </c>
      <c r="R33" s="4"/>
      <c r="S33" s="1"/>
    </row>
    <row r="34" spans="1:19" x14ac:dyDescent="0.25">
      <c r="A34" s="7" t="s">
        <v>26</v>
      </c>
      <c r="B34" s="17">
        <v>694</v>
      </c>
      <c r="C34" s="11">
        <v>911</v>
      </c>
      <c r="D34" s="11">
        <v>95</v>
      </c>
      <c r="E34" s="11">
        <v>29</v>
      </c>
      <c r="F34" s="11">
        <v>2</v>
      </c>
      <c r="G34" s="11">
        <v>2</v>
      </c>
      <c r="H34" s="12">
        <f t="shared" si="4"/>
        <v>1733</v>
      </c>
      <c r="I34" s="1"/>
      <c r="J34" s="67" t="s">
        <v>131</v>
      </c>
      <c r="K34" s="65">
        <v>0</v>
      </c>
      <c r="L34" s="65">
        <v>19</v>
      </c>
      <c r="M34" s="65">
        <v>0</v>
      </c>
      <c r="N34" s="65">
        <v>0</v>
      </c>
      <c r="O34" s="65">
        <v>0</v>
      </c>
      <c r="P34" s="31">
        <v>0</v>
      </c>
      <c r="Q34" s="40">
        <f t="shared" si="6"/>
        <v>19</v>
      </c>
      <c r="R34" s="4"/>
      <c r="S34" s="1"/>
    </row>
    <row r="35" spans="1:19" x14ac:dyDescent="0.25">
      <c r="A35" s="7" t="s">
        <v>82</v>
      </c>
      <c r="B35" s="17">
        <v>380</v>
      </c>
      <c r="C35" s="11">
        <v>334</v>
      </c>
      <c r="D35" s="11">
        <v>375</v>
      </c>
      <c r="E35" s="11">
        <v>13</v>
      </c>
      <c r="F35" s="11">
        <v>4</v>
      </c>
      <c r="G35" s="11">
        <v>0</v>
      </c>
      <c r="H35" s="12">
        <f t="shared" si="4"/>
        <v>1106</v>
      </c>
      <c r="I35" s="1"/>
      <c r="J35" s="67" t="s">
        <v>160</v>
      </c>
      <c r="K35" s="65">
        <v>1</v>
      </c>
      <c r="L35" s="65">
        <v>55</v>
      </c>
      <c r="M35" s="65">
        <v>0</v>
      </c>
      <c r="N35" s="65">
        <v>0</v>
      </c>
      <c r="O35" s="65">
        <v>0</v>
      </c>
      <c r="P35" s="31">
        <v>0</v>
      </c>
      <c r="Q35" s="40">
        <f t="shared" si="6"/>
        <v>56</v>
      </c>
      <c r="R35" s="4"/>
      <c r="S35" s="1"/>
    </row>
    <row r="36" spans="1:19" x14ac:dyDescent="0.25">
      <c r="A36" s="7" t="s">
        <v>30</v>
      </c>
      <c r="B36" s="17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2">
        <f t="shared" si="4"/>
        <v>0</v>
      </c>
      <c r="I36" s="1"/>
      <c r="J36" s="67" t="s">
        <v>211</v>
      </c>
      <c r="K36" s="65">
        <v>1</v>
      </c>
      <c r="L36" s="65">
        <v>0</v>
      </c>
      <c r="M36" s="65">
        <v>0</v>
      </c>
      <c r="N36" s="65">
        <v>0</v>
      </c>
      <c r="O36" s="65">
        <v>0</v>
      </c>
      <c r="P36" s="31">
        <v>0</v>
      </c>
      <c r="Q36" s="40">
        <f t="shared" si="6"/>
        <v>1</v>
      </c>
      <c r="R36" s="4"/>
      <c r="S36" s="1"/>
    </row>
    <row r="37" spans="1:19" ht="15.75" thickBot="1" x14ac:dyDescent="0.3">
      <c r="A37" s="7" t="s">
        <v>31</v>
      </c>
      <c r="B37" s="17">
        <v>20</v>
      </c>
      <c r="C37" s="11">
        <v>16</v>
      </c>
      <c r="D37" s="11">
        <v>0</v>
      </c>
      <c r="E37" s="11">
        <v>0</v>
      </c>
      <c r="F37" s="11">
        <v>0</v>
      </c>
      <c r="G37" s="11">
        <v>0</v>
      </c>
      <c r="H37" s="12">
        <f t="shared" si="4"/>
        <v>36</v>
      </c>
      <c r="I37" s="1"/>
      <c r="J37" s="51" t="s">
        <v>161</v>
      </c>
      <c r="K37" s="71">
        <v>0</v>
      </c>
      <c r="L37" s="71">
        <v>0</v>
      </c>
      <c r="M37" s="71">
        <v>0</v>
      </c>
      <c r="N37" s="71">
        <v>0</v>
      </c>
      <c r="O37" s="71">
        <v>0</v>
      </c>
      <c r="P37" s="72">
        <v>0</v>
      </c>
      <c r="Q37" s="46">
        <f t="shared" si="6"/>
        <v>0</v>
      </c>
      <c r="R37" s="4"/>
      <c r="S37" s="1"/>
    </row>
    <row r="38" spans="1:19" ht="15.75" thickBot="1" x14ac:dyDescent="0.3">
      <c r="A38" s="7" t="s">
        <v>66</v>
      </c>
      <c r="B38" s="17">
        <v>133</v>
      </c>
      <c r="C38" s="11">
        <v>85</v>
      </c>
      <c r="D38" s="11">
        <v>289</v>
      </c>
      <c r="E38" s="11">
        <v>21</v>
      </c>
      <c r="F38" s="11">
        <v>43</v>
      </c>
      <c r="G38" s="11">
        <v>2</v>
      </c>
      <c r="H38" s="12">
        <f t="shared" si="4"/>
        <v>573</v>
      </c>
      <c r="I38" s="1"/>
      <c r="J38" s="34"/>
      <c r="K38" s="34"/>
      <c r="L38" s="34"/>
      <c r="M38" s="34"/>
      <c r="N38" s="34"/>
      <c r="O38" s="34"/>
      <c r="P38" s="34"/>
      <c r="R38" s="4"/>
      <c r="S38" s="1"/>
    </row>
    <row r="39" spans="1:19" x14ac:dyDescent="0.25">
      <c r="A39" s="7" t="s">
        <v>67</v>
      </c>
      <c r="B39" s="17">
        <v>133</v>
      </c>
      <c r="C39" s="11">
        <v>85</v>
      </c>
      <c r="D39" s="11">
        <v>286</v>
      </c>
      <c r="E39" s="11">
        <v>21</v>
      </c>
      <c r="F39" s="11">
        <v>46</v>
      </c>
      <c r="G39" s="11">
        <v>3</v>
      </c>
      <c r="H39" s="12">
        <f t="shared" si="4"/>
        <v>574</v>
      </c>
      <c r="I39" s="1"/>
      <c r="J39" s="134" t="s">
        <v>136</v>
      </c>
      <c r="K39" s="136" t="s">
        <v>11</v>
      </c>
      <c r="L39" s="136"/>
      <c r="M39" s="136"/>
      <c r="N39" s="136"/>
      <c r="O39" s="136"/>
      <c r="P39" s="136"/>
      <c r="Q39" s="137"/>
      <c r="R39" s="4"/>
      <c r="S39" s="1"/>
    </row>
    <row r="40" spans="1:19" x14ac:dyDescent="0.25">
      <c r="A40" s="7" t="s">
        <v>77</v>
      </c>
      <c r="B40" s="17">
        <v>76</v>
      </c>
      <c r="C40" s="11">
        <v>43</v>
      </c>
      <c r="D40" s="11">
        <v>218</v>
      </c>
      <c r="E40" s="11">
        <v>14</v>
      </c>
      <c r="F40" s="11">
        <v>1</v>
      </c>
      <c r="G40" s="11">
        <v>0</v>
      </c>
      <c r="H40" s="12">
        <f t="shared" si="4"/>
        <v>352</v>
      </c>
      <c r="I40" s="1"/>
      <c r="J40" s="135"/>
      <c r="K40" s="30" t="s">
        <v>8</v>
      </c>
      <c r="L40" s="30" t="s">
        <v>9</v>
      </c>
      <c r="M40" s="30" t="s">
        <v>10</v>
      </c>
      <c r="N40" s="30" t="s">
        <v>154</v>
      </c>
      <c r="O40" s="30" t="s">
        <v>155</v>
      </c>
      <c r="P40" s="30" t="s">
        <v>147</v>
      </c>
      <c r="Q40" s="54" t="s">
        <v>11</v>
      </c>
      <c r="R40" s="4"/>
      <c r="S40" s="1"/>
    </row>
    <row r="41" spans="1:19" ht="15.75" thickBot="1" x14ac:dyDescent="0.3">
      <c r="A41" s="7" t="s">
        <v>78</v>
      </c>
      <c r="B41" s="17">
        <v>76</v>
      </c>
      <c r="C41" s="11">
        <v>43</v>
      </c>
      <c r="D41" s="11">
        <v>218</v>
      </c>
      <c r="E41" s="11">
        <v>14</v>
      </c>
      <c r="F41" s="11">
        <v>1</v>
      </c>
      <c r="G41" s="11">
        <v>0</v>
      </c>
      <c r="H41" s="12">
        <f t="shared" si="4"/>
        <v>352</v>
      </c>
      <c r="I41" s="1"/>
      <c r="J41" s="95" t="s">
        <v>150</v>
      </c>
      <c r="K41" s="29">
        <f t="shared" ref="K41:P41" si="7">SUM(K42:K49)</f>
        <v>725</v>
      </c>
      <c r="L41" s="29">
        <f t="shared" si="7"/>
        <v>177</v>
      </c>
      <c r="M41" s="29">
        <f t="shared" si="7"/>
        <v>0</v>
      </c>
      <c r="N41" s="29">
        <f t="shared" si="7"/>
        <v>0</v>
      </c>
      <c r="O41" s="29">
        <f t="shared" si="7"/>
        <v>2</v>
      </c>
      <c r="P41" s="29">
        <f t="shared" si="7"/>
        <v>0</v>
      </c>
      <c r="Q41" s="96">
        <f>SUM(K41:P41)</f>
        <v>904</v>
      </c>
      <c r="R41" s="4"/>
      <c r="S41" s="1"/>
    </row>
    <row r="42" spans="1:19" x14ac:dyDescent="0.25">
      <c r="A42" s="7" t="s">
        <v>42</v>
      </c>
      <c r="B42" s="17">
        <v>6</v>
      </c>
      <c r="C42" s="11">
        <v>0</v>
      </c>
      <c r="D42" s="11">
        <v>3</v>
      </c>
      <c r="E42" s="11">
        <v>0</v>
      </c>
      <c r="F42" s="11">
        <v>0</v>
      </c>
      <c r="G42" s="11">
        <v>0</v>
      </c>
      <c r="H42" s="12">
        <f t="shared" si="4"/>
        <v>9</v>
      </c>
      <c r="I42" s="1"/>
      <c r="J42" s="97" t="s">
        <v>165</v>
      </c>
      <c r="K42" s="98">
        <v>1</v>
      </c>
      <c r="L42" s="98">
        <v>0</v>
      </c>
      <c r="M42" s="98">
        <v>0</v>
      </c>
      <c r="N42" s="98">
        <v>0</v>
      </c>
      <c r="O42" s="98">
        <v>0</v>
      </c>
      <c r="P42" s="98">
        <v>0</v>
      </c>
      <c r="Q42" s="99">
        <f t="shared" ref="Q42:Q49" si="8">SUM(K42:P42)</f>
        <v>1</v>
      </c>
      <c r="R42" s="4"/>
      <c r="S42" s="1"/>
    </row>
    <row r="43" spans="1:19" x14ac:dyDescent="0.25">
      <c r="A43" s="7" t="s">
        <v>43</v>
      </c>
      <c r="B43" s="17">
        <v>17</v>
      </c>
      <c r="C43" s="11">
        <v>0</v>
      </c>
      <c r="D43" s="11">
        <v>40</v>
      </c>
      <c r="E43" s="11">
        <v>1</v>
      </c>
      <c r="F43" s="11">
        <v>0</v>
      </c>
      <c r="G43" s="11">
        <v>0</v>
      </c>
      <c r="H43" s="12">
        <f t="shared" si="4"/>
        <v>58</v>
      </c>
      <c r="I43" s="1"/>
      <c r="J43" s="86" t="s">
        <v>166</v>
      </c>
      <c r="K43" s="89">
        <v>177</v>
      </c>
      <c r="L43" s="89">
        <v>63</v>
      </c>
      <c r="M43" s="89">
        <v>0</v>
      </c>
      <c r="N43" s="89">
        <v>0</v>
      </c>
      <c r="O43" s="89">
        <v>1</v>
      </c>
      <c r="P43" s="89">
        <v>0</v>
      </c>
      <c r="Q43" s="40">
        <f t="shared" si="8"/>
        <v>241</v>
      </c>
      <c r="R43" s="4"/>
      <c r="S43" s="1"/>
    </row>
    <row r="44" spans="1:19" x14ac:dyDescent="0.25">
      <c r="A44" s="7" t="s">
        <v>101</v>
      </c>
      <c r="B44" s="17">
        <v>15</v>
      </c>
      <c r="C44" s="11">
        <v>0</v>
      </c>
      <c r="D44" s="11">
        <v>10</v>
      </c>
      <c r="E44" s="11">
        <v>0</v>
      </c>
      <c r="F44" s="11">
        <v>0</v>
      </c>
      <c r="G44" s="11">
        <v>0</v>
      </c>
      <c r="H44" s="12">
        <f t="shared" si="4"/>
        <v>25</v>
      </c>
      <c r="I44" s="1"/>
      <c r="J44" s="86" t="s">
        <v>167</v>
      </c>
      <c r="K44" s="89">
        <v>17</v>
      </c>
      <c r="L44" s="89">
        <v>4</v>
      </c>
      <c r="M44" s="89">
        <v>0</v>
      </c>
      <c r="N44" s="89">
        <v>0</v>
      </c>
      <c r="O44" s="89">
        <v>0</v>
      </c>
      <c r="P44" s="89">
        <v>0</v>
      </c>
      <c r="Q44" s="40">
        <f t="shared" si="8"/>
        <v>21</v>
      </c>
      <c r="R44" s="4"/>
      <c r="S44" s="1"/>
    </row>
    <row r="45" spans="1:19" x14ac:dyDescent="0.25">
      <c r="A45" s="7" t="s">
        <v>95</v>
      </c>
      <c r="B45" s="37">
        <v>59</v>
      </c>
      <c r="C45" s="11">
        <v>127</v>
      </c>
      <c r="D45" s="11">
        <v>19</v>
      </c>
      <c r="E45" s="11">
        <v>3</v>
      </c>
      <c r="F45" s="11">
        <v>0</v>
      </c>
      <c r="G45" s="11">
        <v>0</v>
      </c>
      <c r="H45" s="12">
        <f t="shared" si="4"/>
        <v>208</v>
      </c>
      <c r="I45" s="1"/>
      <c r="J45" s="86" t="s">
        <v>168</v>
      </c>
      <c r="K45" s="89">
        <v>2</v>
      </c>
      <c r="L45" s="89">
        <v>2</v>
      </c>
      <c r="M45" s="89">
        <v>0</v>
      </c>
      <c r="N45" s="89">
        <v>0</v>
      </c>
      <c r="O45" s="89">
        <v>0</v>
      </c>
      <c r="P45" s="89">
        <v>0</v>
      </c>
      <c r="Q45" s="40">
        <f>SUM(K45:P45)</f>
        <v>4</v>
      </c>
      <c r="R45" s="4"/>
      <c r="S45" s="1"/>
    </row>
    <row r="46" spans="1:19" x14ac:dyDescent="0.25">
      <c r="A46" s="7" t="s">
        <v>96</v>
      </c>
      <c r="B46" s="37">
        <v>9</v>
      </c>
      <c r="C46" s="11">
        <v>0</v>
      </c>
      <c r="D46" s="11">
        <v>2</v>
      </c>
      <c r="E46" s="11">
        <v>0</v>
      </c>
      <c r="F46" s="11">
        <v>0</v>
      </c>
      <c r="G46" s="11">
        <v>0</v>
      </c>
      <c r="H46" s="12">
        <f t="shared" si="4"/>
        <v>11</v>
      </c>
      <c r="J46" s="86" t="s">
        <v>34</v>
      </c>
      <c r="K46" s="89">
        <v>34</v>
      </c>
      <c r="L46" s="89">
        <v>4</v>
      </c>
      <c r="M46" s="89">
        <v>0</v>
      </c>
      <c r="N46" s="89">
        <v>0</v>
      </c>
      <c r="O46" s="89">
        <v>0</v>
      </c>
      <c r="P46" s="89">
        <v>0</v>
      </c>
      <c r="Q46" s="40">
        <f t="shared" si="8"/>
        <v>38</v>
      </c>
      <c r="R46" s="4"/>
      <c r="S46" s="1"/>
    </row>
    <row r="47" spans="1:19" x14ac:dyDescent="0.25">
      <c r="A47" s="7" t="s">
        <v>97</v>
      </c>
      <c r="B47" s="37">
        <v>32</v>
      </c>
      <c r="C47" s="11">
        <v>0</v>
      </c>
      <c r="D47" s="11">
        <v>16</v>
      </c>
      <c r="E47" s="11">
        <v>0</v>
      </c>
      <c r="F47" s="11">
        <v>0</v>
      </c>
      <c r="G47" s="11">
        <v>0</v>
      </c>
      <c r="H47" s="12">
        <f t="shared" si="4"/>
        <v>48</v>
      </c>
      <c r="I47" s="1"/>
      <c r="J47" s="86" t="s">
        <v>179</v>
      </c>
      <c r="K47" s="89">
        <v>198</v>
      </c>
      <c r="L47" s="89">
        <v>28</v>
      </c>
      <c r="M47" s="89">
        <v>0</v>
      </c>
      <c r="N47" s="89">
        <v>0</v>
      </c>
      <c r="O47" s="89">
        <v>0</v>
      </c>
      <c r="P47" s="89">
        <v>0</v>
      </c>
      <c r="Q47" s="40">
        <f t="shared" si="8"/>
        <v>226</v>
      </c>
      <c r="R47" s="4"/>
      <c r="S47" s="1"/>
    </row>
    <row r="48" spans="1:19" x14ac:dyDescent="0.25">
      <c r="A48" s="36" t="s">
        <v>98</v>
      </c>
      <c r="B48" s="37">
        <v>32</v>
      </c>
      <c r="C48" s="11">
        <v>0</v>
      </c>
      <c r="D48" s="11">
        <v>16</v>
      </c>
      <c r="E48" s="11">
        <v>0</v>
      </c>
      <c r="F48" s="11">
        <v>0</v>
      </c>
      <c r="G48" s="11">
        <v>0</v>
      </c>
      <c r="H48" s="12">
        <f t="shared" si="4"/>
        <v>48</v>
      </c>
      <c r="I48" s="1"/>
      <c r="J48" s="86" t="s">
        <v>177</v>
      </c>
      <c r="K48" s="89">
        <v>263</v>
      </c>
      <c r="L48" s="89">
        <v>72</v>
      </c>
      <c r="M48" s="89">
        <v>0</v>
      </c>
      <c r="N48" s="89">
        <v>0</v>
      </c>
      <c r="O48" s="89">
        <v>1</v>
      </c>
      <c r="P48" s="89">
        <v>0</v>
      </c>
      <c r="Q48" s="40">
        <f t="shared" si="8"/>
        <v>336</v>
      </c>
      <c r="R48" s="4"/>
      <c r="S48" s="1"/>
    </row>
    <row r="49" spans="1:19" ht="15.75" thickBot="1" x14ac:dyDescent="0.3">
      <c r="A49" s="7" t="s">
        <v>86</v>
      </c>
      <c r="B49" s="17">
        <v>0</v>
      </c>
      <c r="C49" s="11">
        <v>814</v>
      </c>
      <c r="D49" s="11">
        <v>2</v>
      </c>
      <c r="E49" s="11">
        <v>0</v>
      </c>
      <c r="F49" s="11">
        <v>0</v>
      </c>
      <c r="G49" s="11">
        <v>0</v>
      </c>
      <c r="H49" s="14">
        <f>SUM(B49:G49)</f>
        <v>816</v>
      </c>
      <c r="I49" s="1"/>
      <c r="J49" s="87" t="s">
        <v>178</v>
      </c>
      <c r="K49" s="71">
        <v>33</v>
      </c>
      <c r="L49" s="71">
        <v>4</v>
      </c>
      <c r="M49" s="71">
        <v>0</v>
      </c>
      <c r="N49" s="71">
        <v>0</v>
      </c>
      <c r="O49" s="71">
        <v>0</v>
      </c>
      <c r="P49" s="71">
        <v>0</v>
      </c>
      <c r="Q49" s="46">
        <f t="shared" si="8"/>
        <v>37</v>
      </c>
      <c r="R49" s="4"/>
      <c r="S49" s="1"/>
    </row>
    <row r="50" spans="1:19" x14ac:dyDescent="0.25">
      <c r="A50" s="18" t="s">
        <v>87</v>
      </c>
      <c r="B50" s="38">
        <v>464</v>
      </c>
      <c r="C50" s="19">
        <v>563</v>
      </c>
      <c r="D50" s="19">
        <v>95</v>
      </c>
      <c r="E50" s="19">
        <v>12</v>
      </c>
      <c r="F50" s="21">
        <v>0</v>
      </c>
      <c r="G50" s="19">
        <v>1</v>
      </c>
      <c r="H50" s="14">
        <f>SUM(B50:G50)</f>
        <v>1135</v>
      </c>
      <c r="I50" s="1"/>
      <c r="J50" s="158"/>
      <c r="K50" s="158"/>
      <c r="L50" s="158"/>
      <c r="M50" s="158"/>
      <c r="N50" s="34"/>
      <c r="O50" s="34"/>
      <c r="P50" s="34"/>
      <c r="Q50" s="35"/>
      <c r="R50" s="4"/>
      <c r="S50" s="1"/>
    </row>
    <row r="51" spans="1:19" ht="15.75" thickBot="1" x14ac:dyDescent="0.3">
      <c r="A51" s="73" t="s">
        <v>139</v>
      </c>
      <c r="B51" s="75">
        <f t="shared" ref="B51:G51" si="9">SUM(B52:B68)</f>
        <v>2479</v>
      </c>
      <c r="C51" s="75">
        <f t="shared" si="9"/>
        <v>4879</v>
      </c>
      <c r="D51" s="77">
        <f t="shared" si="9"/>
        <v>2707</v>
      </c>
      <c r="E51" s="75">
        <f t="shared" si="9"/>
        <v>207</v>
      </c>
      <c r="F51" s="75">
        <f t="shared" si="9"/>
        <v>102</v>
      </c>
      <c r="G51" s="78">
        <f t="shared" si="9"/>
        <v>3</v>
      </c>
      <c r="H51" s="75">
        <f>SUM(B51:G51)</f>
        <v>10377</v>
      </c>
      <c r="I51" s="1"/>
      <c r="Q51" s="24"/>
      <c r="R51" s="4"/>
      <c r="S51" s="1"/>
    </row>
    <row r="52" spans="1:19" x14ac:dyDescent="0.25">
      <c r="A52" s="7" t="s">
        <v>90</v>
      </c>
      <c r="B52" s="13">
        <v>275</v>
      </c>
      <c r="C52" s="13">
        <v>83</v>
      </c>
      <c r="D52" s="25">
        <v>116</v>
      </c>
      <c r="E52" s="65">
        <v>7</v>
      </c>
      <c r="F52" s="65">
        <v>4</v>
      </c>
      <c r="G52" s="65">
        <v>0</v>
      </c>
      <c r="H52" s="26">
        <f t="shared" ref="H52:H113" si="10">SUM(B52:G52)</f>
        <v>485</v>
      </c>
      <c r="I52" s="1"/>
      <c r="J52" s="159" t="s">
        <v>152</v>
      </c>
      <c r="K52" s="160"/>
      <c r="L52" s="160"/>
      <c r="M52" s="160"/>
      <c r="N52" s="160"/>
      <c r="O52" s="160"/>
      <c r="P52" s="160"/>
      <c r="Q52" s="161"/>
      <c r="R52" s="4"/>
      <c r="S52" s="1"/>
    </row>
    <row r="53" spans="1:19" x14ac:dyDescent="0.25">
      <c r="A53" s="7" t="s">
        <v>91</v>
      </c>
      <c r="B53" s="13">
        <v>1</v>
      </c>
      <c r="C53" s="13">
        <v>0</v>
      </c>
      <c r="D53" s="25">
        <v>41</v>
      </c>
      <c r="E53" s="66">
        <v>2</v>
      </c>
      <c r="F53" s="66">
        <v>0</v>
      </c>
      <c r="G53" s="66">
        <v>0</v>
      </c>
      <c r="H53" s="26">
        <f t="shared" si="10"/>
        <v>44</v>
      </c>
      <c r="I53" s="1"/>
      <c r="J53" s="138" t="s">
        <v>72</v>
      </c>
      <c r="K53" s="139"/>
      <c r="L53" s="139"/>
      <c r="M53" s="139"/>
      <c r="N53" s="139"/>
      <c r="O53" s="139"/>
      <c r="P53" s="139"/>
      <c r="Q53" s="62" t="s">
        <v>11</v>
      </c>
      <c r="R53" s="4"/>
      <c r="S53" s="1"/>
    </row>
    <row r="54" spans="1:19" x14ac:dyDescent="0.25">
      <c r="A54" s="7" t="s">
        <v>32</v>
      </c>
      <c r="B54" s="13">
        <v>735</v>
      </c>
      <c r="C54" s="13">
        <v>2338</v>
      </c>
      <c r="D54" s="25">
        <v>1080</v>
      </c>
      <c r="E54" s="66">
        <v>79</v>
      </c>
      <c r="F54" s="66">
        <v>56</v>
      </c>
      <c r="G54" s="66">
        <v>2</v>
      </c>
      <c r="H54" s="26">
        <f t="shared" si="10"/>
        <v>4290</v>
      </c>
      <c r="I54" s="1"/>
      <c r="J54" s="138" t="s">
        <v>71</v>
      </c>
      <c r="K54" s="139"/>
      <c r="L54" s="139"/>
      <c r="M54" s="139"/>
      <c r="N54" s="139"/>
      <c r="O54" s="139"/>
      <c r="P54" s="139"/>
      <c r="Q54" s="47">
        <v>3</v>
      </c>
      <c r="R54" s="4"/>
      <c r="S54" s="1"/>
    </row>
    <row r="55" spans="1:19" x14ac:dyDescent="0.25">
      <c r="A55" s="7" t="s">
        <v>34</v>
      </c>
      <c r="B55" s="11">
        <v>22</v>
      </c>
      <c r="C55" s="13">
        <v>4</v>
      </c>
      <c r="D55" s="23">
        <v>68</v>
      </c>
      <c r="E55" s="66">
        <v>6</v>
      </c>
      <c r="F55" s="66">
        <v>4</v>
      </c>
      <c r="G55" s="66">
        <v>0</v>
      </c>
      <c r="H55" s="26">
        <f t="shared" si="10"/>
        <v>104</v>
      </c>
      <c r="I55" s="1"/>
      <c r="J55" s="138" t="s">
        <v>137</v>
      </c>
      <c r="K55" s="139"/>
      <c r="L55" s="139"/>
      <c r="M55" s="139"/>
      <c r="N55" s="139"/>
      <c r="O55" s="139"/>
      <c r="P55" s="139"/>
      <c r="Q55" s="47">
        <f>(H12)</f>
        <v>28498</v>
      </c>
      <c r="R55" s="4"/>
      <c r="S55" s="1"/>
    </row>
    <row r="56" spans="1:19" x14ac:dyDescent="0.25">
      <c r="A56" s="7" t="s">
        <v>181</v>
      </c>
      <c r="B56" s="13">
        <v>168</v>
      </c>
      <c r="C56" s="13">
        <v>707</v>
      </c>
      <c r="D56" s="25">
        <v>298</v>
      </c>
      <c r="E56" s="66">
        <v>24</v>
      </c>
      <c r="F56" s="66">
        <v>6</v>
      </c>
      <c r="G56" s="66">
        <v>0</v>
      </c>
      <c r="H56" s="26">
        <f t="shared" si="10"/>
        <v>1203</v>
      </c>
      <c r="I56" s="1"/>
      <c r="J56" s="138" t="s">
        <v>138</v>
      </c>
      <c r="K56" s="139"/>
      <c r="L56" s="139"/>
      <c r="M56" s="139"/>
      <c r="N56" s="139"/>
      <c r="O56" s="139"/>
      <c r="P56" s="139"/>
      <c r="Q56" s="48">
        <f>(H51)</f>
        <v>10377</v>
      </c>
      <c r="R56" s="4"/>
      <c r="S56" s="1"/>
    </row>
    <row r="57" spans="1:19" x14ac:dyDescent="0.25">
      <c r="A57" s="7" t="s">
        <v>184</v>
      </c>
      <c r="B57" s="11">
        <v>82</v>
      </c>
      <c r="C57" s="11">
        <v>3</v>
      </c>
      <c r="D57" s="23">
        <v>28</v>
      </c>
      <c r="E57" s="66">
        <v>2</v>
      </c>
      <c r="F57" s="66">
        <v>2</v>
      </c>
      <c r="G57" s="66">
        <v>0</v>
      </c>
      <c r="H57" s="26">
        <f t="shared" si="10"/>
        <v>117</v>
      </c>
      <c r="I57" s="1"/>
      <c r="J57" s="138" t="s">
        <v>140</v>
      </c>
      <c r="K57" s="139"/>
      <c r="L57" s="139"/>
      <c r="M57" s="139"/>
      <c r="N57" s="139"/>
      <c r="O57" s="139"/>
      <c r="P57" s="139"/>
      <c r="Q57" s="48">
        <f>(H69)</f>
        <v>625</v>
      </c>
      <c r="R57" s="4"/>
      <c r="S57" s="1"/>
    </row>
    <row r="58" spans="1:19" x14ac:dyDescent="0.25">
      <c r="A58" s="7" t="s">
        <v>88</v>
      </c>
      <c r="B58" s="11">
        <v>6</v>
      </c>
      <c r="C58" s="11">
        <v>3</v>
      </c>
      <c r="D58" s="23">
        <v>9</v>
      </c>
      <c r="E58" s="66">
        <v>0</v>
      </c>
      <c r="F58" s="66">
        <v>2</v>
      </c>
      <c r="G58" s="66">
        <v>0</v>
      </c>
      <c r="H58" s="26">
        <f t="shared" si="10"/>
        <v>20</v>
      </c>
      <c r="I58" s="1"/>
      <c r="J58" s="138" t="s">
        <v>144</v>
      </c>
      <c r="K58" s="139"/>
      <c r="L58" s="139"/>
      <c r="M58" s="139"/>
      <c r="N58" s="139"/>
      <c r="O58" s="139"/>
      <c r="P58" s="139"/>
      <c r="Q58" s="48">
        <f>H82</f>
        <v>1813</v>
      </c>
      <c r="R58" s="4"/>
      <c r="S58" s="1"/>
    </row>
    <row r="59" spans="1:19" x14ac:dyDescent="0.25">
      <c r="A59" s="7" t="s">
        <v>89</v>
      </c>
      <c r="B59" s="11">
        <v>0</v>
      </c>
      <c r="C59" s="11">
        <v>0</v>
      </c>
      <c r="D59" s="23">
        <v>4</v>
      </c>
      <c r="E59" s="66">
        <v>0</v>
      </c>
      <c r="F59" s="66">
        <v>2</v>
      </c>
      <c r="G59" s="66">
        <v>0</v>
      </c>
      <c r="H59" s="26">
        <f t="shared" si="10"/>
        <v>6</v>
      </c>
      <c r="I59" s="1"/>
      <c r="J59" s="138" t="s">
        <v>141</v>
      </c>
      <c r="K59" s="139"/>
      <c r="L59" s="139"/>
      <c r="M59" s="139"/>
      <c r="N59" s="139"/>
      <c r="O59" s="139"/>
      <c r="P59" s="139"/>
      <c r="Q59" s="48">
        <f>H95</f>
        <v>4611</v>
      </c>
      <c r="R59" s="4"/>
      <c r="S59" s="1"/>
    </row>
    <row r="60" spans="1:19" x14ac:dyDescent="0.25">
      <c r="A60" s="7" t="s">
        <v>183</v>
      </c>
      <c r="B60" s="11">
        <v>228</v>
      </c>
      <c r="C60" s="11">
        <v>849</v>
      </c>
      <c r="D60" s="23">
        <v>307</v>
      </c>
      <c r="E60" s="66">
        <v>20</v>
      </c>
      <c r="F60" s="66">
        <v>6</v>
      </c>
      <c r="G60" s="66">
        <v>0</v>
      </c>
      <c r="H60" s="26">
        <f t="shared" si="10"/>
        <v>1410</v>
      </c>
      <c r="I60" s="1"/>
      <c r="J60" s="138" t="s">
        <v>143</v>
      </c>
      <c r="K60" s="139"/>
      <c r="L60" s="139"/>
      <c r="M60" s="139"/>
      <c r="N60" s="139"/>
      <c r="O60" s="139"/>
      <c r="P60" s="139"/>
      <c r="Q60" s="63">
        <f>Q11</f>
        <v>1849</v>
      </c>
      <c r="R60" s="4"/>
      <c r="S60" s="1"/>
    </row>
    <row r="61" spans="1:19" x14ac:dyDescent="0.25">
      <c r="A61" s="7" t="s">
        <v>36</v>
      </c>
      <c r="B61" s="11">
        <v>11</v>
      </c>
      <c r="C61" s="11">
        <v>4</v>
      </c>
      <c r="D61" s="23">
        <v>19</v>
      </c>
      <c r="E61" s="66">
        <v>0</v>
      </c>
      <c r="F61" s="66">
        <v>2</v>
      </c>
      <c r="G61" s="66">
        <v>1</v>
      </c>
      <c r="H61" s="26">
        <f t="shared" si="10"/>
        <v>37</v>
      </c>
      <c r="I61" s="1"/>
      <c r="J61" s="138" t="s">
        <v>145</v>
      </c>
      <c r="K61" s="139"/>
      <c r="L61" s="139"/>
      <c r="M61" s="139"/>
      <c r="N61" s="139"/>
      <c r="O61" s="139"/>
      <c r="P61" s="139"/>
      <c r="Q61" s="41">
        <f>Q28</f>
        <v>599</v>
      </c>
      <c r="R61" s="4"/>
      <c r="S61" s="1"/>
    </row>
    <row r="62" spans="1:19" ht="15.75" thickBot="1" x14ac:dyDescent="0.3">
      <c r="A62" s="7" t="s">
        <v>119</v>
      </c>
      <c r="B62" s="11">
        <v>1</v>
      </c>
      <c r="C62" s="10">
        <v>0</v>
      </c>
      <c r="D62" s="23">
        <v>0</v>
      </c>
      <c r="E62" s="66">
        <v>0</v>
      </c>
      <c r="F62" s="66">
        <v>0</v>
      </c>
      <c r="G62" s="66">
        <v>0</v>
      </c>
      <c r="H62" s="26">
        <f>SUM(B62:G62)</f>
        <v>1</v>
      </c>
      <c r="I62" s="1"/>
      <c r="J62" s="144" t="s">
        <v>151</v>
      </c>
      <c r="K62" s="145"/>
      <c r="L62" s="145"/>
      <c r="M62" s="145"/>
      <c r="N62" s="145"/>
      <c r="O62" s="145"/>
      <c r="P62" s="145"/>
      <c r="Q62" s="64">
        <f>Q41</f>
        <v>904</v>
      </c>
      <c r="R62" s="4"/>
      <c r="S62" s="1"/>
    </row>
    <row r="63" spans="1:19" ht="15.75" thickBot="1" x14ac:dyDescent="0.3">
      <c r="A63" s="7" t="s">
        <v>118</v>
      </c>
      <c r="B63" s="11">
        <v>5</v>
      </c>
      <c r="C63" s="11">
        <v>4</v>
      </c>
      <c r="D63" s="23">
        <v>8</v>
      </c>
      <c r="E63" s="66">
        <v>0</v>
      </c>
      <c r="F63" s="66">
        <v>2</v>
      </c>
      <c r="G63" s="66">
        <v>0</v>
      </c>
      <c r="H63" s="33">
        <f>SUM(B63:G63)</f>
        <v>19</v>
      </c>
      <c r="I63" s="1"/>
      <c r="M63" s="53"/>
      <c r="N63" s="53"/>
      <c r="O63" s="53"/>
      <c r="P63" s="39" t="s">
        <v>11</v>
      </c>
      <c r="Q63" s="61">
        <f>SUM(Q54:Q62)</f>
        <v>49279</v>
      </c>
      <c r="R63" s="4"/>
      <c r="S63" s="1"/>
    </row>
    <row r="64" spans="1:19" x14ac:dyDescent="0.25">
      <c r="A64" s="8" t="s">
        <v>37</v>
      </c>
      <c r="B64" s="31">
        <v>93</v>
      </c>
      <c r="C64" s="20">
        <v>92</v>
      </c>
      <c r="D64" s="42">
        <v>44</v>
      </c>
      <c r="E64" s="65">
        <v>8</v>
      </c>
      <c r="F64" s="65">
        <v>1</v>
      </c>
      <c r="G64" s="65">
        <v>0</v>
      </c>
      <c r="H64" s="26">
        <f t="shared" si="10"/>
        <v>238</v>
      </c>
      <c r="I64" s="1"/>
      <c r="P64" s="1"/>
      <c r="Q64" s="1"/>
      <c r="R64" s="4"/>
      <c r="S64" s="1"/>
    </row>
    <row r="65" spans="1:19" x14ac:dyDescent="0.25">
      <c r="A65" s="7" t="s">
        <v>38</v>
      </c>
      <c r="B65" s="11">
        <v>380</v>
      </c>
      <c r="C65" s="10">
        <v>338</v>
      </c>
      <c r="D65" s="23">
        <v>333</v>
      </c>
      <c r="E65" s="66">
        <v>25</v>
      </c>
      <c r="F65" s="66">
        <v>7</v>
      </c>
      <c r="G65" s="66">
        <v>0</v>
      </c>
      <c r="H65" s="26">
        <f t="shared" si="10"/>
        <v>1083</v>
      </c>
      <c r="I65" s="1"/>
      <c r="R65" s="4"/>
      <c r="S65" s="1"/>
    </row>
    <row r="66" spans="1:19" x14ac:dyDescent="0.25">
      <c r="A66" s="7" t="s">
        <v>73</v>
      </c>
      <c r="B66" s="11">
        <v>380</v>
      </c>
      <c r="C66" s="10">
        <v>338</v>
      </c>
      <c r="D66" s="23">
        <v>333</v>
      </c>
      <c r="E66" s="11">
        <v>25</v>
      </c>
      <c r="F66" s="11">
        <v>7</v>
      </c>
      <c r="G66" s="11">
        <v>0</v>
      </c>
      <c r="H66" s="26">
        <f t="shared" si="10"/>
        <v>1083</v>
      </c>
      <c r="I66" s="1"/>
      <c r="J66" s="1"/>
      <c r="K66" s="1"/>
      <c r="L66" s="1"/>
      <c r="M66" s="1"/>
      <c r="N66" s="1"/>
      <c r="O66" s="1"/>
      <c r="R66" s="4"/>
      <c r="S66" s="1"/>
    </row>
    <row r="67" spans="1:19" x14ac:dyDescent="0.25">
      <c r="A67" s="7" t="s">
        <v>39</v>
      </c>
      <c r="B67" s="11">
        <v>85</v>
      </c>
      <c r="C67" s="10">
        <v>114</v>
      </c>
      <c r="D67" s="23">
        <v>15</v>
      </c>
      <c r="E67" s="11">
        <v>8</v>
      </c>
      <c r="F67" s="11">
        <v>1</v>
      </c>
      <c r="G67" s="11">
        <v>0</v>
      </c>
      <c r="H67" s="26">
        <f t="shared" si="10"/>
        <v>223</v>
      </c>
      <c r="I67" s="1"/>
      <c r="R67" s="4"/>
      <c r="S67" s="1"/>
    </row>
    <row r="68" spans="1:19" x14ac:dyDescent="0.25">
      <c r="A68" s="18" t="s">
        <v>40</v>
      </c>
      <c r="B68" s="19">
        <v>7</v>
      </c>
      <c r="C68" s="21">
        <v>2</v>
      </c>
      <c r="D68" s="43">
        <v>4</v>
      </c>
      <c r="E68" s="19">
        <v>1</v>
      </c>
      <c r="F68" s="19">
        <v>0</v>
      </c>
      <c r="G68" s="19">
        <v>0</v>
      </c>
      <c r="H68" s="26">
        <f t="shared" si="10"/>
        <v>14</v>
      </c>
      <c r="I68" s="1"/>
      <c r="R68" s="4"/>
      <c r="S68" s="1"/>
    </row>
    <row r="69" spans="1:19" x14ac:dyDescent="0.25">
      <c r="A69" s="73" t="s">
        <v>54</v>
      </c>
      <c r="B69" s="74">
        <f t="shared" ref="B69:G69" si="11">SUM(B70:B81)</f>
        <v>381</v>
      </c>
      <c r="C69" s="74">
        <f t="shared" si="11"/>
        <v>101</v>
      </c>
      <c r="D69" s="74">
        <f t="shared" si="11"/>
        <v>127</v>
      </c>
      <c r="E69" s="74">
        <f t="shared" si="11"/>
        <v>16</v>
      </c>
      <c r="F69" s="74">
        <f t="shared" si="11"/>
        <v>0</v>
      </c>
      <c r="G69" s="76">
        <f t="shared" si="11"/>
        <v>0</v>
      </c>
      <c r="H69" s="75">
        <f t="shared" si="10"/>
        <v>625</v>
      </c>
      <c r="I69" s="1"/>
      <c r="R69" s="4"/>
      <c r="S69" s="1"/>
    </row>
    <row r="70" spans="1:19" x14ac:dyDescent="0.25">
      <c r="A70" s="52" t="s">
        <v>55</v>
      </c>
      <c r="B70" s="65">
        <v>55</v>
      </c>
      <c r="C70" s="10">
        <v>12</v>
      </c>
      <c r="D70" s="65">
        <v>97</v>
      </c>
      <c r="E70" s="65">
        <v>12</v>
      </c>
      <c r="F70" s="11">
        <v>0</v>
      </c>
      <c r="G70" s="65">
        <v>0</v>
      </c>
      <c r="H70" s="26">
        <f t="shared" si="10"/>
        <v>176</v>
      </c>
      <c r="I70" s="1"/>
      <c r="R70" s="4"/>
      <c r="S70" s="1"/>
    </row>
    <row r="71" spans="1:19" x14ac:dyDescent="0.25">
      <c r="A71" s="52" t="s">
        <v>56</v>
      </c>
      <c r="B71" s="66">
        <v>126</v>
      </c>
      <c r="C71" s="91">
        <v>58</v>
      </c>
      <c r="D71" s="66">
        <v>3</v>
      </c>
      <c r="E71" s="66">
        <v>0</v>
      </c>
      <c r="F71" s="11">
        <v>0</v>
      </c>
      <c r="G71" s="66">
        <v>0</v>
      </c>
      <c r="H71" s="26">
        <f t="shared" si="10"/>
        <v>187</v>
      </c>
      <c r="I71" s="1"/>
      <c r="R71" s="4"/>
      <c r="S71" s="1"/>
    </row>
    <row r="72" spans="1:19" x14ac:dyDescent="0.25">
      <c r="A72" s="52" t="s">
        <v>58</v>
      </c>
      <c r="B72" s="66">
        <v>8</v>
      </c>
      <c r="C72" s="10">
        <v>0</v>
      </c>
      <c r="D72" s="66">
        <v>0</v>
      </c>
      <c r="E72" s="66">
        <v>0</v>
      </c>
      <c r="F72" s="11">
        <v>0</v>
      </c>
      <c r="G72" s="66">
        <v>0</v>
      </c>
      <c r="H72" s="26">
        <f t="shared" si="10"/>
        <v>8</v>
      </c>
      <c r="I72" s="1"/>
      <c r="R72" s="4"/>
      <c r="S72" s="1"/>
    </row>
    <row r="73" spans="1:19" x14ac:dyDescent="0.25">
      <c r="A73" s="52" t="s">
        <v>68</v>
      </c>
      <c r="B73" s="66">
        <v>48</v>
      </c>
      <c r="C73" s="91">
        <v>7</v>
      </c>
      <c r="D73" s="66">
        <v>8</v>
      </c>
      <c r="E73" s="66">
        <v>3</v>
      </c>
      <c r="F73" s="92">
        <v>0</v>
      </c>
      <c r="G73" s="66">
        <v>0</v>
      </c>
      <c r="H73" s="26">
        <f t="shared" si="10"/>
        <v>66</v>
      </c>
      <c r="I73" s="1"/>
      <c r="R73" s="4"/>
      <c r="S73" s="1"/>
    </row>
    <row r="74" spans="1:19" x14ac:dyDescent="0.25">
      <c r="A74" s="52" t="s">
        <v>69</v>
      </c>
      <c r="B74" s="66">
        <v>21</v>
      </c>
      <c r="C74" s="91">
        <v>4</v>
      </c>
      <c r="D74" s="66">
        <v>1</v>
      </c>
      <c r="E74" s="66">
        <v>0</v>
      </c>
      <c r="F74" s="92">
        <v>0</v>
      </c>
      <c r="G74" s="66">
        <v>0</v>
      </c>
      <c r="H74" s="26">
        <f t="shared" si="10"/>
        <v>26</v>
      </c>
      <c r="I74" s="1"/>
      <c r="R74" s="4"/>
      <c r="S74" s="1"/>
    </row>
    <row r="75" spans="1:19" x14ac:dyDescent="0.25">
      <c r="A75" s="52" t="s">
        <v>57</v>
      </c>
      <c r="B75" s="66">
        <v>4</v>
      </c>
      <c r="C75" s="91">
        <v>0</v>
      </c>
      <c r="D75" s="66">
        <v>2</v>
      </c>
      <c r="E75" s="66">
        <v>0</v>
      </c>
      <c r="F75" s="91">
        <v>0</v>
      </c>
      <c r="G75" s="66">
        <v>0</v>
      </c>
      <c r="H75" s="26">
        <f t="shared" si="10"/>
        <v>6</v>
      </c>
      <c r="I75" s="1"/>
      <c r="R75" s="4"/>
      <c r="S75" s="1"/>
    </row>
    <row r="76" spans="1:19" x14ac:dyDescent="0.25">
      <c r="A76" s="52" t="s">
        <v>142</v>
      </c>
      <c r="B76" s="66">
        <v>27</v>
      </c>
      <c r="C76" s="91">
        <v>4</v>
      </c>
      <c r="D76" s="66">
        <v>4</v>
      </c>
      <c r="E76" s="66">
        <v>0</v>
      </c>
      <c r="F76" s="92">
        <v>0</v>
      </c>
      <c r="G76" s="66">
        <v>0</v>
      </c>
      <c r="H76" s="26">
        <f t="shared" si="10"/>
        <v>35</v>
      </c>
      <c r="I76" s="1"/>
      <c r="R76" s="4"/>
      <c r="S76" s="1"/>
    </row>
    <row r="77" spans="1:19" x14ac:dyDescent="0.25">
      <c r="A77" s="52" t="s">
        <v>59</v>
      </c>
      <c r="B77" s="66">
        <v>1</v>
      </c>
      <c r="C77" s="91">
        <v>0</v>
      </c>
      <c r="D77" s="66">
        <v>5</v>
      </c>
      <c r="E77" s="66">
        <v>1</v>
      </c>
      <c r="F77" s="92">
        <v>0</v>
      </c>
      <c r="G77" s="66">
        <v>0</v>
      </c>
      <c r="H77" s="26">
        <f t="shared" si="10"/>
        <v>7</v>
      </c>
      <c r="I77" s="1"/>
      <c r="R77" s="4"/>
      <c r="S77" s="1"/>
    </row>
    <row r="78" spans="1:19" x14ac:dyDescent="0.25">
      <c r="A78" s="52" t="s">
        <v>60</v>
      </c>
      <c r="B78" s="66">
        <v>27</v>
      </c>
      <c r="C78" s="91">
        <v>4</v>
      </c>
      <c r="D78" s="66">
        <v>4</v>
      </c>
      <c r="E78" s="66">
        <v>0</v>
      </c>
      <c r="F78" s="91">
        <v>0</v>
      </c>
      <c r="G78" s="66">
        <v>0</v>
      </c>
      <c r="H78" s="26">
        <f t="shared" si="10"/>
        <v>35</v>
      </c>
      <c r="I78" s="1"/>
      <c r="R78" s="4"/>
      <c r="S78" s="1"/>
    </row>
    <row r="79" spans="1:19" x14ac:dyDescent="0.25">
      <c r="A79" s="52" t="s">
        <v>106</v>
      </c>
      <c r="B79" s="66">
        <v>21</v>
      </c>
      <c r="C79" s="91">
        <v>4</v>
      </c>
      <c r="D79" s="66">
        <v>1</v>
      </c>
      <c r="E79" s="66">
        <v>0</v>
      </c>
      <c r="F79" s="91">
        <v>0</v>
      </c>
      <c r="G79" s="66">
        <v>0</v>
      </c>
      <c r="H79" s="26">
        <f t="shared" si="10"/>
        <v>26</v>
      </c>
      <c r="I79" s="1"/>
      <c r="R79" s="4"/>
      <c r="S79" s="1"/>
    </row>
    <row r="80" spans="1:19" x14ac:dyDescent="0.25">
      <c r="A80" s="52" t="s">
        <v>132</v>
      </c>
      <c r="B80" s="66">
        <v>21</v>
      </c>
      <c r="C80" s="91">
        <v>4</v>
      </c>
      <c r="D80" s="66">
        <v>1</v>
      </c>
      <c r="E80" s="66">
        <v>0</v>
      </c>
      <c r="F80" s="92">
        <v>0</v>
      </c>
      <c r="G80" s="66">
        <v>0</v>
      </c>
      <c r="H80" s="26">
        <f t="shared" si="10"/>
        <v>26</v>
      </c>
      <c r="I80" s="1"/>
      <c r="R80" s="4"/>
      <c r="S80" s="1"/>
    </row>
    <row r="81" spans="1:19" x14ac:dyDescent="0.25">
      <c r="A81" s="52" t="s">
        <v>133</v>
      </c>
      <c r="B81" s="93">
        <v>22</v>
      </c>
      <c r="C81" s="91">
        <v>4</v>
      </c>
      <c r="D81" s="93">
        <v>1</v>
      </c>
      <c r="E81" s="93">
        <v>0</v>
      </c>
      <c r="F81" s="92">
        <v>0</v>
      </c>
      <c r="G81" s="93">
        <v>0</v>
      </c>
      <c r="H81" s="26">
        <f t="shared" si="10"/>
        <v>27</v>
      </c>
      <c r="I81" s="1"/>
      <c r="R81" s="4"/>
      <c r="S81" s="1"/>
    </row>
    <row r="82" spans="1:19" x14ac:dyDescent="0.25">
      <c r="A82" s="73" t="s">
        <v>70</v>
      </c>
      <c r="B82" s="74">
        <f>SUM(B83:B94)</f>
        <v>129</v>
      </c>
      <c r="C82" s="74">
        <f t="shared" ref="C82:G82" si="12">SUM(C83:C94)</f>
        <v>727</v>
      </c>
      <c r="D82" s="74">
        <f t="shared" si="12"/>
        <v>892</v>
      </c>
      <c r="E82" s="74">
        <f t="shared" si="12"/>
        <v>52</v>
      </c>
      <c r="F82" s="74">
        <f t="shared" si="12"/>
        <v>13</v>
      </c>
      <c r="G82" s="74">
        <f t="shared" si="12"/>
        <v>0</v>
      </c>
      <c r="H82" s="75">
        <f t="shared" si="10"/>
        <v>1813</v>
      </c>
      <c r="I82" s="1"/>
      <c r="R82" s="4"/>
      <c r="S82" s="1"/>
    </row>
    <row r="83" spans="1:19" x14ac:dyDescent="0.25">
      <c r="A83" s="22" t="s">
        <v>84</v>
      </c>
      <c r="B83" s="11">
        <v>17</v>
      </c>
      <c r="C83" s="10">
        <v>0</v>
      </c>
      <c r="D83" s="11">
        <v>78</v>
      </c>
      <c r="E83" s="11">
        <v>7</v>
      </c>
      <c r="F83" s="10">
        <v>2</v>
      </c>
      <c r="G83" s="11">
        <v>0</v>
      </c>
      <c r="H83" s="108">
        <f t="shared" si="10"/>
        <v>104</v>
      </c>
      <c r="I83" s="1"/>
      <c r="R83" s="4"/>
      <c r="S83" s="1"/>
    </row>
    <row r="84" spans="1:19" x14ac:dyDescent="0.25">
      <c r="A84" s="22" t="s">
        <v>114</v>
      </c>
      <c r="B84" s="11">
        <v>16</v>
      </c>
      <c r="C84" s="10">
        <v>0</v>
      </c>
      <c r="D84" s="11">
        <v>79</v>
      </c>
      <c r="E84" s="11">
        <v>4</v>
      </c>
      <c r="F84" s="10">
        <v>2</v>
      </c>
      <c r="G84" s="11">
        <v>0</v>
      </c>
      <c r="H84" s="26">
        <f t="shared" si="10"/>
        <v>101</v>
      </c>
      <c r="I84" s="1"/>
      <c r="R84" s="4"/>
      <c r="S84" s="1"/>
    </row>
    <row r="85" spans="1:19" ht="14.25" customHeight="1" x14ac:dyDescent="0.25">
      <c r="A85" s="22" t="s">
        <v>61</v>
      </c>
      <c r="B85" s="11">
        <v>3</v>
      </c>
      <c r="C85" s="10">
        <v>43</v>
      </c>
      <c r="D85" s="11">
        <v>0</v>
      </c>
      <c r="E85" s="11">
        <v>3</v>
      </c>
      <c r="F85" s="10">
        <v>0</v>
      </c>
      <c r="G85" s="11">
        <v>0</v>
      </c>
      <c r="H85" s="26">
        <f t="shared" si="10"/>
        <v>49</v>
      </c>
      <c r="I85" s="1"/>
      <c r="R85" s="4"/>
      <c r="S85" s="1"/>
    </row>
    <row r="86" spans="1:19" x14ac:dyDescent="0.25">
      <c r="A86" s="22" t="s">
        <v>62</v>
      </c>
      <c r="B86" s="11">
        <v>16</v>
      </c>
      <c r="C86" s="10">
        <v>0</v>
      </c>
      <c r="D86" s="11">
        <v>169</v>
      </c>
      <c r="E86" s="11">
        <v>5</v>
      </c>
      <c r="F86" s="10">
        <v>3</v>
      </c>
      <c r="G86" s="11">
        <v>0</v>
      </c>
      <c r="H86" s="26">
        <f t="shared" si="10"/>
        <v>193</v>
      </c>
      <c r="I86" s="1"/>
      <c r="K86" s="133"/>
      <c r="L86" s="133"/>
      <c r="M86" s="133"/>
      <c r="R86" s="4"/>
      <c r="S86" s="1"/>
    </row>
    <row r="87" spans="1:19" x14ac:dyDescent="0.25">
      <c r="A87" s="22" t="s">
        <v>93</v>
      </c>
      <c r="B87" s="11">
        <v>0</v>
      </c>
      <c r="C87" s="10">
        <v>0</v>
      </c>
      <c r="D87" s="11">
        <v>0</v>
      </c>
      <c r="E87" s="11">
        <v>0</v>
      </c>
      <c r="F87" s="10">
        <v>0</v>
      </c>
      <c r="G87" s="11">
        <v>0</v>
      </c>
      <c r="H87" s="26">
        <f t="shared" si="10"/>
        <v>0</v>
      </c>
      <c r="I87" s="1"/>
      <c r="R87" s="4"/>
      <c r="S87" s="1"/>
    </row>
    <row r="88" spans="1:19" x14ac:dyDescent="0.25">
      <c r="A88" s="22" t="s">
        <v>94</v>
      </c>
      <c r="B88" s="11">
        <v>0</v>
      </c>
      <c r="C88" s="10">
        <v>0</v>
      </c>
      <c r="D88" s="11">
        <v>0</v>
      </c>
      <c r="E88" s="11">
        <v>0</v>
      </c>
      <c r="F88" s="10">
        <v>0</v>
      </c>
      <c r="G88" s="11">
        <v>0</v>
      </c>
      <c r="H88" s="33">
        <f t="shared" si="10"/>
        <v>0</v>
      </c>
      <c r="I88" s="1"/>
      <c r="R88" s="4"/>
      <c r="S88" s="1"/>
    </row>
    <row r="89" spans="1:19" x14ac:dyDescent="0.25">
      <c r="A89" s="81" t="s">
        <v>108</v>
      </c>
      <c r="B89" s="82">
        <v>70</v>
      </c>
      <c r="C89" s="83">
        <v>638</v>
      </c>
      <c r="D89" s="82">
        <v>379</v>
      </c>
      <c r="E89" s="82">
        <v>24</v>
      </c>
      <c r="F89" s="85">
        <v>2</v>
      </c>
      <c r="G89" s="82"/>
      <c r="H89" s="84">
        <f>SUM(B89:G89)</f>
        <v>1113</v>
      </c>
      <c r="I89" s="1"/>
      <c r="R89" s="4"/>
      <c r="S89" s="1"/>
    </row>
    <row r="90" spans="1:19" x14ac:dyDescent="0.25">
      <c r="A90" s="32" t="s">
        <v>63</v>
      </c>
      <c r="B90" s="31">
        <v>0</v>
      </c>
      <c r="C90" s="20">
        <v>0</v>
      </c>
      <c r="D90" s="31">
        <v>3</v>
      </c>
      <c r="E90" s="31">
        <v>0</v>
      </c>
      <c r="F90" s="20">
        <v>0</v>
      </c>
      <c r="G90" s="31">
        <v>0</v>
      </c>
      <c r="H90" s="26">
        <f t="shared" si="10"/>
        <v>3</v>
      </c>
      <c r="I90" s="1"/>
      <c r="R90" s="4"/>
      <c r="S90" s="1"/>
    </row>
    <row r="91" spans="1:19" x14ac:dyDescent="0.25">
      <c r="A91" s="22" t="s">
        <v>153</v>
      </c>
      <c r="B91" s="11">
        <v>0</v>
      </c>
      <c r="C91" s="10">
        <v>0</v>
      </c>
      <c r="D91" s="11">
        <v>4</v>
      </c>
      <c r="E91" s="11">
        <v>0</v>
      </c>
      <c r="F91" s="10">
        <v>0</v>
      </c>
      <c r="G91" s="11">
        <v>0</v>
      </c>
      <c r="H91" s="26">
        <f t="shared" si="10"/>
        <v>4</v>
      </c>
      <c r="I91" s="1"/>
      <c r="R91" s="4"/>
      <c r="S91" s="1"/>
    </row>
    <row r="92" spans="1:19" x14ac:dyDescent="0.25">
      <c r="A92" s="22" t="s">
        <v>107</v>
      </c>
      <c r="B92" s="11">
        <v>5</v>
      </c>
      <c r="C92" s="10">
        <v>46</v>
      </c>
      <c r="D92" s="11">
        <v>77</v>
      </c>
      <c r="E92" s="11">
        <v>5</v>
      </c>
      <c r="F92" s="10">
        <v>0</v>
      </c>
      <c r="G92" s="11">
        <v>0</v>
      </c>
      <c r="H92" s="26">
        <f t="shared" si="10"/>
        <v>133</v>
      </c>
      <c r="I92" s="1"/>
      <c r="R92" s="4"/>
      <c r="S92" s="1"/>
    </row>
    <row r="93" spans="1:19" x14ac:dyDescent="0.25">
      <c r="A93" s="22" t="s">
        <v>210</v>
      </c>
      <c r="B93" s="11">
        <v>0</v>
      </c>
      <c r="C93" s="10">
        <v>0</v>
      </c>
      <c r="D93" s="11">
        <v>103</v>
      </c>
      <c r="E93" s="11">
        <v>4</v>
      </c>
      <c r="F93" s="10">
        <v>4</v>
      </c>
      <c r="G93" s="11">
        <v>0</v>
      </c>
      <c r="H93" s="26">
        <f t="shared" si="10"/>
        <v>111</v>
      </c>
      <c r="I93" s="1"/>
      <c r="R93" s="4"/>
      <c r="S93" s="1"/>
    </row>
    <row r="94" spans="1:19" x14ac:dyDescent="0.25">
      <c r="A94" s="22" t="s">
        <v>182</v>
      </c>
      <c r="B94" s="11">
        <v>2</v>
      </c>
      <c r="C94" s="10">
        <v>0</v>
      </c>
      <c r="D94" s="11">
        <v>0</v>
      </c>
      <c r="E94" s="11">
        <v>0</v>
      </c>
      <c r="F94" s="10">
        <v>0</v>
      </c>
      <c r="G94" s="11">
        <v>0</v>
      </c>
      <c r="H94" s="26">
        <f t="shared" si="10"/>
        <v>2</v>
      </c>
      <c r="I94" s="1"/>
      <c r="R94" s="4"/>
      <c r="S94" s="1"/>
    </row>
    <row r="95" spans="1:19" x14ac:dyDescent="0.25">
      <c r="A95" s="73" t="s">
        <v>3</v>
      </c>
      <c r="B95" s="74">
        <f>SUM(B96:B155)</f>
        <v>1073</v>
      </c>
      <c r="C95" s="74">
        <f t="shared" ref="C95:G95" si="13">SUM(C96:C155)</f>
        <v>1061</v>
      </c>
      <c r="D95" s="74">
        <f t="shared" si="13"/>
        <v>2387</v>
      </c>
      <c r="E95" s="74">
        <f t="shared" si="13"/>
        <v>47</v>
      </c>
      <c r="F95" s="74">
        <f t="shared" si="13"/>
        <v>43</v>
      </c>
      <c r="G95" s="74">
        <f t="shared" si="13"/>
        <v>0</v>
      </c>
      <c r="H95" s="75">
        <f t="shared" si="10"/>
        <v>4611</v>
      </c>
      <c r="I95" s="1"/>
      <c r="R95" s="4"/>
      <c r="S95" s="1"/>
    </row>
    <row r="96" spans="1:19" x14ac:dyDescent="0.25">
      <c r="A96" s="7" t="s">
        <v>113</v>
      </c>
      <c r="B96" s="11">
        <v>78</v>
      </c>
      <c r="C96" s="11">
        <v>249</v>
      </c>
      <c r="D96" s="11">
        <v>275</v>
      </c>
      <c r="E96" s="11">
        <v>4</v>
      </c>
      <c r="F96" s="17">
        <v>5</v>
      </c>
      <c r="G96" s="11">
        <v>0</v>
      </c>
      <c r="H96" s="14">
        <f t="shared" si="10"/>
        <v>611</v>
      </c>
      <c r="I96" s="1"/>
      <c r="R96" s="4"/>
      <c r="S96" s="1"/>
    </row>
    <row r="97" spans="1:19" x14ac:dyDescent="0.25">
      <c r="A97" s="7" t="s">
        <v>112</v>
      </c>
      <c r="B97" s="11">
        <v>0</v>
      </c>
      <c r="C97" s="11">
        <v>0</v>
      </c>
      <c r="D97" s="11">
        <v>0</v>
      </c>
      <c r="E97" s="11">
        <v>0</v>
      </c>
      <c r="F97" s="17">
        <v>0</v>
      </c>
      <c r="G97" s="11">
        <v>0</v>
      </c>
      <c r="H97" s="27">
        <f t="shared" si="10"/>
        <v>0</v>
      </c>
      <c r="I97" s="1"/>
      <c r="R97" s="4"/>
      <c r="S97" s="1"/>
    </row>
    <row r="98" spans="1:19" x14ac:dyDescent="0.25">
      <c r="A98" s="7" t="s">
        <v>41</v>
      </c>
      <c r="B98" s="11">
        <v>1</v>
      </c>
      <c r="C98" s="11">
        <v>0</v>
      </c>
      <c r="D98" s="11">
        <v>0</v>
      </c>
      <c r="E98" s="11">
        <v>0</v>
      </c>
      <c r="F98" s="17">
        <v>0</v>
      </c>
      <c r="G98" s="11">
        <v>0</v>
      </c>
      <c r="H98" s="27">
        <f t="shared" si="10"/>
        <v>1</v>
      </c>
      <c r="I98" s="1"/>
      <c r="R98" s="4"/>
      <c r="S98" s="1"/>
    </row>
    <row r="99" spans="1:19" x14ac:dyDescent="0.25">
      <c r="A99" s="7" t="s">
        <v>192</v>
      </c>
      <c r="B99" s="11">
        <v>1</v>
      </c>
      <c r="C99" s="11">
        <v>0</v>
      </c>
      <c r="D99" s="11">
        <v>0</v>
      </c>
      <c r="E99" s="11">
        <v>0</v>
      </c>
      <c r="F99" s="17">
        <v>0</v>
      </c>
      <c r="G99" s="11">
        <v>0</v>
      </c>
      <c r="H99" s="27">
        <f t="shared" si="10"/>
        <v>1</v>
      </c>
      <c r="I99" s="1"/>
      <c r="R99" s="4"/>
      <c r="S99" s="1"/>
    </row>
    <row r="100" spans="1:19" x14ac:dyDescent="0.25">
      <c r="A100" s="7" t="s">
        <v>213</v>
      </c>
      <c r="B100" s="11">
        <v>9</v>
      </c>
      <c r="C100" s="11">
        <v>0</v>
      </c>
      <c r="D100" s="11">
        <v>12</v>
      </c>
      <c r="E100" s="11">
        <v>0</v>
      </c>
      <c r="F100" s="17">
        <v>0</v>
      </c>
      <c r="G100" s="11">
        <v>0</v>
      </c>
      <c r="H100" s="27">
        <f t="shared" si="10"/>
        <v>21</v>
      </c>
      <c r="I100" s="1"/>
      <c r="R100" s="4"/>
      <c r="S100" s="1"/>
    </row>
    <row r="101" spans="1:19" x14ac:dyDescent="0.25">
      <c r="A101" s="7" t="s">
        <v>214</v>
      </c>
      <c r="B101" s="11">
        <v>9</v>
      </c>
      <c r="C101" s="11">
        <v>0</v>
      </c>
      <c r="D101" s="11">
        <v>12</v>
      </c>
      <c r="E101" s="11">
        <v>0</v>
      </c>
      <c r="F101" s="17">
        <v>0</v>
      </c>
      <c r="G101" s="11">
        <v>0</v>
      </c>
      <c r="H101" s="27">
        <f t="shared" si="10"/>
        <v>21</v>
      </c>
      <c r="I101" s="1"/>
      <c r="R101" s="4"/>
      <c r="S101" s="1"/>
    </row>
    <row r="102" spans="1:19" x14ac:dyDescent="0.25">
      <c r="A102" s="7" t="s">
        <v>215</v>
      </c>
      <c r="B102" s="11">
        <v>5</v>
      </c>
      <c r="C102" s="11">
        <v>0</v>
      </c>
      <c r="D102" s="11">
        <v>16</v>
      </c>
      <c r="E102" s="11">
        <v>0</v>
      </c>
      <c r="F102" s="17">
        <v>0</v>
      </c>
      <c r="G102" s="11">
        <v>0</v>
      </c>
      <c r="H102" s="27">
        <f t="shared" si="10"/>
        <v>21</v>
      </c>
      <c r="I102" s="1"/>
      <c r="R102" s="4"/>
      <c r="S102" s="1"/>
    </row>
    <row r="103" spans="1:19" x14ac:dyDescent="0.25">
      <c r="A103" s="7" t="s">
        <v>219</v>
      </c>
      <c r="B103" s="11">
        <v>0</v>
      </c>
      <c r="C103" s="11">
        <v>0</v>
      </c>
      <c r="D103" s="11">
        <v>5</v>
      </c>
      <c r="E103" s="11">
        <v>0</v>
      </c>
      <c r="F103" s="17">
        <v>0</v>
      </c>
      <c r="G103" s="11">
        <v>0</v>
      </c>
      <c r="H103" s="27">
        <f t="shared" si="10"/>
        <v>5</v>
      </c>
      <c r="I103" s="1"/>
      <c r="R103" s="4"/>
      <c r="S103" s="1"/>
    </row>
    <row r="104" spans="1:19" x14ac:dyDescent="0.25">
      <c r="A104" s="7" t="s">
        <v>220</v>
      </c>
      <c r="B104" s="11">
        <v>1</v>
      </c>
      <c r="C104" s="11">
        <v>2</v>
      </c>
      <c r="D104" s="11">
        <v>8</v>
      </c>
      <c r="E104" s="11">
        <v>0</v>
      </c>
      <c r="F104" s="17">
        <v>0</v>
      </c>
      <c r="G104" s="11">
        <v>0</v>
      </c>
      <c r="H104" s="27">
        <f t="shared" si="10"/>
        <v>11</v>
      </c>
      <c r="I104" s="1"/>
      <c r="R104" s="4"/>
      <c r="S104" s="1"/>
    </row>
    <row r="105" spans="1:19" x14ac:dyDescent="0.25">
      <c r="A105" s="7" t="s">
        <v>216</v>
      </c>
      <c r="B105" s="11">
        <v>0</v>
      </c>
      <c r="C105" s="11">
        <v>0</v>
      </c>
      <c r="D105" s="11">
        <v>0</v>
      </c>
      <c r="E105" s="11">
        <v>0</v>
      </c>
      <c r="F105" s="17">
        <v>0</v>
      </c>
      <c r="G105" s="11">
        <v>0</v>
      </c>
      <c r="H105" s="27">
        <f t="shared" si="10"/>
        <v>0</v>
      </c>
      <c r="I105" s="1"/>
      <c r="R105" s="4"/>
      <c r="S105" s="1"/>
    </row>
    <row r="106" spans="1:19" x14ac:dyDescent="0.25">
      <c r="A106" s="7" t="s">
        <v>174</v>
      </c>
      <c r="B106" s="11">
        <v>0</v>
      </c>
      <c r="C106" s="11">
        <v>0</v>
      </c>
      <c r="D106" s="11">
        <v>5</v>
      </c>
      <c r="E106" s="11">
        <v>0</v>
      </c>
      <c r="F106" s="17">
        <v>0</v>
      </c>
      <c r="G106" s="11">
        <v>0</v>
      </c>
      <c r="H106" s="27">
        <f t="shared" si="10"/>
        <v>5</v>
      </c>
      <c r="I106" s="1"/>
      <c r="R106" s="4"/>
      <c r="S106" s="1"/>
    </row>
    <row r="107" spans="1:19" x14ac:dyDescent="0.25">
      <c r="A107" s="7" t="s">
        <v>175</v>
      </c>
      <c r="B107" s="11">
        <v>0</v>
      </c>
      <c r="C107" s="11">
        <v>0</v>
      </c>
      <c r="D107" s="11">
        <v>5</v>
      </c>
      <c r="E107" s="19">
        <v>0</v>
      </c>
      <c r="F107" s="17">
        <v>0</v>
      </c>
      <c r="G107" s="11">
        <v>0</v>
      </c>
      <c r="H107" s="27">
        <f t="shared" si="10"/>
        <v>5</v>
      </c>
      <c r="I107" s="1"/>
      <c r="R107" s="4"/>
      <c r="S107" s="1"/>
    </row>
    <row r="108" spans="1:19" x14ac:dyDescent="0.25">
      <c r="A108" s="143">
        <v>0</v>
      </c>
      <c r="B108" s="143"/>
      <c r="C108" s="143"/>
      <c r="D108" s="143"/>
      <c r="E108" s="143"/>
      <c r="F108" s="143"/>
      <c r="G108" s="143"/>
      <c r="H108" s="143"/>
      <c r="I108" s="1"/>
      <c r="R108" s="4"/>
      <c r="S108" s="1"/>
    </row>
    <row r="109" spans="1:19" x14ac:dyDescent="0.25">
      <c r="A109" s="7" t="s">
        <v>123</v>
      </c>
      <c r="B109" s="11">
        <v>0</v>
      </c>
      <c r="C109" s="11">
        <v>258</v>
      </c>
      <c r="D109" s="11">
        <v>22</v>
      </c>
      <c r="E109" s="11">
        <v>0</v>
      </c>
      <c r="F109" s="11">
        <v>0</v>
      </c>
      <c r="G109" s="11">
        <v>0</v>
      </c>
      <c r="H109" s="28">
        <f t="shared" si="10"/>
        <v>280</v>
      </c>
      <c r="I109" s="1"/>
      <c r="J109" s="133"/>
      <c r="K109" s="133"/>
      <c r="R109" s="4"/>
      <c r="S109" s="1"/>
    </row>
    <row r="110" spans="1:19" x14ac:dyDescent="0.25">
      <c r="A110" s="7" t="s">
        <v>122</v>
      </c>
      <c r="B110" s="11">
        <v>0</v>
      </c>
      <c r="C110" s="11">
        <v>246</v>
      </c>
      <c r="D110" s="10">
        <v>31</v>
      </c>
      <c r="E110" s="11">
        <v>0</v>
      </c>
      <c r="F110" s="11">
        <v>0</v>
      </c>
      <c r="G110" s="11">
        <v>0</v>
      </c>
      <c r="H110" s="14">
        <f t="shared" si="10"/>
        <v>277</v>
      </c>
      <c r="I110" s="1"/>
      <c r="J110" s="133"/>
      <c r="K110" s="133"/>
      <c r="R110" s="4"/>
      <c r="S110" s="1"/>
    </row>
    <row r="111" spans="1:19" x14ac:dyDescent="0.25">
      <c r="A111" s="7" t="s">
        <v>121</v>
      </c>
      <c r="B111" s="11">
        <v>6</v>
      </c>
      <c r="C111" s="11">
        <v>50</v>
      </c>
      <c r="D111" s="11">
        <v>30</v>
      </c>
      <c r="E111" s="11">
        <v>0</v>
      </c>
      <c r="F111" s="11">
        <v>0</v>
      </c>
      <c r="G111" s="11">
        <v>0</v>
      </c>
      <c r="H111" s="14">
        <f t="shared" si="10"/>
        <v>86</v>
      </c>
      <c r="I111" s="1"/>
      <c r="R111" s="4"/>
      <c r="S111" s="1"/>
    </row>
    <row r="112" spans="1:19" x14ac:dyDescent="0.25">
      <c r="A112" s="7" t="s">
        <v>120</v>
      </c>
      <c r="B112" s="11">
        <v>0</v>
      </c>
      <c r="C112" s="11">
        <v>39</v>
      </c>
      <c r="D112" s="11">
        <v>21</v>
      </c>
      <c r="E112" s="11">
        <v>0</v>
      </c>
      <c r="F112" s="11">
        <v>0</v>
      </c>
      <c r="G112" s="11">
        <v>0</v>
      </c>
      <c r="H112" s="14">
        <f t="shared" si="10"/>
        <v>60</v>
      </c>
      <c r="I112" s="1"/>
      <c r="R112" s="4"/>
      <c r="S112" s="1"/>
    </row>
    <row r="113" spans="1:19" x14ac:dyDescent="0.25">
      <c r="A113" s="7" t="s">
        <v>124</v>
      </c>
      <c r="B113" s="11">
        <v>19</v>
      </c>
      <c r="C113" s="11">
        <v>0</v>
      </c>
      <c r="D113" s="11">
        <v>12</v>
      </c>
      <c r="E113" s="11">
        <v>0</v>
      </c>
      <c r="F113" s="11">
        <v>0</v>
      </c>
      <c r="G113" s="11">
        <v>0</v>
      </c>
      <c r="H113" s="14">
        <f t="shared" si="10"/>
        <v>31</v>
      </c>
      <c r="I113" s="1"/>
      <c r="R113" s="4"/>
      <c r="S113" s="1"/>
    </row>
    <row r="114" spans="1:19" x14ac:dyDescent="0.25">
      <c r="A114" s="7" t="s">
        <v>48</v>
      </c>
      <c r="B114" s="11">
        <v>0</v>
      </c>
      <c r="C114" s="11">
        <v>0</v>
      </c>
      <c r="D114" s="11">
        <v>0</v>
      </c>
      <c r="E114" s="11">
        <v>0</v>
      </c>
      <c r="F114" s="11">
        <v>0</v>
      </c>
      <c r="G114" s="11">
        <v>0</v>
      </c>
      <c r="H114" s="14">
        <f>SUM(B114:G114)</f>
        <v>0</v>
      </c>
      <c r="I114" s="1"/>
      <c r="R114" s="4"/>
      <c r="S114" s="1"/>
    </row>
    <row r="115" spans="1:19" x14ac:dyDescent="0.25">
      <c r="A115" s="162" t="s">
        <v>110</v>
      </c>
      <c r="B115" s="163"/>
      <c r="C115" s="163"/>
      <c r="D115" s="163"/>
      <c r="E115" s="163"/>
      <c r="F115" s="163"/>
      <c r="G115" s="163"/>
      <c r="H115" s="142"/>
      <c r="I115" s="1"/>
      <c r="R115" s="4"/>
      <c r="S115" s="1"/>
    </row>
    <row r="116" spans="1:19" x14ac:dyDescent="0.25">
      <c r="A116" s="32" t="s">
        <v>111</v>
      </c>
      <c r="B116" s="31">
        <v>84</v>
      </c>
      <c r="C116" s="20">
        <v>15</v>
      </c>
      <c r="D116" s="31">
        <v>297</v>
      </c>
      <c r="E116" s="20">
        <v>4</v>
      </c>
      <c r="F116" s="31">
        <v>6</v>
      </c>
      <c r="G116" s="31">
        <v>0</v>
      </c>
      <c r="H116" s="26">
        <f t="shared" ref="H116:H149" si="14">SUM(B116:G116)</f>
        <v>406</v>
      </c>
      <c r="I116" s="1"/>
      <c r="R116" s="4"/>
      <c r="S116" s="1"/>
    </row>
    <row r="117" spans="1:19" x14ac:dyDescent="0.25">
      <c r="A117" s="22" t="s">
        <v>158</v>
      </c>
      <c r="B117" s="11">
        <v>88</v>
      </c>
      <c r="C117" s="10">
        <v>8</v>
      </c>
      <c r="D117" s="11">
        <v>323</v>
      </c>
      <c r="E117" s="10">
        <v>2</v>
      </c>
      <c r="F117" s="11">
        <v>6</v>
      </c>
      <c r="G117" s="11">
        <v>0</v>
      </c>
      <c r="H117" s="26">
        <f t="shared" si="14"/>
        <v>427</v>
      </c>
      <c r="I117" s="1"/>
      <c r="R117" s="4"/>
      <c r="S117" s="1"/>
    </row>
    <row r="118" spans="1:19" x14ac:dyDescent="0.25">
      <c r="A118" s="22" t="s">
        <v>156</v>
      </c>
      <c r="B118" s="11">
        <v>71</v>
      </c>
      <c r="C118" s="10">
        <v>0</v>
      </c>
      <c r="D118" s="11">
        <v>131</v>
      </c>
      <c r="E118" s="10">
        <v>1</v>
      </c>
      <c r="F118" s="11">
        <v>4</v>
      </c>
      <c r="G118" s="11">
        <v>0</v>
      </c>
      <c r="H118" s="26">
        <f t="shared" si="14"/>
        <v>207</v>
      </c>
      <c r="I118" s="1"/>
      <c r="R118" s="4"/>
      <c r="S118" s="1"/>
    </row>
    <row r="119" spans="1:19" x14ac:dyDescent="0.25">
      <c r="A119" s="22" t="s">
        <v>187</v>
      </c>
      <c r="B119" s="11">
        <v>0</v>
      </c>
      <c r="C119" s="10">
        <v>0</v>
      </c>
      <c r="D119" s="11">
        <v>0</v>
      </c>
      <c r="E119" s="10">
        <v>0</v>
      </c>
      <c r="F119" s="11">
        <v>0</v>
      </c>
      <c r="G119" s="11">
        <v>0</v>
      </c>
      <c r="H119" s="26">
        <f t="shared" si="14"/>
        <v>0</v>
      </c>
      <c r="I119" s="1"/>
      <c r="R119" s="4"/>
      <c r="S119" s="1"/>
    </row>
    <row r="120" spans="1:19" x14ac:dyDescent="0.25">
      <c r="A120" s="22" t="s">
        <v>157</v>
      </c>
      <c r="B120" s="11">
        <v>69</v>
      </c>
      <c r="C120" s="10">
        <v>0</v>
      </c>
      <c r="D120" s="11">
        <v>171</v>
      </c>
      <c r="E120" s="10">
        <v>1</v>
      </c>
      <c r="F120" s="11">
        <v>6</v>
      </c>
      <c r="G120" s="11">
        <v>0</v>
      </c>
      <c r="H120" s="26">
        <f t="shared" si="14"/>
        <v>247</v>
      </c>
      <c r="I120" s="1"/>
      <c r="R120" s="4"/>
      <c r="S120" s="1"/>
    </row>
    <row r="121" spans="1:19" x14ac:dyDescent="0.25">
      <c r="A121" s="22" t="s">
        <v>125</v>
      </c>
      <c r="B121" s="11">
        <v>43</v>
      </c>
      <c r="C121" s="10">
        <v>8</v>
      </c>
      <c r="D121" s="11">
        <v>40</v>
      </c>
      <c r="E121" s="10">
        <v>0</v>
      </c>
      <c r="F121" s="11">
        <v>1</v>
      </c>
      <c r="G121" s="11">
        <v>0</v>
      </c>
      <c r="H121" s="26">
        <f t="shared" si="14"/>
        <v>92</v>
      </c>
      <c r="I121" s="1"/>
      <c r="R121" s="4"/>
      <c r="S121" s="1"/>
    </row>
    <row r="122" spans="1:19" x14ac:dyDescent="0.25">
      <c r="A122" s="22" t="s">
        <v>126</v>
      </c>
      <c r="B122" s="11">
        <v>39</v>
      </c>
      <c r="C122" s="10">
        <v>4</v>
      </c>
      <c r="D122" s="11">
        <v>37</v>
      </c>
      <c r="E122" s="10">
        <v>0</v>
      </c>
      <c r="F122" s="11">
        <v>1</v>
      </c>
      <c r="G122" s="11">
        <v>0</v>
      </c>
      <c r="H122" s="26">
        <f t="shared" si="14"/>
        <v>81</v>
      </c>
      <c r="I122" s="1"/>
      <c r="R122" s="4"/>
      <c r="S122" s="1"/>
    </row>
    <row r="123" spans="1:19" x14ac:dyDescent="0.25">
      <c r="A123" s="22" t="s">
        <v>103</v>
      </c>
      <c r="B123" s="11">
        <v>7</v>
      </c>
      <c r="C123" s="10">
        <v>0</v>
      </c>
      <c r="D123" s="11">
        <v>12</v>
      </c>
      <c r="E123" s="10">
        <v>0</v>
      </c>
      <c r="F123" s="11">
        <v>0</v>
      </c>
      <c r="G123" s="11">
        <v>0</v>
      </c>
      <c r="H123" s="26">
        <f t="shared" si="14"/>
        <v>19</v>
      </c>
      <c r="I123" s="1"/>
      <c r="R123" s="4"/>
      <c r="S123" s="1"/>
    </row>
    <row r="124" spans="1:19" x14ac:dyDescent="0.25">
      <c r="A124" s="22" t="s">
        <v>127</v>
      </c>
      <c r="B124" s="11">
        <v>39</v>
      </c>
      <c r="C124" s="10">
        <v>5</v>
      </c>
      <c r="D124" s="11">
        <v>31</v>
      </c>
      <c r="E124" s="10">
        <v>0</v>
      </c>
      <c r="F124" s="11">
        <v>1</v>
      </c>
      <c r="G124" s="11">
        <v>0</v>
      </c>
      <c r="H124" s="26">
        <f t="shared" si="14"/>
        <v>76</v>
      </c>
      <c r="I124" s="1"/>
      <c r="R124" s="4"/>
      <c r="S124" s="1"/>
    </row>
    <row r="125" spans="1:19" x14ac:dyDescent="0.25">
      <c r="A125" s="22" t="s">
        <v>128</v>
      </c>
      <c r="B125" s="11">
        <v>26</v>
      </c>
      <c r="C125" s="10">
        <v>0</v>
      </c>
      <c r="D125" s="11">
        <v>26</v>
      </c>
      <c r="E125" s="10">
        <v>1</v>
      </c>
      <c r="F125" s="11">
        <v>0</v>
      </c>
      <c r="G125" s="11">
        <v>0</v>
      </c>
      <c r="H125" s="26">
        <f t="shared" si="14"/>
        <v>53</v>
      </c>
      <c r="I125" s="1"/>
      <c r="R125" s="4"/>
      <c r="S125" s="1"/>
    </row>
    <row r="126" spans="1:19" x14ac:dyDescent="0.25">
      <c r="A126" s="22" t="s">
        <v>129</v>
      </c>
      <c r="B126" s="11">
        <v>28</v>
      </c>
      <c r="C126" s="10">
        <v>0</v>
      </c>
      <c r="D126" s="11">
        <v>28</v>
      </c>
      <c r="E126" s="10">
        <v>0</v>
      </c>
      <c r="F126" s="11">
        <v>0</v>
      </c>
      <c r="G126" s="11">
        <v>0</v>
      </c>
      <c r="H126" s="26">
        <f t="shared" si="14"/>
        <v>56</v>
      </c>
      <c r="I126" s="1"/>
      <c r="R126" s="4"/>
      <c r="S126" s="1"/>
    </row>
    <row r="127" spans="1:19" x14ac:dyDescent="0.25">
      <c r="A127" s="22" t="s">
        <v>44</v>
      </c>
      <c r="B127" s="11">
        <v>28</v>
      </c>
      <c r="C127" s="10">
        <v>9</v>
      </c>
      <c r="D127" s="11">
        <v>78</v>
      </c>
      <c r="E127" s="10">
        <v>6</v>
      </c>
      <c r="F127" s="11">
        <v>2</v>
      </c>
      <c r="G127" s="11">
        <v>0</v>
      </c>
      <c r="H127" s="26">
        <f t="shared" si="14"/>
        <v>123</v>
      </c>
      <c r="I127" s="1"/>
      <c r="R127" s="4"/>
      <c r="S127" s="1"/>
    </row>
    <row r="128" spans="1:19" x14ac:dyDescent="0.25">
      <c r="A128" s="22" t="s">
        <v>92</v>
      </c>
      <c r="B128" s="11">
        <v>19</v>
      </c>
      <c r="C128" s="10">
        <v>5</v>
      </c>
      <c r="D128" s="11">
        <v>69</v>
      </c>
      <c r="E128" s="10">
        <v>4</v>
      </c>
      <c r="F128" s="11">
        <v>2</v>
      </c>
      <c r="G128" s="11">
        <v>0</v>
      </c>
      <c r="H128" s="26">
        <f t="shared" si="14"/>
        <v>99</v>
      </c>
      <c r="I128" s="1"/>
      <c r="R128" s="4"/>
      <c r="S128" s="1"/>
    </row>
    <row r="129" spans="1:19" x14ac:dyDescent="0.25">
      <c r="A129" s="22" t="s">
        <v>45</v>
      </c>
      <c r="B129" s="11">
        <v>22</v>
      </c>
      <c r="C129" s="10">
        <v>0</v>
      </c>
      <c r="D129" s="11">
        <v>12</v>
      </c>
      <c r="E129" s="10">
        <v>1</v>
      </c>
      <c r="F129" s="11">
        <v>0</v>
      </c>
      <c r="G129" s="11">
        <v>0</v>
      </c>
      <c r="H129" s="26">
        <f t="shared" si="14"/>
        <v>35</v>
      </c>
      <c r="I129" s="1"/>
      <c r="R129" s="4"/>
      <c r="S129" s="1"/>
    </row>
    <row r="130" spans="1:19" x14ac:dyDescent="0.25">
      <c r="A130" s="22" t="s">
        <v>99</v>
      </c>
      <c r="B130" s="11">
        <v>63</v>
      </c>
      <c r="C130" s="10">
        <v>42</v>
      </c>
      <c r="D130" s="11">
        <v>6</v>
      </c>
      <c r="E130" s="10">
        <v>0</v>
      </c>
      <c r="F130" s="11">
        <v>0</v>
      </c>
      <c r="G130" s="11">
        <v>0</v>
      </c>
      <c r="H130" s="26">
        <f t="shared" si="14"/>
        <v>111</v>
      </c>
      <c r="I130" s="1"/>
      <c r="R130" s="4"/>
      <c r="S130" s="1"/>
    </row>
    <row r="131" spans="1:19" ht="15.75" customHeight="1" x14ac:dyDescent="0.25">
      <c r="A131" s="22" t="s">
        <v>100</v>
      </c>
      <c r="B131" s="11">
        <v>0</v>
      </c>
      <c r="C131" s="10">
        <v>0</v>
      </c>
      <c r="D131" s="11">
        <v>10</v>
      </c>
      <c r="E131" s="10">
        <v>0</v>
      </c>
      <c r="F131" s="11">
        <v>0</v>
      </c>
      <c r="G131" s="11">
        <v>0</v>
      </c>
      <c r="H131" s="26">
        <f t="shared" si="14"/>
        <v>10</v>
      </c>
      <c r="I131" s="1"/>
      <c r="R131" s="4"/>
      <c r="S131" s="1"/>
    </row>
    <row r="132" spans="1:19" x14ac:dyDescent="0.25">
      <c r="A132" s="22" t="s">
        <v>46</v>
      </c>
      <c r="B132" s="11">
        <v>6</v>
      </c>
      <c r="C132" s="10">
        <v>0</v>
      </c>
      <c r="D132" s="11">
        <v>16</v>
      </c>
      <c r="E132" s="10">
        <v>1</v>
      </c>
      <c r="F132" s="11">
        <v>0</v>
      </c>
      <c r="G132" s="11">
        <v>0</v>
      </c>
      <c r="H132" s="26">
        <f t="shared" si="14"/>
        <v>23</v>
      </c>
      <c r="I132" s="1"/>
      <c r="R132" s="4"/>
      <c r="S132" s="1"/>
    </row>
    <row r="133" spans="1:19" x14ac:dyDescent="0.25">
      <c r="A133" s="22" t="s">
        <v>47</v>
      </c>
      <c r="B133" s="11">
        <v>0</v>
      </c>
      <c r="C133" s="10">
        <v>0</v>
      </c>
      <c r="D133" s="11">
        <v>0</v>
      </c>
      <c r="E133" s="10">
        <v>0</v>
      </c>
      <c r="F133" s="11">
        <v>0</v>
      </c>
      <c r="G133" s="11">
        <v>0</v>
      </c>
      <c r="H133" s="26">
        <f t="shared" si="14"/>
        <v>0</v>
      </c>
      <c r="I133" s="1"/>
      <c r="R133" s="4"/>
      <c r="S133" s="1"/>
    </row>
    <row r="134" spans="1:19" x14ac:dyDescent="0.25">
      <c r="A134" s="22" t="s">
        <v>53</v>
      </c>
      <c r="B134" s="11">
        <v>0</v>
      </c>
      <c r="C134" s="10">
        <v>0</v>
      </c>
      <c r="D134" s="11">
        <v>0</v>
      </c>
      <c r="E134" s="10">
        <v>0</v>
      </c>
      <c r="F134" s="11">
        <v>0</v>
      </c>
      <c r="G134" s="11">
        <v>0</v>
      </c>
      <c r="H134" s="26">
        <f t="shared" si="14"/>
        <v>0</v>
      </c>
      <c r="I134" s="1"/>
      <c r="R134" s="4"/>
      <c r="S134" s="1"/>
    </row>
    <row r="135" spans="1:19" x14ac:dyDescent="0.25">
      <c r="A135" s="22" t="s">
        <v>134</v>
      </c>
      <c r="B135" s="11">
        <v>48</v>
      </c>
      <c r="C135" s="10">
        <v>10</v>
      </c>
      <c r="D135" s="11">
        <v>155</v>
      </c>
      <c r="E135" s="10">
        <v>6</v>
      </c>
      <c r="F135" s="11">
        <v>2</v>
      </c>
      <c r="G135" s="11">
        <v>0</v>
      </c>
      <c r="H135" s="26">
        <f t="shared" si="14"/>
        <v>221</v>
      </c>
      <c r="I135" s="1"/>
      <c r="R135" s="4"/>
      <c r="S135" s="1"/>
    </row>
    <row r="136" spans="1:19" x14ac:dyDescent="0.25">
      <c r="A136" s="22" t="s">
        <v>135</v>
      </c>
      <c r="B136" s="11">
        <v>60</v>
      </c>
      <c r="C136" s="10">
        <v>10</v>
      </c>
      <c r="D136" s="11">
        <v>180</v>
      </c>
      <c r="E136" s="10">
        <v>6</v>
      </c>
      <c r="F136" s="11">
        <v>3</v>
      </c>
      <c r="G136" s="11">
        <v>0</v>
      </c>
      <c r="H136" s="26">
        <f t="shared" si="14"/>
        <v>259</v>
      </c>
      <c r="I136" s="1"/>
      <c r="R136" s="4"/>
      <c r="S136" s="1"/>
    </row>
    <row r="137" spans="1:19" x14ac:dyDescent="0.25">
      <c r="A137" s="22" t="s">
        <v>49</v>
      </c>
      <c r="B137" s="11">
        <v>60</v>
      </c>
      <c r="C137" s="10">
        <v>12</v>
      </c>
      <c r="D137" s="11">
        <v>186</v>
      </c>
      <c r="E137" s="10">
        <v>7</v>
      </c>
      <c r="F137" s="11">
        <v>3</v>
      </c>
      <c r="G137" s="11">
        <v>0</v>
      </c>
      <c r="H137" s="33">
        <f t="shared" si="14"/>
        <v>268</v>
      </c>
      <c r="I137" s="1"/>
      <c r="R137" s="4"/>
      <c r="S137" s="1"/>
    </row>
    <row r="138" spans="1:19" x14ac:dyDescent="0.25">
      <c r="A138" s="22" t="s">
        <v>189</v>
      </c>
      <c r="B138" s="11">
        <v>0</v>
      </c>
      <c r="C138" s="10">
        <v>0</v>
      </c>
      <c r="D138" s="11">
        <v>0</v>
      </c>
      <c r="E138" s="10">
        <v>0</v>
      </c>
      <c r="F138" s="11">
        <v>0</v>
      </c>
      <c r="G138" s="11">
        <v>0</v>
      </c>
      <c r="H138" s="33">
        <f t="shared" si="14"/>
        <v>0</v>
      </c>
      <c r="I138" s="1"/>
      <c r="R138" s="4"/>
      <c r="S138" s="1"/>
    </row>
    <row r="139" spans="1:19" x14ac:dyDescent="0.25">
      <c r="A139" s="22" t="s">
        <v>50</v>
      </c>
      <c r="B139" s="11">
        <v>18</v>
      </c>
      <c r="C139" s="10">
        <v>51</v>
      </c>
      <c r="D139" s="11">
        <v>0</v>
      </c>
      <c r="E139" s="10">
        <v>0</v>
      </c>
      <c r="F139" s="11">
        <v>0</v>
      </c>
      <c r="G139" s="11">
        <v>0</v>
      </c>
      <c r="H139" s="26">
        <f t="shared" si="14"/>
        <v>69</v>
      </c>
      <c r="I139" s="1"/>
      <c r="R139" s="4"/>
      <c r="S139" s="1"/>
    </row>
    <row r="140" spans="1:19" x14ac:dyDescent="0.25">
      <c r="A140" s="22" t="s">
        <v>104</v>
      </c>
      <c r="B140" s="11">
        <v>15</v>
      </c>
      <c r="C140" s="10">
        <v>4</v>
      </c>
      <c r="D140" s="11">
        <v>8</v>
      </c>
      <c r="E140" s="10">
        <v>1</v>
      </c>
      <c r="F140" s="11">
        <v>0</v>
      </c>
      <c r="G140" s="11">
        <v>0</v>
      </c>
      <c r="H140" s="26">
        <f t="shared" si="14"/>
        <v>28</v>
      </c>
      <c r="I140" s="1"/>
      <c r="R140" s="6"/>
      <c r="S140" s="1"/>
    </row>
    <row r="141" spans="1:19" x14ac:dyDescent="0.25">
      <c r="A141" s="22" t="s">
        <v>51</v>
      </c>
      <c r="B141" s="11">
        <v>10</v>
      </c>
      <c r="C141" s="10">
        <v>3</v>
      </c>
      <c r="D141" s="11">
        <v>4</v>
      </c>
      <c r="E141" s="10">
        <v>0</v>
      </c>
      <c r="F141" s="11">
        <v>0</v>
      </c>
      <c r="G141" s="11">
        <v>0</v>
      </c>
      <c r="H141" s="26">
        <f t="shared" si="14"/>
        <v>17</v>
      </c>
    </row>
    <row r="142" spans="1:19" x14ac:dyDescent="0.25">
      <c r="A142" s="22" t="s">
        <v>52</v>
      </c>
      <c r="B142" s="11">
        <v>18</v>
      </c>
      <c r="C142" s="10">
        <v>8</v>
      </c>
      <c r="D142" s="11">
        <v>12</v>
      </c>
      <c r="E142" s="10">
        <v>0</v>
      </c>
      <c r="F142" s="11">
        <v>0</v>
      </c>
      <c r="G142" s="11">
        <v>0</v>
      </c>
      <c r="H142" s="26">
        <f t="shared" si="14"/>
        <v>38</v>
      </c>
    </row>
    <row r="143" spans="1:19" x14ac:dyDescent="0.25">
      <c r="A143" s="22" t="s">
        <v>115</v>
      </c>
      <c r="B143" s="11">
        <v>10</v>
      </c>
      <c r="C143" s="10">
        <v>0</v>
      </c>
      <c r="D143" s="11">
        <v>6</v>
      </c>
      <c r="E143" s="10">
        <v>0</v>
      </c>
      <c r="F143" s="11">
        <v>0</v>
      </c>
      <c r="G143" s="11">
        <v>0</v>
      </c>
      <c r="H143" s="26">
        <f t="shared" si="14"/>
        <v>16</v>
      </c>
    </row>
    <row r="144" spans="1:19" x14ac:dyDescent="0.25">
      <c r="A144" s="22" t="s">
        <v>116</v>
      </c>
      <c r="B144" s="11">
        <v>8</v>
      </c>
      <c r="C144" s="10">
        <v>6</v>
      </c>
      <c r="D144" s="11">
        <v>8</v>
      </c>
      <c r="E144" s="10">
        <v>0</v>
      </c>
      <c r="F144" s="11">
        <v>0</v>
      </c>
      <c r="G144" s="11">
        <v>0</v>
      </c>
      <c r="H144" s="26">
        <f t="shared" si="14"/>
        <v>22</v>
      </c>
    </row>
    <row r="145" spans="1:13" x14ac:dyDescent="0.25">
      <c r="A145" s="22" t="s">
        <v>102</v>
      </c>
      <c r="B145" s="11">
        <v>12</v>
      </c>
      <c r="C145" s="10">
        <v>6</v>
      </c>
      <c r="D145" s="11">
        <v>12</v>
      </c>
      <c r="E145" s="10">
        <v>1</v>
      </c>
      <c r="F145" s="11">
        <v>0</v>
      </c>
      <c r="G145" s="11">
        <v>0</v>
      </c>
      <c r="H145" s="26">
        <f t="shared" si="14"/>
        <v>31</v>
      </c>
    </row>
    <row r="146" spans="1:13" x14ac:dyDescent="0.25">
      <c r="A146" s="22" t="s">
        <v>203</v>
      </c>
      <c r="B146" s="11">
        <v>0</v>
      </c>
      <c r="C146" s="10">
        <v>0</v>
      </c>
      <c r="D146" s="11">
        <v>0</v>
      </c>
      <c r="E146" s="10">
        <v>0</v>
      </c>
      <c r="F146" s="11">
        <v>0</v>
      </c>
      <c r="G146" s="11">
        <v>0</v>
      </c>
      <c r="H146" s="26">
        <f t="shared" si="14"/>
        <v>0</v>
      </c>
    </row>
    <row r="147" spans="1:13" x14ac:dyDescent="0.25">
      <c r="A147" s="22" t="s">
        <v>197</v>
      </c>
      <c r="B147" s="11">
        <v>8</v>
      </c>
      <c r="C147" s="10">
        <v>0</v>
      </c>
      <c r="D147" s="11">
        <v>3</v>
      </c>
      <c r="E147" s="10">
        <v>0</v>
      </c>
      <c r="F147" s="11">
        <v>0</v>
      </c>
      <c r="G147" s="11">
        <v>0</v>
      </c>
      <c r="H147" s="26">
        <f t="shared" si="14"/>
        <v>11</v>
      </c>
    </row>
    <row r="148" spans="1:13" x14ac:dyDescent="0.25">
      <c r="A148" s="22" t="s">
        <v>217</v>
      </c>
      <c r="B148" s="11">
        <v>0</v>
      </c>
      <c r="C148" s="10">
        <v>0</v>
      </c>
      <c r="D148" s="11">
        <v>0</v>
      </c>
      <c r="E148" s="10">
        <v>0</v>
      </c>
      <c r="F148" s="11">
        <v>0</v>
      </c>
      <c r="G148" s="11">
        <v>0</v>
      </c>
      <c r="H148" s="26">
        <f t="shared" si="14"/>
        <v>0</v>
      </c>
    </row>
    <row r="149" spans="1:13" x14ac:dyDescent="0.25">
      <c r="A149" s="22" t="s">
        <v>198</v>
      </c>
      <c r="B149" s="11">
        <v>0</v>
      </c>
      <c r="C149" s="10">
        <v>0</v>
      </c>
      <c r="D149" s="11">
        <v>5</v>
      </c>
      <c r="E149" s="10">
        <v>0</v>
      </c>
      <c r="F149" s="11">
        <v>0</v>
      </c>
      <c r="G149" s="11">
        <v>0</v>
      </c>
      <c r="H149" s="26">
        <f t="shared" si="14"/>
        <v>5</v>
      </c>
    </row>
    <row r="150" spans="1:13" x14ac:dyDescent="0.25">
      <c r="A150" s="22" t="s">
        <v>199</v>
      </c>
      <c r="B150" s="11">
        <v>0</v>
      </c>
      <c r="C150" s="10">
        <v>0</v>
      </c>
      <c r="D150" s="11">
        <v>5</v>
      </c>
      <c r="E150" s="10">
        <v>0</v>
      </c>
      <c r="F150" s="11">
        <v>0</v>
      </c>
      <c r="G150" s="11">
        <v>0</v>
      </c>
      <c r="H150" s="26">
        <f>SUM(B150:G150)</f>
        <v>5</v>
      </c>
    </row>
    <row r="151" spans="1:13" x14ac:dyDescent="0.25">
      <c r="A151" s="22" t="s">
        <v>200</v>
      </c>
      <c r="B151" s="11">
        <v>10</v>
      </c>
      <c r="C151" s="10">
        <v>0</v>
      </c>
      <c r="D151" s="11">
        <v>28</v>
      </c>
      <c r="E151" s="10">
        <v>0</v>
      </c>
      <c r="F151" s="11">
        <v>1</v>
      </c>
      <c r="G151" s="11">
        <v>0</v>
      </c>
      <c r="H151" s="26">
        <f>SUM(B151:G151)</f>
        <v>39</v>
      </c>
    </row>
    <row r="152" spans="1:13" x14ac:dyDescent="0.25">
      <c r="A152" s="22"/>
      <c r="B152" s="11"/>
      <c r="C152" s="10"/>
      <c r="D152" s="11"/>
      <c r="E152" s="10"/>
      <c r="F152" s="11"/>
      <c r="G152" s="11"/>
      <c r="H152" s="26"/>
    </row>
    <row r="153" spans="1:13" x14ac:dyDescent="0.25">
      <c r="A153" s="22" t="s">
        <v>105</v>
      </c>
      <c r="B153" s="11">
        <v>23</v>
      </c>
      <c r="C153" s="10">
        <v>7</v>
      </c>
      <c r="D153" s="11">
        <v>30</v>
      </c>
      <c r="E153" s="10">
        <v>1</v>
      </c>
      <c r="F153" s="11">
        <v>0</v>
      </c>
      <c r="G153" s="11">
        <v>0</v>
      </c>
      <c r="H153" s="26">
        <f>SUM(B153:G153)</f>
        <v>61</v>
      </c>
    </row>
    <row r="154" spans="1:13" x14ac:dyDescent="0.25">
      <c r="A154" s="22" t="s">
        <v>206</v>
      </c>
      <c r="B154" s="11">
        <v>6</v>
      </c>
      <c r="C154" s="10">
        <v>0</v>
      </c>
      <c r="D154" s="11">
        <v>1</v>
      </c>
      <c r="E154" s="10">
        <v>0</v>
      </c>
      <c r="F154" s="11">
        <v>0</v>
      </c>
      <c r="G154" s="11">
        <v>0</v>
      </c>
      <c r="H154" s="26">
        <f t="shared" ref="H154:H155" si="15">SUM(B154:G154)</f>
        <v>7</v>
      </c>
    </row>
    <row r="155" spans="1:13" x14ac:dyDescent="0.25">
      <c r="A155" s="116" t="s">
        <v>207</v>
      </c>
      <c r="B155" s="93">
        <v>6</v>
      </c>
      <c r="C155" s="120">
        <v>4</v>
      </c>
      <c r="D155" s="93">
        <v>3</v>
      </c>
      <c r="E155" s="120">
        <v>0</v>
      </c>
      <c r="F155" s="93">
        <v>0</v>
      </c>
      <c r="G155" s="93">
        <v>0</v>
      </c>
      <c r="H155" s="26">
        <f t="shared" si="15"/>
        <v>13</v>
      </c>
    </row>
    <row r="158" spans="1:13" x14ac:dyDescent="0.25">
      <c r="J158" s="133"/>
      <c r="K158" s="133"/>
      <c r="L158" s="133"/>
      <c r="M158" s="133"/>
    </row>
    <row r="159" spans="1:13" x14ac:dyDescent="0.25">
      <c r="J159" s="133"/>
    </row>
    <row r="166" spans="10:17" x14ac:dyDescent="0.25">
      <c r="P166" s="5"/>
      <c r="Q166" s="5"/>
    </row>
    <row r="168" spans="10:17" x14ac:dyDescent="0.25">
      <c r="J168" s="5"/>
      <c r="K168" s="5"/>
      <c r="L168" s="5"/>
      <c r="M168" s="5"/>
      <c r="N168" s="1"/>
      <c r="O168" s="1"/>
    </row>
  </sheetData>
  <mergeCells count="30">
    <mergeCell ref="J109:J110"/>
    <mergeCell ref="K109:K110"/>
    <mergeCell ref="A115:H115"/>
    <mergeCell ref="J158:J159"/>
    <mergeCell ref="K158:M158"/>
    <mergeCell ref="A108:H108"/>
    <mergeCell ref="J60:P60"/>
    <mergeCell ref="J61:P61"/>
    <mergeCell ref="J62:P62"/>
    <mergeCell ref="J53:P53"/>
    <mergeCell ref="J54:P54"/>
    <mergeCell ref="J55:P55"/>
    <mergeCell ref="J56:P56"/>
    <mergeCell ref="J57:P57"/>
    <mergeCell ref="K86:M86"/>
    <mergeCell ref="J58:P58"/>
    <mergeCell ref="J59:P59"/>
    <mergeCell ref="J52:Q52"/>
    <mergeCell ref="A3:R3"/>
    <mergeCell ref="B4:J4"/>
    <mergeCell ref="L4:R4"/>
    <mergeCell ref="A9:A10"/>
    <mergeCell ref="B9:H9"/>
    <mergeCell ref="J9:J10"/>
    <mergeCell ref="K9:Q9"/>
    <mergeCell ref="J26:J27"/>
    <mergeCell ref="K26:Q26"/>
    <mergeCell ref="J39:J40"/>
    <mergeCell ref="K39:Q39"/>
    <mergeCell ref="J50:M50"/>
  </mergeCells>
  <pageMargins left="1" right="1" top="1" bottom="1" header="0.5" footer="0.5"/>
  <pageSetup paperSize="9" scale="50" fitToHeight="0" orientation="landscape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30CFD-BE00-44D9-BA5E-2565B8C4CEE9}">
  <sheetPr>
    <pageSetUpPr fitToPage="1"/>
  </sheetPr>
  <dimension ref="A3:S170"/>
  <sheetViews>
    <sheetView topLeftCell="F43" zoomScale="80" zoomScaleNormal="80" workbookViewId="0">
      <selection activeCell="E121" sqref="E121"/>
    </sheetView>
  </sheetViews>
  <sheetFormatPr baseColWidth="10" defaultRowHeight="15" x14ac:dyDescent="0.25"/>
  <cols>
    <col min="1" max="1" width="49.85546875" customWidth="1"/>
    <col min="2" max="6" width="9.85546875" customWidth="1"/>
    <col min="7" max="7" width="13.5703125" customWidth="1"/>
    <col min="8" max="8" width="9.28515625" customWidth="1"/>
    <col min="9" max="9" width="9.42578125" customWidth="1"/>
    <col min="10" max="10" width="43.7109375" customWidth="1"/>
    <col min="11" max="15" width="9.28515625" customWidth="1"/>
    <col min="16" max="16" width="10.42578125" customWidth="1"/>
    <col min="17" max="17" width="10" customWidth="1"/>
    <col min="18" max="18" width="2.85546875" customWidth="1"/>
  </cols>
  <sheetData>
    <row r="3" spans="1:19" ht="26.25" x14ac:dyDescent="0.25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"/>
    </row>
    <row r="4" spans="1:19" ht="15.75" x14ac:dyDescent="0.25">
      <c r="A4" s="1" t="s">
        <v>12</v>
      </c>
      <c r="B4" s="155" t="s">
        <v>16</v>
      </c>
      <c r="C4" s="156"/>
      <c r="D4" s="156"/>
      <c r="E4" s="156"/>
      <c r="F4" s="156"/>
      <c r="G4" s="156"/>
      <c r="H4" s="156"/>
      <c r="I4" s="156"/>
      <c r="J4" s="157"/>
      <c r="K4" s="9" t="s">
        <v>14</v>
      </c>
      <c r="L4" s="147" t="s">
        <v>191</v>
      </c>
      <c r="M4" s="148"/>
      <c r="N4" s="148"/>
      <c r="O4" s="148"/>
      <c r="P4" s="148"/>
      <c r="Q4" s="148"/>
      <c r="R4" s="149"/>
      <c r="S4" s="1"/>
    </row>
    <row r="5" spans="1:19" x14ac:dyDescent="0.25">
      <c r="A5" s="1"/>
      <c r="B5" s="1"/>
      <c r="C5" s="1"/>
      <c r="D5" s="10"/>
      <c r="E5" s="1"/>
      <c r="F5" s="1"/>
      <c r="G5" s="1"/>
      <c r="H5" s="1"/>
      <c r="I5" s="1"/>
      <c r="J5" s="1"/>
      <c r="K5" s="9"/>
      <c r="L5" s="10"/>
      <c r="M5" s="10"/>
      <c r="N5" s="10"/>
      <c r="O5" s="10"/>
      <c r="P5" s="10"/>
      <c r="Q5" s="10"/>
      <c r="R5" s="10"/>
      <c r="S5" s="1"/>
    </row>
    <row r="6" spans="1:19" x14ac:dyDescent="0.25">
      <c r="A6" s="1" t="s">
        <v>15</v>
      </c>
      <c r="B6" s="30">
        <v>3</v>
      </c>
      <c r="C6" s="1"/>
      <c r="D6" s="10"/>
      <c r="E6" s="1"/>
      <c r="F6" s="1"/>
      <c r="G6" s="1"/>
      <c r="H6" s="1"/>
      <c r="I6" s="1"/>
      <c r="J6" s="1"/>
      <c r="K6" s="9" t="s">
        <v>13</v>
      </c>
      <c r="L6" s="30">
        <v>2025</v>
      </c>
      <c r="M6" s="1"/>
      <c r="N6" s="1"/>
      <c r="O6" s="1"/>
      <c r="P6" s="1"/>
      <c r="Q6" s="1"/>
      <c r="R6" s="1"/>
      <c r="S6" s="1"/>
    </row>
    <row r="7" spans="1:19" x14ac:dyDescent="0.25">
      <c r="A7" s="1"/>
      <c r="B7" s="1"/>
      <c r="C7" s="1"/>
      <c r="D7" s="10"/>
      <c r="E7" s="1"/>
      <c r="F7" s="1"/>
      <c r="G7" s="1"/>
      <c r="H7" s="1"/>
      <c r="I7" s="1"/>
      <c r="J7" s="1"/>
      <c r="K7" s="1"/>
      <c r="L7" s="44"/>
      <c r="M7" s="1"/>
      <c r="N7" s="1"/>
      <c r="O7" s="1"/>
      <c r="P7" s="1"/>
      <c r="Q7" s="1"/>
      <c r="R7" s="1"/>
      <c r="S7" s="1"/>
    </row>
    <row r="8" spans="1:19" ht="15.75" thickBot="1" x14ac:dyDescent="0.3">
      <c r="A8" s="2"/>
      <c r="B8" s="2"/>
      <c r="C8" s="2"/>
      <c r="D8" s="20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"/>
    </row>
    <row r="9" spans="1:19" x14ac:dyDescent="0.25">
      <c r="A9" s="150" t="s">
        <v>148</v>
      </c>
      <c r="B9" s="152" t="s">
        <v>11</v>
      </c>
      <c r="C9" s="152"/>
      <c r="D9" s="152"/>
      <c r="E9" s="152"/>
      <c r="F9" s="152"/>
      <c r="G9" s="152"/>
      <c r="H9" s="152"/>
      <c r="I9" s="1"/>
      <c r="J9" s="153" t="s">
        <v>149</v>
      </c>
      <c r="K9" s="136" t="s">
        <v>11</v>
      </c>
      <c r="L9" s="136"/>
      <c r="M9" s="136"/>
      <c r="N9" s="136"/>
      <c r="O9" s="136"/>
      <c r="P9" s="136"/>
      <c r="Q9" s="137"/>
      <c r="R9" s="1"/>
      <c r="S9" s="1"/>
    </row>
    <row r="10" spans="1:19" x14ac:dyDescent="0.25">
      <c r="A10" s="151"/>
      <c r="B10" s="30" t="s">
        <v>8</v>
      </c>
      <c r="C10" s="30" t="s">
        <v>9</v>
      </c>
      <c r="D10" s="30" t="s">
        <v>10</v>
      </c>
      <c r="E10" s="30" t="s">
        <v>154</v>
      </c>
      <c r="F10" s="30" t="s">
        <v>155</v>
      </c>
      <c r="G10" s="30" t="s">
        <v>147</v>
      </c>
      <c r="H10" s="30" t="s">
        <v>11</v>
      </c>
      <c r="I10" s="1"/>
      <c r="J10" s="154"/>
      <c r="K10" s="30" t="s">
        <v>8</v>
      </c>
      <c r="L10" s="30" t="s">
        <v>9</v>
      </c>
      <c r="M10" s="30" t="s">
        <v>10</v>
      </c>
      <c r="N10" s="30" t="s">
        <v>154</v>
      </c>
      <c r="O10" s="30" t="s">
        <v>155</v>
      </c>
      <c r="P10" s="30" t="s">
        <v>147</v>
      </c>
      <c r="Q10" s="54" t="s">
        <v>11</v>
      </c>
      <c r="R10" s="1"/>
      <c r="S10" s="1"/>
    </row>
    <row r="11" spans="1:19" x14ac:dyDescent="0.25">
      <c r="A11" s="15" t="s">
        <v>0</v>
      </c>
      <c r="B11" s="16">
        <f t="shared" ref="B11:G11" si="0">B12+B51+B69+B82+B95</f>
        <v>11572</v>
      </c>
      <c r="C11" s="16">
        <f t="shared" si="0"/>
        <v>19834</v>
      </c>
      <c r="D11" s="16">
        <f t="shared" si="0"/>
        <v>15677</v>
      </c>
      <c r="E11" s="16">
        <f t="shared" si="0"/>
        <v>895</v>
      </c>
      <c r="F11" s="16">
        <f t="shared" si="0"/>
        <v>67</v>
      </c>
      <c r="G11" s="16">
        <f t="shared" si="0"/>
        <v>64</v>
      </c>
      <c r="H11" s="12">
        <f>SUM(B11:G11)</f>
        <v>48109</v>
      </c>
      <c r="I11" s="1"/>
      <c r="J11" s="79" t="s">
        <v>85</v>
      </c>
      <c r="K11" s="74">
        <f t="shared" ref="K11:P11" si="1">SUM(K12:K23)</f>
        <v>1036</v>
      </c>
      <c r="L11" s="74">
        <f t="shared" si="1"/>
        <v>1</v>
      </c>
      <c r="M11" s="74">
        <f t="shared" si="1"/>
        <v>669</v>
      </c>
      <c r="N11" s="74">
        <f t="shared" si="1"/>
        <v>4</v>
      </c>
      <c r="O11" s="74">
        <f t="shared" si="1"/>
        <v>4</v>
      </c>
      <c r="P11" s="74">
        <f t="shared" si="1"/>
        <v>2</v>
      </c>
      <c r="Q11" s="80">
        <f t="shared" ref="Q11:Q23" si="2">SUM(K11:P11)</f>
        <v>1716</v>
      </c>
      <c r="R11" s="1"/>
      <c r="S11" s="1"/>
    </row>
    <row r="12" spans="1:19" x14ac:dyDescent="0.25">
      <c r="A12" s="73" t="s">
        <v>1</v>
      </c>
      <c r="B12" s="74">
        <f t="shared" ref="B12:G12" si="3">SUM(B13:B50)</f>
        <v>8536</v>
      </c>
      <c r="C12" s="74">
        <f t="shared" si="3"/>
        <v>13112</v>
      </c>
      <c r="D12" s="74">
        <f t="shared" si="3"/>
        <v>9311</v>
      </c>
      <c r="E12" s="74">
        <f t="shared" si="3"/>
        <v>500</v>
      </c>
      <c r="F12" s="74">
        <f t="shared" si="3"/>
        <v>0</v>
      </c>
      <c r="G12" s="74">
        <f t="shared" si="3"/>
        <v>49</v>
      </c>
      <c r="H12" s="74">
        <f>SUM(B12:G12)</f>
        <v>31508</v>
      </c>
      <c r="I12" s="1"/>
      <c r="J12" s="55" t="s">
        <v>4</v>
      </c>
      <c r="K12" s="68">
        <v>0</v>
      </c>
      <c r="L12" s="68">
        <v>0</v>
      </c>
      <c r="M12" s="68">
        <v>36</v>
      </c>
      <c r="N12" s="68">
        <v>2</v>
      </c>
      <c r="O12" s="68">
        <v>0</v>
      </c>
      <c r="P12" s="68">
        <v>2</v>
      </c>
      <c r="Q12" s="40">
        <f t="shared" si="2"/>
        <v>40</v>
      </c>
      <c r="R12" s="1"/>
      <c r="S12" s="1"/>
    </row>
    <row r="13" spans="1:19" x14ac:dyDescent="0.25">
      <c r="A13" s="8" t="s">
        <v>17</v>
      </c>
      <c r="B13" s="17">
        <v>19</v>
      </c>
      <c r="C13" s="11">
        <v>10</v>
      </c>
      <c r="D13" s="11">
        <v>77</v>
      </c>
      <c r="E13" s="11">
        <v>3</v>
      </c>
      <c r="F13" s="11">
        <v>0</v>
      </c>
      <c r="G13" s="11">
        <v>1</v>
      </c>
      <c r="H13" s="12">
        <f>SUM(B13:G13)</f>
        <v>110</v>
      </c>
      <c r="I13" s="1"/>
      <c r="J13" s="55" t="s">
        <v>81</v>
      </c>
      <c r="K13" s="68">
        <v>0</v>
      </c>
      <c r="L13" s="68">
        <v>0</v>
      </c>
      <c r="M13" s="68">
        <v>1</v>
      </c>
      <c r="N13" s="68">
        <v>0</v>
      </c>
      <c r="O13" s="68">
        <v>0</v>
      </c>
      <c r="P13" s="68">
        <v>0</v>
      </c>
      <c r="Q13" s="40">
        <f t="shared" si="2"/>
        <v>1</v>
      </c>
      <c r="R13" s="1"/>
      <c r="S13" s="1"/>
    </row>
    <row r="14" spans="1:19" x14ac:dyDescent="0.25">
      <c r="A14" s="7" t="s">
        <v>18</v>
      </c>
      <c r="B14" s="17">
        <v>58</v>
      </c>
      <c r="C14" s="11">
        <v>0</v>
      </c>
      <c r="D14" s="11">
        <v>46</v>
      </c>
      <c r="E14" s="11">
        <v>2</v>
      </c>
      <c r="F14" s="11">
        <v>0</v>
      </c>
      <c r="G14" s="11">
        <v>0</v>
      </c>
      <c r="H14" s="12">
        <f t="shared" ref="H14:H48" si="4">SUM(B14:G14)</f>
        <v>106</v>
      </c>
      <c r="I14" s="1"/>
      <c r="J14" s="56" t="s">
        <v>5</v>
      </c>
      <c r="K14" s="68">
        <v>91</v>
      </c>
      <c r="L14" s="68">
        <v>0</v>
      </c>
      <c r="M14" s="68">
        <v>30</v>
      </c>
      <c r="N14" s="68">
        <v>2</v>
      </c>
      <c r="O14" s="68">
        <v>4</v>
      </c>
      <c r="P14" s="68">
        <v>0</v>
      </c>
      <c r="Q14" s="40">
        <f>SUM(K14:P14)</f>
        <v>127</v>
      </c>
      <c r="R14" s="1"/>
      <c r="S14" s="1"/>
    </row>
    <row r="15" spans="1:19" x14ac:dyDescent="0.25">
      <c r="A15" s="7" t="s">
        <v>19</v>
      </c>
      <c r="B15" s="17">
        <v>50</v>
      </c>
      <c r="C15" s="11">
        <v>149</v>
      </c>
      <c r="D15" s="13">
        <v>266</v>
      </c>
      <c r="E15" s="13">
        <v>3</v>
      </c>
      <c r="F15" s="13">
        <v>0</v>
      </c>
      <c r="G15" s="13">
        <v>0</v>
      </c>
      <c r="H15" s="12">
        <f>SUM(B15:G15)</f>
        <v>468</v>
      </c>
      <c r="I15" s="1"/>
      <c r="J15" s="56" t="s">
        <v>80</v>
      </c>
      <c r="K15" s="68">
        <v>64</v>
      </c>
      <c r="L15" s="68">
        <v>0</v>
      </c>
      <c r="M15" s="68">
        <v>0</v>
      </c>
      <c r="N15" s="68">
        <v>0</v>
      </c>
      <c r="O15" s="68">
        <v>0</v>
      </c>
      <c r="P15" s="68">
        <v>0</v>
      </c>
      <c r="Q15" s="40">
        <f t="shared" si="2"/>
        <v>64</v>
      </c>
      <c r="R15" s="1"/>
      <c r="S15" s="1"/>
    </row>
    <row r="16" spans="1:19" ht="15.75" customHeight="1" x14ac:dyDescent="0.25">
      <c r="A16" s="7" t="s">
        <v>27</v>
      </c>
      <c r="B16" s="10">
        <v>741</v>
      </c>
      <c r="C16" s="11">
        <v>1661</v>
      </c>
      <c r="D16" s="11">
        <v>1037</v>
      </c>
      <c r="E16" s="11">
        <v>71</v>
      </c>
      <c r="F16" s="11">
        <v>0</v>
      </c>
      <c r="G16" s="11">
        <v>9</v>
      </c>
      <c r="H16" s="12">
        <f t="shared" si="4"/>
        <v>3519</v>
      </c>
      <c r="I16" s="1"/>
      <c r="J16" s="57" t="s">
        <v>83</v>
      </c>
      <c r="K16" s="69">
        <v>6</v>
      </c>
      <c r="L16" s="69">
        <v>1</v>
      </c>
      <c r="M16" s="69">
        <v>0</v>
      </c>
      <c r="N16" s="69">
        <v>0</v>
      </c>
      <c r="O16" s="69">
        <v>0</v>
      </c>
      <c r="P16" s="69">
        <v>0</v>
      </c>
      <c r="Q16" s="40">
        <f t="shared" si="2"/>
        <v>7</v>
      </c>
      <c r="R16" s="1"/>
      <c r="S16" s="1"/>
    </row>
    <row r="17" spans="1:19" x14ac:dyDescent="0.25">
      <c r="A17" s="7" t="s">
        <v>186</v>
      </c>
      <c r="B17" s="10">
        <v>0</v>
      </c>
      <c r="C17" s="11">
        <v>0</v>
      </c>
      <c r="D17" s="11">
        <v>5</v>
      </c>
      <c r="E17" s="11">
        <v>0</v>
      </c>
      <c r="F17" s="11">
        <v>0</v>
      </c>
      <c r="G17" s="11">
        <v>0</v>
      </c>
      <c r="H17" s="12">
        <f t="shared" si="4"/>
        <v>5</v>
      </c>
      <c r="I17" s="1"/>
      <c r="J17" s="50" t="s">
        <v>162</v>
      </c>
      <c r="K17" s="69">
        <v>289</v>
      </c>
      <c r="L17" s="69">
        <v>0</v>
      </c>
      <c r="M17" s="69">
        <v>200</v>
      </c>
      <c r="N17" s="69">
        <v>0</v>
      </c>
      <c r="O17" s="69">
        <v>0</v>
      </c>
      <c r="P17" s="69">
        <v>0</v>
      </c>
      <c r="Q17" s="40">
        <f t="shared" si="2"/>
        <v>489</v>
      </c>
      <c r="R17" s="1"/>
      <c r="S17" s="1"/>
    </row>
    <row r="18" spans="1:19" x14ac:dyDescent="0.25">
      <c r="A18" s="7" t="s">
        <v>188</v>
      </c>
      <c r="B18" s="10">
        <v>18</v>
      </c>
      <c r="C18" s="11">
        <v>0</v>
      </c>
      <c r="D18" s="11">
        <v>18</v>
      </c>
      <c r="E18" s="11">
        <v>1</v>
      </c>
      <c r="F18" s="11">
        <v>0</v>
      </c>
      <c r="G18" s="11">
        <v>0</v>
      </c>
      <c r="H18" s="12">
        <f t="shared" si="4"/>
        <v>37</v>
      </c>
      <c r="I18" s="1"/>
      <c r="J18" s="50" t="s">
        <v>163</v>
      </c>
      <c r="K18" s="69">
        <v>292</v>
      </c>
      <c r="L18" s="69">
        <v>0</v>
      </c>
      <c r="M18" s="69">
        <v>200</v>
      </c>
      <c r="N18" s="69">
        <v>0</v>
      </c>
      <c r="O18" s="69">
        <v>0</v>
      </c>
      <c r="P18" s="69">
        <v>0</v>
      </c>
      <c r="Q18" s="40">
        <f t="shared" si="2"/>
        <v>492</v>
      </c>
      <c r="R18" s="1"/>
      <c r="S18" s="1"/>
    </row>
    <row r="19" spans="1:19" x14ac:dyDescent="0.25">
      <c r="A19" s="7" t="s">
        <v>28</v>
      </c>
      <c r="B19" s="17">
        <v>101</v>
      </c>
      <c r="C19" s="11">
        <v>40</v>
      </c>
      <c r="D19" s="11">
        <v>221</v>
      </c>
      <c r="E19" s="11">
        <v>10</v>
      </c>
      <c r="F19" s="11">
        <v>0</v>
      </c>
      <c r="G19" s="11">
        <v>1</v>
      </c>
      <c r="H19" s="12">
        <f t="shared" si="4"/>
        <v>373</v>
      </c>
      <c r="I19" s="1"/>
      <c r="J19" s="50" t="s">
        <v>164</v>
      </c>
      <c r="K19" s="69">
        <v>292</v>
      </c>
      <c r="L19" s="69">
        <v>0</v>
      </c>
      <c r="M19" s="69">
        <v>200</v>
      </c>
      <c r="N19" s="69">
        <v>0</v>
      </c>
      <c r="O19" s="69">
        <v>0</v>
      </c>
      <c r="P19" s="69">
        <v>0</v>
      </c>
      <c r="Q19" s="40">
        <f t="shared" si="2"/>
        <v>492</v>
      </c>
      <c r="R19" s="1"/>
      <c r="S19" s="1"/>
    </row>
    <row r="20" spans="1:19" x14ac:dyDescent="0.25">
      <c r="A20" s="7" t="s">
        <v>29</v>
      </c>
      <c r="B20" s="10">
        <v>1</v>
      </c>
      <c r="C20" s="11">
        <v>0</v>
      </c>
      <c r="D20" s="11">
        <v>18</v>
      </c>
      <c r="E20" s="11">
        <v>1</v>
      </c>
      <c r="F20" s="11">
        <v>0</v>
      </c>
      <c r="G20" s="11">
        <v>2</v>
      </c>
      <c r="H20" s="12">
        <f t="shared" si="4"/>
        <v>22</v>
      </c>
      <c r="I20" s="1"/>
      <c r="J20" s="50" t="s">
        <v>194</v>
      </c>
      <c r="K20" s="69">
        <v>2</v>
      </c>
      <c r="L20" s="69">
        <v>0</v>
      </c>
      <c r="M20" s="69">
        <v>2</v>
      </c>
      <c r="N20" s="69">
        <v>0</v>
      </c>
      <c r="O20" s="69">
        <v>0</v>
      </c>
      <c r="P20" s="69">
        <v>0</v>
      </c>
      <c r="Q20" s="40">
        <f t="shared" si="2"/>
        <v>4</v>
      </c>
      <c r="R20" s="1"/>
      <c r="S20" s="1"/>
    </row>
    <row r="21" spans="1:19" x14ac:dyDescent="0.25">
      <c r="A21" s="7" t="s">
        <v>20</v>
      </c>
      <c r="B21" s="17">
        <v>802</v>
      </c>
      <c r="C21" s="11">
        <v>1596</v>
      </c>
      <c r="D21" s="11">
        <v>1036</v>
      </c>
      <c r="E21" s="11">
        <v>72</v>
      </c>
      <c r="F21" s="11">
        <v>0</v>
      </c>
      <c r="G21" s="11">
        <v>7</v>
      </c>
      <c r="H21" s="12">
        <f t="shared" si="4"/>
        <v>3513</v>
      </c>
      <c r="I21" s="1"/>
      <c r="J21" s="50" t="s">
        <v>221</v>
      </c>
      <c r="K21" s="69">
        <v>0</v>
      </c>
      <c r="L21" s="69">
        <v>0</v>
      </c>
      <c r="M21" s="69">
        <v>0</v>
      </c>
      <c r="N21" s="69">
        <v>0</v>
      </c>
      <c r="O21" s="69">
        <v>0</v>
      </c>
      <c r="P21" s="69">
        <v>0</v>
      </c>
      <c r="Q21" s="40">
        <f t="shared" si="2"/>
        <v>0</v>
      </c>
      <c r="R21" s="1"/>
      <c r="S21" s="1"/>
    </row>
    <row r="22" spans="1:19" x14ac:dyDescent="0.25">
      <c r="A22" s="7" t="s">
        <v>25</v>
      </c>
      <c r="B22" s="17">
        <v>0</v>
      </c>
      <c r="C22" s="11">
        <v>0</v>
      </c>
      <c r="D22" s="11">
        <v>7</v>
      </c>
      <c r="E22" s="11">
        <v>0</v>
      </c>
      <c r="F22" s="11">
        <v>0</v>
      </c>
      <c r="G22" s="11">
        <v>0</v>
      </c>
      <c r="H22" s="12">
        <f t="shared" si="4"/>
        <v>7</v>
      </c>
      <c r="I22" s="1"/>
      <c r="J22" s="58" t="s">
        <v>6</v>
      </c>
      <c r="K22" s="68">
        <v>0</v>
      </c>
      <c r="L22" s="68">
        <v>0</v>
      </c>
      <c r="M22" s="68">
        <v>0</v>
      </c>
      <c r="N22" s="68">
        <v>0</v>
      </c>
      <c r="O22" s="68">
        <v>0</v>
      </c>
      <c r="P22" s="68">
        <v>0</v>
      </c>
      <c r="Q22" s="40">
        <f t="shared" si="2"/>
        <v>0</v>
      </c>
      <c r="R22" s="1"/>
      <c r="S22" s="1"/>
    </row>
    <row r="23" spans="1:19" ht="15.75" thickBot="1" x14ac:dyDescent="0.3">
      <c r="A23" s="7" t="s">
        <v>218</v>
      </c>
      <c r="B23" s="17">
        <v>0</v>
      </c>
      <c r="C23" s="11">
        <v>0</v>
      </c>
      <c r="D23" s="11">
        <v>18</v>
      </c>
      <c r="E23" s="11">
        <v>0</v>
      </c>
      <c r="F23" s="11">
        <v>0</v>
      </c>
      <c r="G23" s="11">
        <v>1</v>
      </c>
      <c r="H23" s="12">
        <f t="shared" si="4"/>
        <v>19</v>
      </c>
      <c r="I23" s="1"/>
      <c r="J23" s="59" t="s">
        <v>7</v>
      </c>
      <c r="K23" s="94">
        <v>0</v>
      </c>
      <c r="L23" s="94">
        <v>0</v>
      </c>
      <c r="M23" s="94">
        <v>0</v>
      </c>
      <c r="N23" s="94">
        <v>0</v>
      </c>
      <c r="O23" s="94">
        <v>0</v>
      </c>
      <c r="P23" s="94">
        <v>0</v>
      </c>
      <c r="Q23" s="46">
        <f t="shared" si="2"/>
        <v>0</v>
      </c>
      <c r="R23" s="1"/>
      <c r="S23" s="1"/>
    </row>
    <row r="24" spans="1:19" x14ac:dyDescent="0.25">
      <c r="A24" s="7" t="s">
        <v>21</v>
      </c>
      <c r="B24" s="17">
        <v>798</v>
      </c>
      <c r="C24" s="11">
        <v>1596</v>
      </c>
      <c r="D24" s="11">
        <v>1023</v>
      </c>
      <c r="E24" s="11">
        <v>71</v>
      </c>
      <c r="F24" s="11">
        <v>0</v>
      </c>
      <c r="G24" s="11">
        <v>7</v>
      </c>
      <c r="H24" s="12">
        <f t="shared" si="4"/>
        <v>3495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5.75" thickBot="1" x14ac:dyDescent="0.3">
      <c r="A25" s="7" t="s">
        <v>24</v>
      </c>
      <c r="B25" s="17">
        <v>6</v>
      </c>
      <c r="C25" s="11">
        <v>4</v>
      </c>
      <c r="D25" s="11">
        <v>23</v>
      </c>
      <c r="E25" s="11">
        <v>0</v>
      </c>
      <c r="F25" s="11">
        <v>0</v>
      </c>
      <c r="G25" s="11">
        <v>0</v>
      </c>
      <c r="H25" s="12">
        <f t="shared" si="4"/>
        <v>33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25">
      <c r="A26" s="7" t="s">
        <v>79</v>
      </c>
      <c r="B26" s="17">
        <v>661</v>
      </c>
      <c r="C26" s="11">
        <v>622</v>
      </c>
      <c r="D26" s="11">
        <v>484</v>
      </c>
      <c r="E26" s="11">
        <v>13</v>
      </c>
      <c r="F26" s="11">
        <v>0</v>
      </c>
      <c r="G26" s="11">
        <v>0</v>
      </c>
      <c r="H26" s="12">
        <f t="shared" si="4"/>
        <v>1780</v>
      </c>
      <c r="I26" s="1"/>
      <c r="J26" s="134" t="s">
        <v>169</v>
      </c>
      <c r="K26" s="136" t="s">
        <v>11</v>
      </c>
      <c r="L26" s="136"/>
      <c r="M26" s="136"/>
      <c r="N26" s="136"/>
      <c r="O26" s="136"/>
      <c r="P26" s="136"/>
      <c r="Q26" s="137"/>
      <c r="R26" s="1"/>
      <c r="S26" s="1"/>
    </row>
    <row r="27" spans="1:19" x14ac:dyDescent="0.25">
      <c r="A27" s="7" t="s">
        <v>75</v>
      </c>
      <c r="B27" s="17">
        <v>661</v>
      </c>
      <c r="C27" s="11">
        <v>622</v>
      </c>
      <c r="D27" s="11">
        <v>484</v>
      </c>
      <c r="E27" s="11">
        <v>13</v>
      </c>
      <c r="F27" s="11">
        <v>0</v>
      </c>
      <c r="G27" s="11">
        <v>0</v>
      </c>
      <c r="H27" s="12">
        <f t="shared" si="4"/>
        <v>1780</v>
      </c>
      <c r="I27" s="1"/>
      <c r="J27" s="135"/>
      <c r="K27" s="30" t="s">
        <v>8</v>
      </c>
      <c r="L27" s="30" t="s">
        <v>9</v>
      </c>
      <c r="M27" s="30" t="s">
        <v>176</v>
      </c>
      <c r="N27" s="30" t="s">
        <v>154</v>
      </c>
      <c r="O27" s="30" t="s">
        <v>155</v>
      </c>
      <c r="P27" s="60" t="s">
        <v>147</v>
      </c>
      <c r="Q27" s="54" t="s">
        <v>11</v>
      </c>
      <c r="R27" s="1"/>
      <c r="S27" s="1"/>
    </row>
    <row r="28" spans="1:19" x14ac:dyDescent="0.25">
      <c r="A28" s="7" t="s">
        <v>76</v>
      </c>
      <c r="B28" s="17">
        <v>527</v>
      </c>
      <c r="C28" s="11">
        <v>652</v>
      </c>
      <c r="D28" s="11">
        <v>551</v>
      </c>
      <c r="E28" s="11">
        <v>15</v>
      </c>
      <c r="F28" s="11">
        <v>0</v>
      </c>
      <c r="G28" s="11">
        <v>0</v>
      </c>
      <c r="H28" s="12">
        <f t="shared" si="4"/>
        <v>1745</v>
      </c>
      <c r="I28" s="1"/>
      <c r="J28" s="79" t="s">
        <v>146</v>
      </c>
      <c r="K28" s="74">
        <f t="shared" ref="K28:P28" si="5">SUM(K29:K37)</f>
        <v>98</v>
      </c>
      <c r="L28" s="74">
        <f t="shared" si="5"/>
        <v>269</v>
      </c>
      <c r="M28" s="74">
        <f t="shared" si="5"/>
        <v>197</v>
      </c>
      <c r="N28" s="74">
        <f t="shared" si="5"/>
        <v>0</v>
      </c>
      <c r="O28" s="74">
        <f t="shared" si="5"/>
        <v>0</v>
      </c>
      <c r="P28" s="74">
        <f t="shared" si="5"/>
        <v>0</v>
      </c>
      <c r="Q28" s="80">
        <f>SUM(K28:P28)</f>
        <v>564</v>
      </c>
      <c r="R28" s="1"/>
      <c r="S28" s="1"/>
    </row>
    <row r="29" spans="1:19" x14ac:dyDescent="0.25">
      <c r="A29" s="7" t="s">
        <v>74</v>
      </c>
      <c r="B29" s="17">
        <v>534</v>
      </c>
      <c r="C29" s="11">
        <v>652</v>
      </c>
      <c r="D29" s="11">
        <v>544</v>
      </c>
      <c r="E29" s="11">
        <v>6</v>
      </c>
      <c r="F29" s="11">
        <v>0</v>
      </c>
      <c r="G29" s="11">
        <v>0</v>
      </c>
      <c r="H29" s="12">
        <f t="shared" si="4"/>
        <v>1736</v>
      </c>
      <c r="I29" s="1"/>
      <c r="J29" s="45" t="s">
        <v>64</v>
      </c>
      <c r="K29" s="68">
        <v>64</v>
      </c>
      <c r="L29" s="68">
        <v>2</v>
      </c>
      <c r="M29" s="68">
        <v>72</v>
      </c>
      <c r="N29" s="68">
        <v>0</v>
      </c>
      <c r="O29" s="68">
        <v>0</v>
      </c>
      <c r="P29" s="69">
        <v>0</v>
      </c>
      <c r="Q29" s="40">
        <f>SUM(K29:P29)</f>
        <v>138</v>
      </c>
      <c r="R29" s="1"/>
      <c r="S29" s="1"/>
    </row>
    <row r="30" spans="1:19" x14ac:dyDescent="0.25">
      <c r="A30" s="7" t="s">
        <v>22</v>
      </c>
      <c r="B30" s="17">
        <v>536</v>
      </c>
      <c r="C30" s="11">
        <v>703</v>
      </c>
      <c r="D30" s="11">
        <v>684</v>
      </c>
      <c r="E30" s="11">
        <v>40</v>
      </c>
      <c r="F30" s="11">
        <v>0</v>
      </c>
      <c r="G30" s="11">
        <v>4</v>
      </c>
      <c r="H30" s="12">
        <f t="shared" si="4"/>
        <v>1967</v>
      </c>
      <c r="I30" s="1"/>
      <c r="J30" s="45" t="s">
        <v>170</v>
      </c>
      <c r="K30" s="68">
        <v>0</v>
      </c>
      <c r="L30" s="68">
        <v>0</v>
      </c>
      <c r="M30" s="68">
        <v>1</v>
      </c>
      <c r="N30" s="68">
        <v>0</v>
      </c>
      <c r="O30" s="68">
        <v>0</v>
      </c>
      <c r="P30" s="69">
        <v>0</v>
      </c>
      <c r="Q30" s="40">
        <f>SUM(K30:P30)</f>
        <v>1</v>
      </c>
      <c r="R30" s="1"/>
      <c r="S30" s="1"/>
    </row>
    <row r="31" spans="1:19" x14ac:dyDescent="0.25">
      <c r="A31" s="7" t="s">
        <v>23</v>
      </c>
      <c r="B31" s="17">
        <v>538</v>
      </c>
      <c r="C31" s="11">
        <v>709</v>
      </c>
      <c r="D31" s="11">
        <v>683</v>
      </c>
      <c r="E31" s="11">
        <v>40</v>
      </c>
      <c r="F31" s="11">
        <v>0</v>
      </c>
      <c r="G31" s="11">
        <v>4</v>
      </c>
      <c r="H31" s="12">
        <f t="shared" si="4"/>
        <v>1974</v>
      </c>
      <c r="I31" s="1"/>
      <c r="J31" s="45" t="s">
        <v>171</v>
      </c>
      <c r="K31" s="68">
        <v>0</v>
      </c>
      <c r="L31" s="68">
        <v>0</v>
      </c>
      <c r="M31" s="68">
        <v>0</v>
      </c>
      <c r="N31" s="68">
        <v>0</v>
      </c>
      <c r="O31" s="68">
        <v>0</v>
      </c>
      <c r="P31" s="69">
        <v>0</v>
      </c>
      <c r="Q31" s="40">
        <f>SUM(K31:P31)</f>
        <v>0</v>
      </c>
      <c r="R31" s="1"/>
      <c r="S31" s="1"/>
    </row>
    <row r="32" spans="1:19" x14ac:dyDescent="0.25">
      <c r="A32" s="7" t="s">
        <v>202</v>
      </c>
      <c r="B32" s="17">
        <v>60</v>
      </c>
      <c r="C32" s="11"/>
      <c r="D32" s="11">
        <v>10</v>
      </c>
      <c r="E32" s="11">
        <v>0</v>
      </c>
      <c r="F32" s="11">
        <v>0</v>
      </c>
      <c r="G32" s="11">
        <v>0</v>
      </c>
      <c r="H32" s="12">
        <f t="shared" si="4"/>
        <v>70</v>
      </c>
      <c r="I32" s="1"/>
      <c r="J32" s="49" t="s">
        <v>65</v>
      </c>
      <c r="K32" s="68">
        <v>22</v>
      </c>
      <c r="L32" s="68">
        <v>202</v>
      </c>
      <c r="M32" s="68">
        <v>28</v>
      </c>
      <c r="N32" s="68">
        <v>0</v>
      </c>
      <c r="O32" s="68">
        <v>0</v>
      </c>
      <c r="P32" s="69">
        <v>0</v>
      </c>
      <c r="Q32" s="40">
        <f t="shared" ref="Q32:Q37" si="6">SUM(K32:P32)</f>
        <v>252</v>
      </c>
      <c r="R32" s="1"/>
      <c r="S32" s="1"/>
    </row>
    <row r="33" spans="1:19" x14ac:dyDescent="0.25">
      <c r="A33" s="7" t="s">
        <v>159</v>
      </c>
      <c r="B33" s="17">
        <v>181</v>
      </c>
      <c r="C33" s="11">
        <v>117</v>
      </c>
      <c r="D33" s="11">
        <v>69</v>
      </c>
      <c r="E33" s="11">
        <v>3</v>
      </c>
      <c r="F33" s="11">
        <v>0</v>
      </c>
      <c r="G33" s="11">
        <v>0</v>
      </c>
      <c r="H33" s="12">
        <f t="shared" si="4"/>
        <v>370</v>
      </c>
      <c r="I33" s="1"/>
      <c r="J33" s="50" t="s">
        <v>130</v>
      </c>
      <c r="K33" s="70">
        <v>0</v>
      </c>
      <c r="L33" s="70">
        <v>0</v>
      </c>
      <c r="M33" s="70">
        <v>86</v>
      </c>
      <c r="N33" s="70">
        <v>0</v>
      </c>
      <c r="O33" s="70">
        <v>0</v>
      </c>
      <c r="P33" s="69">
        <v>0</v>
      </c>
      <c r="Q33" s="40">
        <f t="shared" si="6"/>
        <v>86</v>
      </c>
      <c r="R33" s="1"/>
      <c r="S33" s="1"/>
    </row>
    <row r="34" spans="1:19" x14ac:dyDescent="0.25">
      <c r="A34" s="7" t="s">
        <v>26</v>
      </c>
      <c r="B34" s="17">
        <v>812</v>
      </c>
      <c r="C34" s="11">
        <v>1351</v>
      </c>
      <c r="D34" s="11">
        <v>153</v>
      </c>
      <c r="E34" s="11">
        <v>30</v>
      </c>
      <c r="F34" s="11">
        <v>0</v>
      </c>
      <c r="G34" s="11">
        <v>1</v>
      </c>
      <c r="H34" s="12">
        <f t="shared" si="4"/>
        <v>2347</v>
      </c>
      <c r="I34" s="1"/>
      <c r="J34" s="67" t="s">
        <v>131</v>
      </c>
      <c r="K34" s="65">
        <v>0</v>
      </c>
      <c r="L34" s="65">
        <v>0</v>
      </c>
      <c r="M34" s="65">
        <v>10</v>
      </c>
      <c r="N34" s="65">
        <v>0</v>
      </c>
      <c r="O34" s="65">
        <v>0</v>
      </c>
      <c r="P34" s="31">
        <v>0</v>
      </c>
      <c r="Q34" s="40">
        <f t="shared" si="6"/>
        <v>10</v>
      </c>
      <c r="R34" s="1"/>
      <c r="S34" s="1"/>
    </row>
    <row r="35" spans="1:19" x14ac:dyDescent="0.25">
      <c r="A35" s="7" t="s">
        <v>82</v>
      </c>
      <c r="B35" s="17">
        <v>409</v>
      </c>
      <c r="C35" s="11">
        <v>429</v>
      </c>
      <c r="D35" s="11">
        <v>442</v>
      </c>
      <c r="E35" s="11">
        <v>12</v>
      </c>
      <c r="F35" s="11">
        <v>0</v>
      </c>
      <c r="G35" s="11">
        <v>1</v>
      </c>
      <c r="H35" s="12">
        <f t="shared" si="4"/>
        <v>1293</v>
      </c>
      <c r="I35" s="1"/>
      <c r="J35" s="67" t="s">
        <v>160</v>
      </c>
      <c r="K35" s="65">
        <v>4</v>
      </c>
      <c r="L35" s="65">
        <v>50</v>
      </c>
      <c r="M35" s="65">
        <v>0</v>
      </c>
      <c r="N35" s="65">
        <v>0</v>
      </c>
      <c r="O35" s="65">
        <v>0</v>
      </c>
      <c r="P35" s="31">
        <v>0</v>
      </c>
      <c r="Q35" s="40">
        <f t="shared" si="6"/>
        <v>54</v>
      </c>
      <c r="R35" s="1"/>
      <c r="S35" s="1"/>
    </row>
    <row r="36" spans="1:19" x14ac:dyDescent="0.25">
      <c r="A36" s="7" t="s">
        <v>30</v>
      </c>
      <c r="B36" s="17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2">
        <f t="shared" si="4"/>
        <v>0</v>
      </c>
      <c r="I36" s="1"/>
      <c r="J36" s="67" t="s">
        <v>211</v>
      </c>
      <c r="K36" s="65">
        <v>8</v>
      </c>
      <c r="L36" s="65">
        <v>15</v>
      </c>
      <c r="M36" s="65">
        <v>0</v>
      </c>
      <c r="N36" s="65">
        <v>0</v>
      </c>
      <c r="O36" s="65">
        <v>0</v>
      </c>
      <c r="P36" s="31">
        <v>0</v>
      </c>
      <c r="Q36" s="40">
        <f t="shared" si="6"/>
        <v>23</v>
      </c>
      <c r="R36" s="1"/>
      <c r="S36" s="1"/>
    </row>
    <row r="37" spans="1:19" ht="15.75" thickBot="1" x14ac:dyDescent="0.3">
      <c r="A37" s="7" t="s">
        <v>31</v>
      </c>
      <c r="B37" s="17">
        <v>6</v>
      </c>
      <c r="C37" s="11">
        <v>13</v>
      </c>
      <c r="D37" s="11">
        <v>3</v>
      </c>
      <c r="E37" s="11">
        <v>0</v>
      </c>
      <c r="F37" s="11">
        <v>0</v>
      </c>
      <c r="G37" s="11">
        <v>0</v>
      </c>
      <c r="H37" s="12">
        <f t="shared" si="4"/>
        <v>22</v>
      </c>
      <c r="I37" s="1"/>
      <c r="J37" s="51" t="s">
        <v>161</v>
      </c>
      <c r="K37" s="71">
        <v>0</v>
      </c>
      <c r="L37" s="71">
        <v>0</v>
      </c>
      <c r="M37" s="71">
        <v>0</v>
      </c>
      <c r="N37" s="71">
        <v>0</v>
      </c>
      <c r="O37" s="71">
        <v>0</v>
      </c>
      <c r="P37" s="72">
        <v>0</v>
      </c>
      <c r="Q37" s="46">
        <f t="shared" si="6"/>
        <v>0</v>
      </c>
      <c r="R37" s="1"/>
      <c r="S37" s="1"/>
    </row>
    <row r="38" spans="1:19" ht="15.75" thickBot="1" x14ac:dyDescent="0.3">
      <c r="A38" s="7" t="s">
        <v>66</v>
      </c>
      <c r="B38" s="17">
        <v>127</v>
      </c>
      <c r="C38" s="11">
        <v>108</v>
      </c>
      <c r="D38" s="11">
        <v>341</v>
      </c>
      <c r="E38" s="11">
        <v>27</v>
      </c>
      <c r="F38" s="11">
        <v>0</v>
      </c>
      <c r="G38" s="11">
        <v>4</v>
      </c>
      <c r="H38" s="12">
        <f t="shared" si="4"/>
        <v>607</v>
      </c>
      <c r="I38" s="1"/>
      <c r="J38" s="34"/>
      <c r="K38" s="34"/>
      <c r="L38" s="34"/>
      <c r="M38" s="34"/>
      <c r="N38" s="34"/>
      <c r="O38" s="34"/>
      <c r="P38" s="34"/>
      <c r="R38" s="1"/>
      <c r="S38" s="1"/>
    </row>
    <row r="39" spans="1:19" x14ac:dyDescent="0.25">
      <c r="A39" s="7" t="s">
        <v>67</v>
      </c>
      <c r="B39" s="17">
        <v>127</v>
      </c>
      <c r="C39" s="11">
        <v>107</v>
      </c>
      <c r="D39" s="11">
        <v>343</v>
      </c>
      <c r="E39" s="11">
        <v>29</v>
      </c>
      <c r="F39" s="11">
        <v>0</v>
      </c>
      <c r="G39" s="11">
        <v>5</v>
      </c>
      <c r="H39" s="12">
        <f t="shared" si="4"/>
        <v>611</v>
      </c>
      <c r="I39" s="1"/>
      <c r="J39" s="134" t="s">
        <v>136</v>
      </c>
      <c r="K39" s="136" t="s">
        <v>11</v>
      </c>
      <c r="L39" s="136"/>
      <c r="M39" s="136"/>
      <c r="N39" s="136"/>
      <c r="O39" s="136"/>
      <c r="P39" s="136"/>
      <c r="Q39" s="137"/>
      <c r="R39" s="1"/>
      <c r="S39" s="1"/>
    </row>
    <row r="40" spans="1:19" x14ac:dyDescent="0.25">
      <c r="A40" s="7" t="s">
        <v>77</v>
      </c>
      <c r="B40" s="17">
        <v>87</v>
      </c>
      <c r="C40" s="11">
        <v>9</v>
      </c>
      <c r="D40" s="11">
        <v>238</v>
      </c>
      <c r="E40" s="11">
        <v>11</v>
      </c>
      <c r="F40" s="11">
        <v>0</v>
      </c>
      <c r="G40" s="11">
        <v>1</v>
      </c>
      <c r="H40" s="12">
        <f t="shared" si="4"/>
        <v>346</v>
      </c>
      <c r="I40" s="1"/>
      <c r="J40" s="135"/>
      <c r="K40" s="30" t="s">
        <v>8</v>
      </c>
      <c r="L40" s="30" t="s">
        <v>9</v>
      </c>
      <c r="M40" s="30" t="s">
        <v>10</v>
      </c>
      <c r="N40" s="30" t="s">
        <v>154</v>
      </c>
      <c r="O40" s="30" t="s">
        <v>155</v>
      </c>
      <c r="P40" s="30" t="s">
        <v>147</v>
      </c>
      <c r="Q40" s="54" t="s">
        <v>11</v>
      </c>
      <c r="R40" s="1"/>
      <c r="S40" s="1"/>
    </row>
    <row r="41" spans="1:19" ht="15.75" thickBot="1" x14ac:dyDescent="0.3">
      <c r="A41" s="7" t="s">
        <v>78</v>
      </c>
      <c r="B41" s="17">
        <v>87</v>
      </c>
      <c r="C41" s="11">
        <v>9</v>
      </c>
      <c r="D41" s="11">
        <v>238</v>
      </c>
      <c r="E41" s="11">
        <v>11</v>
      </c>
      <c r="F41" s="11">
        <v>0</v>
      </c>
      <c r="G41" s="11">
        <v>1</v>
      </c>
      <c r="H41" s="12">
        <f t="shared" si="4"/>
        <v>346</v>
      </c>
      <c r="I41" s="1"/>
      <c r="J41" s="95" t="s">
        <v>150</v>
      </c>
      <c r="K41" s="29">
        <f t="shared" ref="K41:P41" si="7">SUM(K42:K49)</f>
        <v>705</v>
      </c>
      <c r="L41" s="29">
        <f t="shared" si="7"/>
        <v>279</v>
      </c>
      <c r="M41" s="29">
        <f t="shared" si="7"/>
        <v>7</v>
      </c>
      <c r="N41" s="29">
        <f t="shared" si="7"/>
        <v>4</v>
      </c>
      <c r="O41" s="29">
        <f t="shared" si="7"/>
        <v>0</v>
      </c>
      <c r="P41" s="29">
        <f t="shared" si="7"/>
        <v>0</v>
      </c>
      <c r="Q41" s="96">
        <f>SUM(K41:P41)</f>
        <v>995</v>
      </c>
      <c r="R41" s="1"/>
      <c r="S41" s="1"/>
    </row>
    <row r="42" spans="1:19" x14ac:dyDescent="0.25">
      <c r="A42" s="7" t="s">
        <v>42</v>
      </c>
      <c r="B42" s="17">
        <v>3</v>
      </c>
      <c r="C42" s="11">
        <v>0</v>
      </c>
      <c r="D42" s="11">
        <v>3</v>
      </c>
      <c r="E42" s="11">
        <v>1</v>
      </c>
      <c r="F42" s="11">
        <v>0</v>
      </c>
      <c r="G42" s="11">
        <v>0</v>
      </c>
      <c r="H42" s="12">
        <f t="shared" si="4"/>
        <v>7</v>
      </c>
      <c r="I42" s="1"/>
      <c r="J42" s="97" t="s">
        <v>165</v>
      </c>
      <c r="K42" s="98">
        <v>0</v>
      </c>
      <c r="L42" s="98">
        <v>0</v>
      </c>
      <c r="M42" s="98">
        <v>0</v>
      </c>
      <c r="N42" s="98">
        <v>0</v>
      </c>
      <c r="O42" s="98">
        <v>0</v>
      </c>
      <c r="P42" s="98">
        <v>0</v>
      </c>
      <c r="Q42" s="99">
        <f t="shared" ref="Q42:Q49" si="8">SUM(K42:P42)</f>
        <v>0</v>
      </c>
      <c r="R42" s="1"/>
      <c r="S42" s="1"/>
    </row>
    <row r="43" spans="1:19" x14ac:dyDescent="0.25">
      <c r="A43" s="7" t="s">
        <v>43</v>
      </c>
      <c r="B43" s="17">
        <v>14</v>
      </c>
      <c r="C43" s="11">
        <v>1</v>
      </c>
      <c r="D43" s="11">
        <v>53</v>
      </c>
      <c r="E43" s="11">
        <v>1</v>
      </c>
      <c r="F43" s="11">
        <v>0</v>
      </c>
      <c r="G43" s="11">
        <v>0</v>
      </c>
      <c r="H43" s="12">
        <f t="shared" si="4"/>
        <v>69</v>
      </c>
      <c r="I43" s="1"/>
      <c r="J43" s="86" t="s">
        <v>166</v>
      </c>
      <c r="K43" s="89">
        <v>197</v>
      </c>
      <c r="L43" s="89">
        <v>84</v>
      </c>
      <c r="M43" s="89">
        <v>2</v>
      </c>
      <c r="N43" s="89">
        <v>1</v>
      </c>
      <c r="O43" s="89">
        <v>0</v>
      </c>
      <c r="P43" s="89">
        <v>0</v>
      </c>
      <c r="Q43" s="40">
        <f t="shared" si="8"/>
        <v>284</v>
      </c>
      <c r="R43" s="1"/>
      <c r="S43" s="1"/>
    </row>
    <row r="44" spans="1:19" x14ac:dyDescent="0.25">
      <c r="A44" s="7" t="s">
        <v>101</v>
      </c>
      <c r="B44" s="17">
        <v>29</v>
      </c>
      <c r="C44" s="11">
        <v>0</v>
      </c>
      <c r="D44" s="11">
        <v>14</v>
      </c>
      <c r="E44" s="11">
        <v>0</v>
      </c>
      <c r="F44" s="11">
        <v>0</v>
      </c>
      <c r="G44" s="11">
        <v>0</v>
      </c>
      <c r="H44" s="12">
        <f t="shared" si="4"/>
        <v>43</v>
      </c>
      <c r="I44" s="1"/>
      <c r="J44" s="86" t="s">
        <v>167</v>
      </c>
      <c r="K44" s="89">
        <v>1</v>
      </c>
      <c r="L44" s="89">
        <v>1</v>
      </c>
      <c r="M44" s="89">
        <v>0</v>
      </c>
      <c r="N44" s="89">
        <v>0</v>
      </c>
      <c r="O44" s="89">
        <v>0</v>
      </c>
      <c r="P44" s="89">
        <v>0</v>
      </c>
      <c r="Q44" s="40">
        <f t="shared" si="8"/>
        <v>2</v>
      </c>
      <c r="R44" s="1"/>
      <c r="S44" s="1"/>
    </row>
    <row r="45" spans="1:19" x14ac:dyDescent="0.25">
      <c r="A45" s="7" t="s">
        <v>95</v>
      </c>
      <c r="B45" s="37">
        <v>47</v>
      </c>
      <c r="C45" s="11">
        <v>136</v>
      </c>
      <c r="D45" s="11">
        <v>28</v>
      </c>
      <c r="E45" s="11">
        <v>1</v>
      </c>
      <c r="F45" s="11">
        <v>0</v>
      </c>
      <c r="G45" s="11">
        <v>0</v>
      </c>
      <c r="H45" s="12">
        <f t="shared" si="4"/>
        <v>212</v>
      </c>
      <c r="I45" s="1"/>
      <c r="J45" s="86" t="s">
        <v>168</v>
      </c>
      <c r="K45" s="89">
        <v>11</v>
      </c>
      <c r="L45" s="89">
        <v>0</v>
      </c>
      <c r="M45" s="89">
        <v>0</v>
      </c>
      <c r="N45" s="89">
        <v>0</v>
      </c>
      <c r="O45" s="89">
        <v>0</v>
      </c>
      <c r="P45" s="89">
        <v>0</v>
      </c>
      <c r="Q45" s="40">
        <f>SUM(K45:P45)</f>
        <v>11</v>
      </c>
      <c r="R45" s="1"/>
      <c r="S45" s="1"/>
    </row>
    <row r="46" spans="1:19" x14ac:dyDescent="0.25">
      <c r="A46" s="7" t="s">
        <v>96</v>
      </c>
      <c r="B46" s="37">
        <v>35</v>
      </c>
      <c r="C46" s="11">
        <v>0</v>
      </c>
      <c r="D46" s="11">
        <v>5</v>
      </c>
      <c r="E46" s="11">
        <v>0</v>
      </c>
      <c r="F46" s="11">
        <v>0</v>
      </c>
      <c r="G46" s="11">
        <v>0</v>
      </c>
      <c r="H46" s="12">
        <f t="shared" si="4"/>
        <v>40</v>
      </c>
      <c r="J46" s="86" t="s">
        <v>34</v>
      </c>
      <c r="K46" s="89">
        <v>33</v>
      </c>
      <c r="L46" s="89">
        <v>4</v>
      </c>
      <c r="M46" s="89">
        <v>0</v>
      </c>
      <c r="N46" s="89">
        <v>0</v>
      </c>
      <c r="O46" s="89">
        <v>0</v>
      </c>
      <c r="P46" s="89">
        <v>0</v>
      </c>
      <c r="Q46" s="40">
        <f t="shared" si="8"/>
        <v>37</v>
      </c>
      <c r="R46" s="1"/>
      <c r="S46" s="1"/>
    </row>
    <row r="47" spans="1:19" x14ac:dyDescent="0.25">
      <c r="A47" s="7" t="s">
        <v>97</v>
      </c>
      <c r="B47" s="37">
        <v>4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2">
        <f t="shared" si="4"/>
        <v>4</v>
      </c>
      <c r="I47" s="1"/>
      <c r="J47" s="86" t="s">
        <v>179</v>
      </c>
      <c r="K47" s="89">
        <v>156</v>
      </c>
      <c r="L47" s="89">
        <v>96</v>
      </c>
      <c r="M47" s="89">
        <v>2</v>
      </c>
      <c r="N47" s="89">
        <v>1</v>
      </c>
      <c r="O47" s="89">
        <v>0</v>
      </c>
      <c r="P47" s="89">
        <v>0</v>
      </c>
      <c r="Q47" s="40">
        <f t="shared" si="8"/>
        <v>255</v>
      </c>
      <c r="R47" s="1"/>
      <c r="S47" s="1"/>
    </row>
    <row r="48" spans="1:19" x14ac:dyDescent="0.25">
      <c r="A48" s="36" t="s">
        <v>98</v>
      </c>
      <c r="B48" s="37">
        <v>14</v>
      </c>
      <c r="C48" s="11">
        <v>0</v>
      </c>
      <c r="D48" s="11">
        <v>16</v>
      </c>
      <c r="E48" s="11">
        <v>0</v>
      </c>
      <c r="F48" s="11">
        <v>0</v>
      </c>
      <c r="G48" s="11">
        <v>0</v>
      </c>
      <c r="H48" s="12">
        <f t="shared" si="4"/>
        <v>30</v>
      </c>
      <c r="I48" s="1"/>
      <c r="J48" s="86" t="s">
        <v>177</v>
      </c>
      <c r="K48" s="89">
        <v>304</v>
      </c>
      <c r="L48" s="89">
        <v>92</v>
      </c>
      <c r="M48" s="89">
        <v>3</v>
      </c>
      <c r="N48" s="89">
        <v>2</v>
      </c>
      <c r="O48" s="89">
        <v>0</v>
      </c>
      <c r="P48" s="89">
        <v>0</v>
      </c>
      <c r="Q48" s="40">
        <f t="shared" si="8"/>
        <v>401</v>
      </c>
      <c r="R48" s="1"/>
      <c r="S48" s="1"/>
    </row>
    <row r="49" spans="1:19" ht="15.75" thickBot="1" x14ac:dyDescent="0.3">
      <c r="A49" s="7" t="s">
        <v>86</v>
      </c>
      <c r="B49" s="17">
        <v>0</v>
      </c>
      <c r="C49" s="11">
        <v>655</v>
      </c>
      <c r="D49" s="11">
        <v>2</v>
      </c>
      <c r="E49" s="11">
        <v>0</v>
      </c>
      <c r="F49" s="11">
        <v>0</v>
      </c>
      <c r="G49" s="11">
        <v>0</v>
      </c>
      <c r="H49" s="14">
        <f>SUM(B49:G49)</f>
        <v>657</v>
      </c>
      <c r="I49" s="1"/>
      <c r="J49" s="87" t="s">
        <v>178</v>
      </c>
      <c r="K49" s="71">
        <v>3</v>
      </c>
      <c r="L49" s="71">
        <v>2</v>
      </c>
      <c r="M49" s="71">
        <v>0</v>
      </c>
      <c r="N49" s="71">
        <v>0</v>
      </c>
      <c r="O49" s="71">
        <v>0</v>
      </c>
      <c r="P49" s="71">
        <v>0</v>
      </c>
      <c r="Q49" s="46">
        <f t="shared" si="8"/>
        <v>5</v>
      </c>
      <c r="R49" s="1"/>
      <c r="S49" s="1"/>
    </row>
    <row r="50" spans="1:19" x14ac:dyDescent="0.25">
      <c r="A50" s="18" t="s">
        <v>87</v>
      </c>
      <c r="B50" s="38">
        <v>443</v>
      </c>
      <c r="C50" s="19">
        <v>1161</v>
      </c>
      <c r="D50" s="19">
        <v>128</v>
      </c>
      <c r="E50" s="19">
        <v>13</v>
      </c>
      <c r="F50" s="21">
        <v>0</v>
      </c>
      <c r="G50" s="19">
        <v>0</v>
      </c>
      <c r="H50" s="14">
        <f>SUM(B50:G50)</f>
        <v>1745</v>
      </c>
      <c r="I50" s="1"/>
      <c r="J50" s="158"/>
      <c r="K50" s="158"/>
      <c r="L50" s="158"/>
      <c r="M50" s="158"/>
      <c r="N50" s="34"/>
      <c r="O50" s="34"/>
      <c r="P50" s="34"/>
      <c r="Q50" s="35"/>
      <c r="R50" s="1"/>
      <c r="S50" s="1"/>
    </row>
    <row r="51" spans="1:19" ht="15.75" thickBot="1" x14ac:dyDescent="0.3">
      <c r="A51" s="73" t="s">
        <v>139</v>
      </c>
      <c r="B51" s="75">
        <f t="shared" ref="B51:G51" si="9">SUM(B52:B68)</f>
        <v>1620</v>
      </c>
      <c r="C51" s="75">
        <f t="shared" si="9"/>
        <v>4869</v>
      </c>
      <c r="D51" s="77">
        <f t="shared" si="9"/>
        <v>2946</v>
      </c>
      <c r="E51" s="75">
        <f t="shared" si="9"/>
        <v>292</v>
      </c>
      <c r="F51" s="75">
        <f t="shared" si="9"/>
        <v>45</v>
      </c>
      <c r="G51" s="78">
        <f t="shared" si="9"/>
        <v>15</v>
      </c>
      <c r="H51" s="75">
        <f>SUM(B51:G51)</f>
        <v>9787</v>
      </c>
      <c r="I51" s="1"/>
      <c r="Q51" s="24"/>
      <c r="R51" s="1"/>
      <c r="S51" s="1"/>
    </row>
    <row r="52" spans="1:19" x14ac:dyDescent="0.25">
      <c r="A52" s="7" t="s">
        <v>90</v>
      </c>
      <c r="B52" s="13">
        <v>278</v>
      </c>
      <c r="C52" s="13">
        <v>119</v>
      </c>
      <c r="D52" s="25">
        <v>109</v>
      </c>
      <c r="E52" s="65">
        <v>37</v>
      </c>
      <c r="F52" s="65">
        <v>2</v>
      </c>
      <c r="G52" s="65">
        <v>0</v>
      </c>
      <c r="H52" s="26">
        <f t="shared" ref="H52:H113" si="10">SUM(B52:G52)</f>
        <v>545</v>
      </c>
      <c r="I52" s="1"/>
      <c r="J52" s="159" t="s">
        <v>152</v>
      </c>
      <c r="K52" s="160"/>
      <c r="L52" s="160"/>
      <c r="M52" s="160"/>
      <c r="N52" s="160"/>
      <c r="O52" s="160"/>
      <c r="P52" s="160"/>
      <c r="Q52" s="161"/>
      <c r="R52" s="1"/>
      <c r="S52" s="1"/>
    </row>
    <row r="53" spans="1:19" x14ac:dyDescent="0.25">
      <c r="A53" s="7" t="s">
        <v>91</v>
      </c>
      <c r="B53" s="13">
        <v>1</v>
      </c>
      <c r="C53" s="13">
        <v>0</v>
      </c>
      <c r="D53" s="25">
        <v>8</v>
      </c>
      <c r="E53" s="66">
        <v>8</v>
      </c>
      <c r="F53" s="66">
        <v>1</v>
      </c>
      <c r="G53" s="66">
        <v>0</v>
      </c>
      <c r="H53" s="26">
        <f t="shared" si="10"/>
        <v>18</v>
      </c>
      <c r="I53" s="1"/>
      <c r="J53" s="138" t="s">
        <v>72</v>
      </c>
      <c r="K53" s="139"/>
      <c r="L53" s="139"/>
      <c r="M53" s="139"/>
      <c r="N53" s="139"/>
      <c r="O53" s="139"/>
      <c r="P53" s="139"/>
      <c r="Q53" s="62" t="s">
        <v>11</v>
      </c>
      <c r="R53" s="1"/>
      <c r="S53" s="1"/>
    </row>
    <row r="54" spans="1:19" x14ac:dyDescent="0.25">
      <c r="A54" s="7" t="s">
        <v>32</v>
      </c>
      <c r="B54" s="13">
        <v>119</v>
      </c>
      <c r="C54" s="13">
        <v>2247</v>
      </c>
      <c r="D54" s="25">
        <v>1222</v>
      </c>
      <c r="E54" s="66">
        <v>127</v>
      </c>
      <c r="F54" s="66">
        <v>18</v>
      </c>
      <c r="G54" s="66">
        <v>8</v>
      </c>
      <c r="H54" s="26">
        <f t="shared" si="10"/>
        <v>3741</v>
      </c>
      <c r="I54" s="1"/>
      <c r="J54" s="138" t="s">
        <v>71</v>
      </c>
      <c r="K54" s="139"/>
      <c r="L54" s="139"/>
      <c r="M54" s="139"/>
      <c r="N54" s="139"/>
      <c r="O54" s="139"/>
      <c r="P54" s="139"/>
      <c r="Q54" s="47">
        <v>4</v>
      </c>
      <c r="R54" s="1"/>
      <c r="S54" s="1"/>
    </row>
    <row r="55" spans="1:19" x14ac:dyDescent="0.25">
      <c r="A55" s="7" t="s">
        <v>34</v>
      </c>
      <c r="B55" s="11">
        <v>10</v>
      </c>
      <c r="C55" s="13">
        <v>4</v>
      </c>
      <c r="D55" s="23">
        <v>48</v>
      </c>
      <c r="E55" s="66">
        <v>34</v>
      </c>
      <c r="F55" s="66">
        <v>0</v>
      </c>
      <c r="G55" s="66">
        <v>0</v>
      </c>
      <c r="H55" s="26">
        <f t="shared" si="10"/>
        <v>96</v>
      </c>
      <c r="I55" s="1"/>
      <c r="J55" s="138" t="s">
        <v>137</v>
      </c>
      <c r="K55" s="139"/>
      <c r="L55" s="139"/>
      <c r="M55" s="139"/>
      <c r="N55" s="139"/>
      <c r="O55" s="139"/>
      <c r="P55" s="139"/>
      <c r="Q55" s="47">
        <f>(H12)</f>
        <v>31508</v>
      </c>
      <c r="R55" s="1"/>
      <c r="S55" s="1"/>
    </row>
    <row r="56" spans="1:19" x14ac:dyDescent="0.25">
      <c r="A56" s="7" t="s">
        <v>181</v>
      </c>
      <c r="B56" s="13">
        <v>117</v>
      </c>
      <c r="C56" s="13">
        <v>686</v>
      </c>
      <c r="D56" s="25">
        <v>379</v>
      </c>
      <c r="E56" s="66">
        <v>23</v>
      </c>
      <c r="F56" s="66">
        <v>4</v>
      </c>
      <c r="G56" s="66">
        <v>1</v>
      </c>
      <c r="H56" s="26">
        <f t="shared" si="10"/>
        <v>1210</v>
      </c>
      <c r="I56" s="1"/>
      <c r="J56" s="138" t="s">
        <v>138</v>
      </c>
      <c r="K56" s="139"/>
      <c r="L56" s="139"/>
      <c r="M56" s="139"/>
      <c r="N56" s="139"/>
      <c r="O56" s="139"/>
      <c r="P56" s="139"/>
      <c r="Q56" s="48">
        <f>(H51)</f>
        <v>9787</v>
      </c>
      <c r="R56" s="1"/>
      <c r="S56" s="1"/>
    </row>
    <row r="57" spans="1:19" x14ac:dyDescent="0.25">
      <c r="A57" s="7" t="s">
        <v>184</v>
      </c>
      <c r="B57" s="11">
        <v>47</v>
      </c>
      <c r="C57" s="11">
        <v>1</v>
      </c>
      <c r="D57" s="23">
        <v>21</v>
      </c>
      <c r="E57" s="66">
        <v>4</v>
      </c>
      <c r="F57" s="66">
        <v>0</v>
      </c>
      <c r="G57" s="66">
        <v>0</v>
      </c>
      <c r="H57" s="26">
        <f t="shared" si="10"/>
        <v>73</v>
      </c>
      <c r="I57" s="1"/>
      <c r="J57" s="138" t="s">
        <v>140</v>
      </c>
      <c r="K57" s="139"/>
      <c r="L57" s="139"/>
      <c r="M57" s="139"/>
      <c r="N57" s="139"/>
      <c r="O57" s="139"/>
      <c r="P57" s="139"/>
      <c r="Q57" s="48">
        <f>(H69)</f>
        <v>627</v>
      </c>
      <c r="R57" s="1"/>
      <c r="S57" s="1"/>
    </row>
    <row r="58" spans="1:19" x14ac:dyDescent="0.25">
      <c r="A58" s="7" t="s">
        <v>88</v>
      </c>
      <c r="B58" s="11">
        <v>6</v>
      </c>
      <c r="C58" s="11">
        <v>3</v>
      </c>
      <c r="D58" s="23">
        <v>3</v>
      </c>
      <c r="E58" s="66">
        <v>0</v>
      </c>
      <c r="F58" s="66">
        <v>0</v>
      </c>
      <c r="G58" s="66">
        <v>0</v>
      </c>
      <c r="H58" s="26">
        <f t="shared" si="10"/>
        <v>12</v>
      </c>
      <c r="I58" s="1"/>
      <c r="J58" s="138" t="s">
        <v>144</v>
      </c>
      <c r="K58" s="139"/>
      <c r="L58" s="139"/>
      <c r="M58" s="139"/>
      <c r="N58" s="139"/>
      <c r="O58" s="139"/>
      <c r="P58" s="139"/>
      <c r="Q58" s="48">
        <f>H82</f>
        <v>2222</v>
      </c>
      <c r="R58" s="1"/>
      <c r="S58" s="1"/>
    </row>
    <row r="59" spans="1:19" x14ac:dyDescent="0.25">
      <c r="A59" s="7" t="s">
        <v>89</v>
      </c>
      <c r="B59" s="11">
        <v>0</v>
      </c>
      <c r="C59" s="11">
        <v>0</v>
      </c>
      <c r="D59" s="23">
        <v>0</v>
      </c>
      <c r="E59" s="66">
        <v>0</v>
      </c>
      <c r="F59" s="66">
        <v>0</v>
      </c>
      <c r="G59" s="66">
        <v>0</v>
      </c>
      <c r="H59" s="26">
        <f t="shared" si="10"/>
        <v>0</v>
      </c>
      <c r="I59" s="1"/>
      <c r="J59" s="138" t="s">
        <v>141</v>
      </c>
      <c r="K59" s="139"/>
      <c r="L59" s="139"/>
      <c r="M59" s="139"/>
      <c r="N59" s="139"/>
      <c r="O59" s="139"/>
      <c r="P59" s="139"/>
      <c r="Q59" s="48">
        <f>H95</f>
        <v>3965</v>
      </c>
      <c r="R59" s="1"/>
      <c r="S59" s="1"/>
    </row>
    <row r="60" spans="1:19" x14ac:dyDescent="0.25">
      <c r="A60" s="7" t="s">
        <v>183</v>
      </c>
      <c r="B60" s="11">
        <v>220</v>
      </c>
      <c r="C60" s="11">
        <v>765</v>
      </c>
      <c r="D60" s="23">
        <v>349</v>
      </c>
      <c r="E60" s="66">
        <v>18</v>
      </c>
      <c r="F60" s="66">
        <v>4</v>
      </c>
      <c r="G60" s="66">
        <v>1</v>
      </c>
      <c r="H60" s="26">
        <f t="shared" si="10"/>
        <v>1357</v>
      </c>
      <c r="I60" s="1"/>
      <c r="J60" s="138" t="s">
        <v>143</v>
      </c>
      <c r="K60" s="139"/>
      <c r="L60" s="139"/>
      <c r="M60" s="139"/>
      <c r="N60" s="139"/>
      <c r="O60" s="139"/>
      <c r="P60" s="139"/>
      <c r="Q60" s="63">
        <f>Q11</f>
        <v>1716</v>
      </c>
      <c r="R60" s="1"/>
      <c r="S60" s="1"/>
    </row>
    <row r="61" spans="1:19" x14ac:dyDescent="0.25">
      <c r="A61" s="7" t="s">
        <v>36</v>
      </c>
      <c r="B61" s="11">
        <v>11</v>
      </c>
      <c r="C61" s="11">
        <v>3</v>
      </c>
      <c r="D61" s="23">
        <v>10</v>
      </c>
      <c r="E61" s="66">
        <v>0</v>
      </c>
      <c r="F61" s="66">
        <v>0</v>
      </c>
      <c r="G61" s="66">
        <v>0</v>
      </c>
      <c r="H61" s="26">
        <f t="shared" si="10"/>
        <v>24</v>
      </c>
      <c r="I61" s="1"/>
      <c r="J61" s="138" t="s">
        <v>145</v>
      </c>
      <c r="K61" s="139"/>
      <c r="L61" s="139"/>
      <c r="M61" s="139"/>
      <c r="N61" s="139"/>
      <c r="O61" s="139"/>
      <c r="P61" s="139"/>
      <c r="Q61" s="41">
        <f>Q28</f>
        <v>564</v>
      </c>
      <c r="R61" s="1"/>
      <c r="S61" s="1"/>
    </row>
    <row r="62" spans="1:19" ht="15.75" thickBot="1" x14ac:dyDescent="0.3">
      <c r="A62" s="7" t="s">
        <v>119</v>
      </c>
      <c r="B62" s="11">
        <v>0</v>
      </c>
      <c r="C62" s="10">
        <v>0</v>
      </c>
      <c r="D62" s="23">
        <v>0</v>
      </c>
      <c r="E62" s="66">
        <v>0</v>
      </c>
      <c r="F62" s="66">
        <v>0</v>
      </c>
      <c r="G62" s="66">
        <v>0</v>
      </c>
      <c r="H62" s="26">
        <f>SUM(B62:G62)</f>
        <v>0</v>
      </c>
      <c r="I62" s="1"/>
      <c r="J62" s="144" t="s">
        <v>151</v>
      </c>
      <c r="K62" s="145"/>
      <c r="L62" s="145"/>
      <c r="M62" s="145"/>
      <c r="N62" s="145"/>
      <c r="O62" s="145"/>
      <c r="P62" s="145"/>
      <c r="Q62" s="64">
        <f>Q41</f>
        <v>995</v>
      </c>
      <c r="R62" s="1"/>
      <c r="S62" s="1"/>
    </row>
    <row r="63" spans="1:19" ht="15.75" thickBot="1" x14ac:dyDescent="0.3">
      <c r="A63" s="7" t="s">
        <v>118</v>
      </c>
      <c r="B63" s="11">
        <v>7</v>
      </c>
      <c r="C63" s="11">
        <v>2</v>
      </c>
      <c r="D63" s="23">
        <v>6</v>
      </c>
      <c r="E63" s="66">
        <v>0</v>
      </c>
      <c r="F63" s="66">
        <v>0</v>
      </c>
      <c r="G63" s="66">
        <v>0</v>
      </c>
      <c r="H63" s="33">
        <f>SUM(B63:G63)</f>
        <v>15</v>
      </c>
      <c r="I63" s="1"/>
      <c r="M63" s="53"/>
      <c r="N63" s="53"/>
      <c r="O63" s="53"/>
      <c r="P63" s="39" t="s">
        <v>11</v>
      </c>
      <c r="Q63" s="61">
        <f>SUM(Q54:Q62)</f>
        <v>51388</v>
      </c>
      <c r="R63" s="1"/>
      <c r="S63" s="1"/>
    </row>
    <row r="64" spans="1:19" x14ac:dyDescent="0.25">
      <c r="A64" s="8" t="s">
        <v>37</v>
      </c>
      <c r="B64" s="31">
        <v>110</v>
      </c>
      <c r="C64" s="20">
        <v>0</v>
      </c>
      <c r="D64" s="42">
        <v>45</v>
      </c>
      <c r="E64" s="65">
        <v>2</v>
      </c>
      <c r="F64" s="65">
        <v>0</v>
      </c>
      <c r="G64" s="65">
        <v>1</v>
      </c>
      <c r="H64" s="26">
        <f t="shared" si="10"/>
        <v>158</v>
      </c>
      <c r="I64" s="1"/>
      <c r="P64" s="1"/>
      <c r="Q64" s="1"/>
      <c r="R64" s="1"/>
      <c r="S64" s="1"/>
    </row>
    <row r="65" spans="1:19" x14ac:dyDescent="0.25">
      <c r="A65" s="7" t="s">
        <v>38</v>
      </c>
      <c r="B65" s="11">
        <v>314</v>
      </c>
      <c r="C65" s="10">
        <v>462</v>
      </c>
      <c r="D65" s="23">
        <v>365</v>
      </c>
      <c r="E65" s="66">
        <v>18</v>
      </c>
      <c r="F65" s="66">
        <v>8</v>
      </c>
      <c r="G65" s="66">
        <v>2</v>
      </c>
      <c r="H65" s="26">
        <f t="shared" si="10"/>
        <v>1169</v>
      </c>
      <c r="I65" s="1"/>
      <c r="R65" s="1"/>
      <c r="S65" s="1"/>
    </row>
    <row r="66" spans="1:19" x14ac:dyDescent="0.25">
      <c r="A66" s="7" t="s">
        <v>73</v>
      </c>
      <c r="B66" s="11">
        <v>314</v>
      </c>
      <c r="C66" s="10">
        <v>462</v>
      </c>
      <c r="D66" s="23">
        <v>365</v>
      </c>
      <c r="E66" s="11">
        <v>18</v>
      </c>
      <c r="F66" s="11">
        <v>8</v>
      </c>
      <c r="G66" s="11">
        <v>2</v>
      </c>
      <c r="H66" s="26">
        <f t="shared" si="10"/>
        <v>1169</v>
      </c>
      <c r="I66" s="1"/>
      <c r="J66" s="1"/>
      <c r="K66" s="1"/>
      <c r="L66" s="1"/>
      <c r="M66" s="1"/>
      <c r="N66" s="1"/>
      <c r="O66" s="1"/>
      <c r="R66" s="1"/>
      <c r="S66" s="1"/>
    </row>
    <row r="67" spans="1:19" x14ac:dyDescent="0.25">
      <c r="A67" s="7" t="s">
        <v>39</v>
      </c>
      <c r="B67" s="11">
        <v>59</v>
      </c>
      <c r="C67" s="10">
        <v>112</v>
      </c>
      <c r="D67" s="23">
        <v>14</v>
      </c>
      <c r="E67" s="11">
        <v>3</v>
      </c>
      <c r="F67" s="11">
        <v>0</v>
      </c>
      <c r="G67" s="11">
        <v>0</v>
      </c>
      <c r="H67" s="26">
        <f t="shared" si="10"/>
        <v>188</v>
      </c>
      <c r="I67" s="1"/>
      <c r="R67" s="1"/>
      <c r="S67" s="1"/>
    </row>
    <row r="68" spans="1:19" x14ac:dyDescent="0.25">
      <c r="A68" s="18" t="s">
        <v>40</v>
      </c>
      <c r="B68" s="19">
        <v>7</v>
      </c>
      <c r="C68" s="21">
        <v>3</v>
      </c>
      <c r="D68" s="43">
        <v>2</v>
      </c>
      <c r="E68" s="19">
        <v>0</v>
      </c>
      <c r="F68" s="19">
        <v>0</v>
      </c>
      <c r="G68" s="19">
        <v>0</v>
      </c>
      <c r="H68" s="26">
        <f t="shared" si="10"/>
        <v>12</v>
      </c>
      <c r="I68" s="1"/>
      <c r="R68" s="1"/>
      <c r="S68" s="1"/>
    </row>
    <row r="69" spans="1:19" x14ac:dyDescent="0.25">
      <c r="A69" s="73" t="s">
        <v>54</v>
      </c>
      <c r="B69" s="74">
        <f t="shared" ref="B69:G69" si="11">SUM(B70:B81)</f>
        <v>384</v>
      </c>
      <c r="C69" s="74">
        <f t="shared" si="11"/>
        <v>93</v>
      </c>
      <c r="D69" s="74">
        <f t="shared" si="11"/>
        <v>133</v>
      </c>
      <c r="E69" s="74">
        <f t="shared" si="11"/>
        <v>17</v>
      </c>
      <c r="F69" s="74">
        <f t="shared" si="11"/>
        <v>0</v>
      </c>
      <c r="G69" s="76">
        <f t="shared" si="11"/>
        <v>0</v>
      </c>
      <c r="H69" s="75">
        <f t="shared" si="10"/>
        <v>627</v>
      </c>
      <c r="I69" s="1"/>
      <c r="R69" s="1"/>
      <c r="S69" s="1"/>
    </row>
    <row r="70" spans="1:19" x14ac:dyDescent="0.25">
      <c r="A70" s="52" t="s">
        <v>55</v>
      </c>
      <c r="B70" s="65">
        <v>70</v>
      </c>
      <c r="C70" s="10">
        <v>23</v>
      </c>
      <c r="D70" s="65">
        <v>104</v>
      </c>
      <c r="E70" s="65">
        <v>11</v>
      </c>
      <c r="F70" s="11">
        <v>0</v>
      </c>
      <c r="G70" s="65">
        <v>0</v>
      </c>
      <c r="H70" s="26">
        <f t="shared" si="10"/>
        <v>208</v>
      </c>
      <c r="I70" s="1"/>
      <c r="R70" s="1"/>
      <c r="S70" s="1"/>
    </row>
    <row r="71" spans="1:19" x14ac:dyDescent="0.25">
      <c r="A71" s="52" t="s">
        <v>56</v>
      </c>
      <c r="B71" s="66">
        <v>134</v>
      </c>
      <c r="C71" s="91">
        <v>47</v>
      </c>
      <c r="D71" s="66">
        <v>4</v>
      </c>
      <c r="E71" s="66">
        <v>1</v>
      </c>
      <c r="F71" s="11">
        <v>0</v>
      </c>
      <c r="G71" s="66">
        <v>0</v>
      </c>
      <c r="H71" s="26">
        <f t="shared" si="10"/>
        <v>186</v>
      </c>
      <c r="I71" s="1"/>
      <c r="R71" s="1"/>
      <c r="S71" s="1"/>
    </row>
    <row r="72" spans="1:19" x14ac:dyDescent="0.25">
      <c r="A72" s="52" t="s">
        <v>58</v>
      </c>
      <c r="B72" s="66">
        <v>11</v>
      </c>
      <c r="C72" s="10">
        <v>0</v>
      </c>
      <c r="D72" s="66">
        <v>0</v>
      </c>
      <c r="E72" s="66">
        <v>0</v>
      </c>
      <c r="F72" s="11">
        <v>0</v>
      </c>
      <c r="G72" s="66">
        <v>0</v>
      </c>
      <c r="H72" s="26">
        <f t="shared" si="10"/>
        <v>11</v>
      </c>
      <c r="I72" s="1"/>
      <c r="R72" s="1"/>
      <c r="S72" s="1"/>
    </row>
    <row r="73" spans="1:19" x14ac:dyDescent="0.25">
      <c r="A73" s="52" t="s">
        <v>68</v>
      </c>
      <c r="B73" s="66">
        <v>52</v>
      </c>
      <c r="C73" s="91">
        <v>7</v>
      </c>
      <c r="D73" s="66">
        <v>7</v>
      </c>
      <c r="E73" s="66">
        <v>3</v>
      </c>
      <c r="F73" s="92">
        <v>0</v>
      </c>
      <c r="G73" s="66">
        <v>0</v>
      </c>
      <c r="H73" s="26">
        <f t="shared" si="10"/>
        <v>69</v>
      </c>
      <c r="I73" s="1"/>
      <c r="R73" s="1"/>
      <c r="S73" s="1"/>
    </row>
    <row r="74" spans="1:19" x14ac:dyDescent="0.25">
      <c r="A74" s="52" t="s">
        <v>69</v>
      </c>
      <c r="B74" s="66">
        <v>18</v>
      </c>
      <c r="C74" s="91">
        <v>3</v>
      </c>
      <c r="D74" s="66">
        <v>0</v>
      </c>
      <c r="E74" s="66">
        <v>0</v>
      </c>
      <c r="F74" s="92">
        <v>0</v>
      </c>
      <c r="G74" s="66">
        <v>0</v>
      </c>
      <c r="H74" s="26">
        <f t="shared" si="10"/>
        <v>21</v>
      </c>
      <c r="I74" s="1"/>
      <c r="R74" s="1"/>
      <c r="S74" s="1"/>
    </row>
    <row r="75" spans="1:19" x14ac:dyDescent="0.25">
      <c r="A75" s="52" t="s">
        <v>57</v>
      </c>
      <c r="B75" s="66">
        <v>8</v>
      </c>
      <c r="C75" s="91">
        <v>2</v>
      </c>
      <c r="D75" s="66">
        <v>8</v>
      </c>
      <c r="E75" s="66">
        <v>0</v>
      </c>
      <c r="F75" s="91">
        <v>0</v>
      </c>
      <c r="G75" s="66">
        <v>0</v>
      </c>
      <c r="H75" s="26">
        <f t="shared" si="10"/>
        <v>18</v>
      </c>
      <c r="I75" s="1"/>
      <c r="R75" s="1"/>
      <c r="S75" s="1"/>
    </row>
    <row r="76" spans="1:19" x14ac:dyDescent="0.25">
      <c r="A76" s="52" t="s">
        <v>142</v>
      </c>
      <c r="B76" s="66">
        <v>24</v>
      </c>
      <c r="C76" s="91">
        <v>4</v>
      </c>
      <c r="D76" s="66">
        <v>2</v>
      </c>
      <c r="E76" s="66">
        <v>0</v>
      </c>
      <c r="F76" s="92">
        <v>0</v>
      </c>
      <c r="G76" s="66">
        <v>0</v>
      </c>
      <c r="H76" s="26">
        <f t="shared" si="10"/>
        <v>30</v>
      </c>
      <c r="I76" s="1"/>
      <c r="R76" s="1"/>
      <c r="S76" s="1"/>
    </row>
    <row r="77" spans="1:19" x14ac:dyDescent="0.25">
      <c r="A77" s="52" t="s">
        <v>59</v>
      </c>
      <c r="B77" s="66">
        <v>6</v>
      </c>
      <c r="C77" s="91">
        <v>0</v>
      </c>
      <c r="D77" s="66">
        <v>7</v>
      </c>
      <c r="E77" s="66">
        <v>2</v>
      </c>
      <c r="F77" s="92">
        <v>0</v>
      </c>
      <c r="G77" s="66">
        <v>0</v>
      </c>
      <c r="H77" s="26">
        <f t="shared" si="10"/>
        <v>15</v>
      </c>
      <c r="I77" s="1"/>
      <c r="R77" s="1"/>
      <c r="S77" s="1"/>
    </row>
    <row r="78" spans="1:19" x14ac:dyDescent="0.25">
      <c r="A78" s="52" t="s">
        <v>60</v>
      </c>
      <c r="B78" s="66">
        <v>15</v>
      </c>
      <c r="C78" s="91">
        <v>0</v>
      </c>
      <c r="D78" s="66">
        <v>1</v>
      </c>
      <c r="E78" s="66">
        <v>0</v>
      </c>
      <c r="F78" s="91">
        <v>0</v>
      </c>
      <c r="G78" s="66">
        <v>0</v>
      </c>
      <c r="H78" s="26">
        <f t="shared" si="10"/>
        <v>16</v>
      </c>
      <c r="I78" s="1"/>
      <c r="R78" s="1"/>
      <c r="S78" s="1"/>
    </row>
    <row r="79" spans="1:19" x14ac:dyDescent="0.25">
      <c r="A79" s="52" t="s">
        <v>106</v>
      </c>
      <c r="B79" s="66">
        <v>9</v>
      </c>
      <c r="C79" s="91">
        <v>0</v>
      </c>
      <c r="D79" s="66">
        <v>0</v>
      </c>
      <c r="E79" s="66">
        <v>0</v>
      </c>
      <c r="F79" s="91">
        <v>0</v>
      </c>
      <c r="G79" s="66">
        <v>0</v>
      </c>
      <c r="H79" s="26">
        <f t="shared" si="10"/>
        <v>9</v>
      </c>
      <c r="I79" s="1"/>
      <c r="R79" s="1"/>
      <c r="S79" s="1"/>
    </row>
    <row r="80" spans="1:19" x14ac:dyDescent="0.25">
      <c r="A80" s="52" t="s">
        <v>132</v>
      </c>
      <c r="B80" s="66">
        <v>18</v>
      </c>
      <c r="C80" s="91">
        <v>3</v>
      </c>
      <c r="D80" s="66">
        <v>0</v>
      </c>
      <c r="E80" s="66">
        <v>0</v>
      </c>
      <c r="F80" s="92">
        <v>0</v>
      </c>
      <c r="G80" s="66">
        <v>0</v>
      </c>
      <c r="H80" s="26">
        <f t="shared" si="10"/>
        <v>21</v>
      </c>
      <c r="I80" s="1"/>
      <c r="R80" s="1"/>
      <c r="S80" s="1"/>
    </row>
    <row r="81" spans="1:19" x14ac:dyDescent="0.25">
      <c r="A81" s="52" t="s">
        <v>133</v>
      </c>
      <c r="B81" s="93">
        <v>19</v>
      </c>
      <c r="C81" s="91">
        <v>4</v>
      </c>
      <c r="D81" s="93">
        <v>0</v>
      </c>
      <c r="E81" s="93">
        <v>0</v>
      </c>
      <c r="F81" s="92">
        <v>0</v>
      </c>
      <c r="G81" s="93">
        <v>0</v>
      </c>
      <c r="H81" s="26">
        <f t="shared" si="10"/>
        <v>23</v>
      </c>
      <c r="I81" s="1"/>
      <c r="R81" s="1"/>
      <c r="S81" s="1"/>
    </row>
    <row r="82" spans="1:19" x14ac:dyDescent="0.25">
      <c r="A82" s="73" t="s">
        <v>70</v>
      </c>
      <c r="B82" s="74">
        <f>SUM(B83:B94)</f>
        <v>162</v>
      </c>
      <c r="C82" s="74">
        <f t="shared" ref="C82:G82" si="12">SUM(C83:C94)</f>
        <v>795</v>
      </c>
      <c r="D82" s="74">
        <f t="shared" si="12"/>
        <v>1209</v>
      </c>
      <c r="E82" s="74">
        <f t="shared" si="12"/>
        <v>53</v>
      </c>
      <c r="F82" s="74">
        <f t="shared" si="12"/>
        <v>3</v>
      </c>
      <c r="G82" s="74">
        <f t="shared" si="12"/>
        <v>0</v>
      </c>
      <c r="H82" s="75">
        <f t="shared" si="10"/>
        <v>2222</v>
      </c>
      <c r="I82" s="1"/>
      <c r="R82" s="1"/>
      <c r="S82" s="1"/>
    </row>
    <row r="83" spans="1:19" x14ac:dyDescent="0.25">
      <c r="A83" s="22" t="s">
        <v>84</v>
      </c>
      <c r="B83" s="11">
        <v>19</v>
      </c>
      <c r="C83" s="10">
        <v>0</v>
      </c>
      <c r="D83" s="11">
        <v>91</v>
      </c>
      <c r="E83" s="11">
        <v>4</v>
      </c>
      <c r="F83" s="10">
        <v>1</v>
      </c>
      <c r="G83" s="11">
        <v>0</v>
      </c>
      <c r="H83" s="26">
        <f t="shared" si="10"/>
        <v>115</v>
      </c>
      <c r="I83" s="1"/>
      <c r="R83" s="1"/>
      <c r="S83" s="1"/>
    </row>
    <row r="84" spans="1:19" x14ac:dyDescent="0.25">
      <c r="A84" s="22" t="s">
        <v>114</v>
      </c>
      <c r="B84" s="11">
        <v>19</v>
      </c>
      <c r="C84" s="10">
        <v>0</v>
      </c>
      <c r="D84" s="11">
        <v>125</v>
      </c>
      <c r="E84" s="11">
        <v>6</v>
      </c>
      <c r="F84" s="10">
        <v>1</v>
      </c>
      <c r="G84" s="11">
        <v>0</v>
      </c>
      <c r="H84" s="26">
        <f t="shared" si="10"/>
        <v>151</v>
      </c>
      <c r="I84" s="1"/>
      <c r="R84" s="1"/>
      <c r="S84" s="1"/>
    </row>
    <row r="85" spans="1:19" ht="14.25" customHeight="1" x14ac:dyDescent="0.25">
      <c r="A85" s="22" t="s">
        <v>61</v>
      </c>
      <c r="B85" s="11">
        <v>12</v>
      </c>
      <c r="C85" s="10">
        <v>65</v>
      </c>
      <c r="D85" s="11">
        <v>4</v>
      </c>
      <c r="E85" s="11">
        <v>3</v>
      </c>
      <c r="F85" s="10">
        <v>0</v>
      </c>
      <c r="G85" s="11">
        <v>0</v>
      </c>
      <c r="H85" s="26">
        <f t="shared" si="10"/>
        <v>84</v>
      </c>
      <c r="I85" s="1"/>
      <c r="R85" s="1"/>
      <c r="S85" s="1"/>
    </row>
    <row r="86" spans="1:19" x14ac:dyDescent="0.25">
      <c r="A86" s="22" t="s">
        <v>62</v>
      </c>
      <c r="B86" s="11">
        <v>26</v>
      </c>
      <c r="C86" s="10">
        <v>0</v>
      </c>
      <c r="D86" s="11">
        <v>194</v>
      </c>
      <c r="E86" s="11">
        <v>5</v>
      </c>
      <c r="F86" s="10">
        <v>1</v>
      </c>
      <c r="G86" s="11">
        <v>0</v>
      </c>
      <c r="H86" s="26">
        <f t="shared" si="10"/>
        <v>226</v>
      </c>
      <c r="I86" s="1"/>
      <c r="K86" s="133"/>
      <c r="L86" s="133"/>
      <c r="M86" s="133"/>
      <c r="R86" s="1"/>
      <c r="S86" s="1"/>
    </row>
    <row r="87" spans="1:19" x14ac:dyDescent="0.25">
      <c r="A87" s="22" t="s">
        <v>93</v>
      </c>
      <c r="B87" s="11">
        <v>0</v>
      </c>
      <c r="C87" s="10">
        <v>0</v>
      </c>
      <c r="D87" s="11">
        <v>0</v>
      </c>
      <c r="E87" s="11">
        <v>0</v>
      </c>
      <c r="F87" s="10">
        <v>0</v>
      </c>
      <c r="G87" s="11">
        <v>0</v>
      </c>
      <c r="H87" s="26">
        <f t="shared" si="10"/>
        <v>0</v>
      </c>
      <c r="I87" s="1"/>
      <c r="R87" s="1"/>
      <c r="S87" s="1"/>
    </row>
    <row r="88" spans="1:19" x14ac:dyDescent="0.25">
      <c r="A88" s="22" t="s">
        <v>94</v>
      </c>
      <c r="B88" s="11">
        <v>0</v>
      </c>
      <c r="C88" s="10">
        <v>0</v>
      </c>
      <c r="D88" s="11">
        <v>0</v>
      </c>
      <c r="E88" s="11">
        <v>0</v>
      </c>
      <c r="F88" s="10">
        <v>0</v>
      </c>
      <c r="G88" s="11">
        <v>0</v>
      </c>
      <c r="H88" s="33">
        <f t="shared" si="10"/>
        <v>0</v>
      </c>
      <c r="I88" s="1"/>
      <c r="R88" s="1"/>
      <c r="S88" s="1"/>
    </row>
    <row r="89" spans="1:19" x14ac:dyDescent="0.25">
      <c r="A89" s="81" t="s">
        <v>108</v>
      </c>
      <c r="B89" s="82">
        <v>56</v>
      </c>
      <c r="C89" s="83">
        <v>693</v>
      </c>
      <c r="D89" s="82">
        <v>551</v>
      </c>
      <c r="E89" s="82">
        <v>25</v>
      </c>
      <c r="F89" s="85">
        <v>0</v>
      </c>
      <c r="G89" s="82">
        <v>0</v>
      </c>
      <c r="H89" s="84">
        <f>SUM(B89:G89)</f>
        <v>1325</v>
      </c>
      <c r="I89" s="1"/>
      <c r="R89" s="1"/>
      <c r="S89" s="1"/>
    </row>
    <row r="90" spans="1:19" x14ac:dyDescent="0.25">
      <c r="A90" s="32" t="s">
        <v>63</v>
      </c>
      <c r="B90" s="31">
        <v>2</v>
      </c>
      <c r="C90" s="20">
        <v>0</v>
      </c>
      <c r="D90" s="31">
        <v>0</v>
      </c>
      <c r="E90" s="31">
        <v>0</v>
      </c>
      <c r="F90" s="20">
        <v>0</v>
      </c>
      <c r="G90" s="31">
        <v>0</v>
      </c>
      <c r="H90" s="26">
        <f t="shared" si="10"/>
        <v>2</v>
      </c>
      <c r="I90" s="1"/>
      <c r="R90" s="1"/>
      <c r="S90" s="1"/>
    </row>
    <row r="91" spans="1:19" x14ac:dyDescent="0.25">
      <c r="A91" s="22" t="s">
        <v>153</v>
      </c>
      <c r="B91" s="11">
        <v>2</v>
      </c>
      <c r="C91" s="10">
        <v>0</v>
      </c>
      <c r="D91" s="11">
        <v>6</v>
      </c>
      <c r="E91" s="11">
        <v>0</v>
      </c>
      <c r="F91" s="10">
        <v>0</v>
      </c>
      <c r="G91" s="11">
        <v>0</v>
      </c>
      <c r="H91" s="26">
        <f t="shared" si="10"/>
        <v>8</v>
      </c>
      <c r="I91" s="1"/>
      <c r="R91" s="1"/>
      <c r="S91" s="1"/>
    </row>
    <row r="92" spans="1:19" x14ac:dyDescent="0.25">
      <c r="A92" s="22" t="s">
        <v>107</v>
      </c>
      <c r="B92" s="11">
        <v>18</v>
      </c>
      <c r="C92" s="10">
        <v>37</v>
      </c>
      <c r="D92" s="11">
        <v>139</v>
      </c>
      <c r="E92" s="11">
        <v>7</v>
      </c>
      <c r="F92" s="10">
        <v>0</v>
      </c>
      <c r="G92" s="11">
        <v>0</v>
      </c>
      <c r="H92" s="26">
        <f t="shared" si="10"/>
        <v>201</v>
      </c>
      <c r="I92" s="1"/>
      <c r="R92" s="1"/>
      <c r="S92" s="1"/>
    </row>
    <row r="93" spans="1:19" x14ac:dyDescent="0.25">
      <c r="A93" s="22" t="s">
        <v>210</v>
      </c>
      <c r="B93" s="11">
        <v>2</v>
      </c>
      <c r="C93" s="10">
        <v>0</v>
      </c>
      <c r="D93" s="11">
        <v>98</v>
      </c>
      <c r="E93" s="11">
        <v>3</v>
      </c>
      <c r="F93" s="10">
        <v>0</v>
      </c>
      <c r="G93" s="11">
        <v>0</v>
      </c>
      <c r="H93" s="26">
        <f t="shared" si="10"/>
        <v>103</v>
      </c>
      <c r="I93" s="1"/>
      <c r="R93" s="1"/>
      <c r="S93" s="1"/>
    </row>
    <row r="94" spans="1:19" x14ac:dyDescent="0.25">
      <c r="A94" s="22" t="s">
        <v>182</v>
      </c>
      <c r="B94" s="11">
        <v>6</v>
      </c>
      <c r="C94" s="10">
        <v>0</v>
      </c>
      <c r="D94" s="11">
        <v>1</v>
      </c>
      <c r="E94" s="11">
        <v>0</v>
      </c>
      <c r="F94" s="10">
        <v>0</v>
      </c>
      <c r="G94" s="11">
        <v>0</v>
      </c>
      <c r="H94" s="26">
        <f t="shared" si="10"/>
        <v>7</v>
      </c>
      <c r="I94" s="1"/>
      <c r="R94" s="1"/>
      <c r="S94" s="1"/>
    </row>
    <row r="95" spans="1:19" x14ac:dyDescent="0.25">
      <c r="A95" s="73" t="s">
        <v>3</v>
      </c>
      <c r="B95" s="74">
        <f>SUM(B96:B155)</f>
        <v>870</v>
      </c>
      <c r="C95" s="74">
        <f t="shared" ref="C95:G95" si="13">SUM(C96:C155)</f>
        <v>965</v>
      </c>
      <c r="D95" s="74">
        <f t="shared" si="13"/>
        <v>2078</v>
      </c>
      <c r="E95" s="74">
        <f t="shared" si="13"/>
        <v>33</v>
      </c>
      <c r="F95" s="74">
        <f t="shared" si="13"/>
        <v>19</v>
      </c>
      <c r="G95" s="74">
        <f t="shared" si="13"/>
        <v>0</v>
      </c>
      <c r="H95" s="75">
        <f t="shared" si="10"/>
        <v>3965</v>
      </c>
      <c r="I95" s="1"/>
      <c r="R95" s="1"/>
      <c r="S95" s="1"/>
    </row>
    <row r="96" spans="1:19" x14ac:dyDescent="0.25">
      <c r="A96" s="7" t="s">
        <v>113</v>
      </c>
      <c r="B96" s="11">
        <v>72</v>
      </c>
      <c r="C96" s="11">
        <v>247</v>
      </c>
      <c r="D96" s="11">
        <v>286</v>
      </c>
      <c r="E96" s="11">
        <v>3</v>
      </c>
      <c r="F96" s="17">
        <v>3</v>
      </c>
      <c r="G96" s="11">
        <v>0</v>
      </c>
      <c r="H96" s="14">
        <f t="shared" si="10"/>
        <v>611</v>
      </c>
      <c r="I96" s="1"/>
      <c r="R96" s="1"/>
      <c r="S96" s="1"/>
    </row>
    <row r="97" spans="1:19" x14ac:dyDescent="0.25">
      <c r="A97" s="7" t="s">
        <v>112</v>
      </c>
      <c r="B97" s="11">
        <v>0</v>
      </c>
      <c r="C97" s="11">
        <v>0</v>
      </c>
      <c r="D97" s="11">
        <v>0</v>
      </c>
      <c r="E97" s="11">
        <v>0</v>
      </c>
      <c r="F97" s="17">
        <v>0</v>
      </c>
      <c r="G97" s="11">
        <v>0</v>
      </c>
      <c r="H97" s="14">
        <f t="shared" si="10"/>
        <v>0</v>
      </c>
      <c r="I97" s="1"/>
      <c r="R97" s="1"/>
      <c r="S97" s="1"/>
    </row>
    <row r="98" spans="1:19" x14ac:dyDescent="0.25">
      <c r="A98" s="7" t="s">
        <v>41</v>
      </c>
      <c r="B98" s="11">
        <v>0</v>
      </c>
      <c r="C98" s="11">
        <v>0</v>
      </c>
      <c r="D98" s="11">
        <v>0</v>
      </c>
      <c r="E98" s="11">
        <v>0</v>
      </c>
      <c r="F98" s="17">
        <v>0</v>
      </c>
      <c r="G98" s="11">
        <v>0</v>
      </c>
      <c r="H98" s="14">
        <f t="shared" si="10"/>
        <v>0</v>
      </c>
      <c r="I98" s="1"/>
      <c r="R98" s="1"/>
      <c r="S98" s="1"/>
    </row>
    <row r="99" spans="1:19" x14ac:dyDescent="0.25">
      <c r="A99" s="7" t="s">
        <v>192</v>
      </c>
      <c r="B99" s="11">
        <v>0</v>
      </c>
      <c r="C99" s="11">
        <v>0</v>
      </c>
      <c r="D99" s="11">
        <v>0</v>
      </c>
      <c r="E99" s="11">
        <v>0</v>
      </c>
      <c r="F99" s="17">
        <v>0</v>
      </c>
      <c r="G99" s="11">
        <v>0</v>
      </c>
      <c r="H99" s="14">
        <f t="shared" si="10"/>
        <v>0</v>
      </c>
      <c r="I99" s="1"/>
      <c r="R99" s="1"/>
      <c r="S99" s="1"/>
    </row>
    <row r="100" spans="1:19" x14ac:dyDescent="0.25">
      <c r="A100" s="7" t="s">
        <v>213</v>
      </c>
      <c r="B100" s="11">
        <v>7</v>
      </c>
      <c r="C100" s="11">
        <v>0</v>
      </c>
      <c r="D100" s="11">
        <v>4</v>
      </c>
      <c r="E100" s="11">
        <v>0</v>
      </c>
      <c r="F100" s="17">
        <v>0</v>
      </c>
      <c r="G100" s="11">
        <v>0</v>
      </c>
      <c r="H100" s="14">
        <f t="shared" si="10"/>
        <v>11</v>
      </c>
      <c r="I100" s="1"/>
      <c r="R100" s="1"/>
      <c r="S100" s="1"/>
    </row>
    <row r="101" spans="1:19" x14ac:dyDescent="0.25">
      <c r="A101" s="7" t="s">
        <v>214</v>
      </c>
      <c r="B101" s="11">
        <v>7</v>
      </c>
      <c r="C101" s="11">
        <v>0</v>
      </c>
      <c r="D101" s="11">
        <v>4</v>
      </c>
      <c r="E101" s="11">
        <v>0</v>
      </c>
      <c r="F101" s="17">
        <v>0</v>
      </c>
      <c r="G101" s="11">
        <v>0</v>
      </c>
      <c r="H101" s="14">
        <f t="shared" si="10"/>
        <v>11</v>
      </c>
      <c r="I101" s="1"/>
      <c r="R101" s="1"/>
      <c r="S101" s="1"/>
    </row>
    <row r="102" spans="1:19" x14ac:dyDescent="0.25">
      <c r="A102" s="7" t="s">
        <v>222</v>
      </c>
      <c r="B102" s="11">
        <v>7</v>
      </c>
      <c r="C102" s="11">
        <v>0</v>
      </c>
      <c r="D102" s="11">
        <v>8</v>
      </c>
      <c r="E102" s="11">
        <v>1</v>
      </c>
      <c r="F102" s="17">
        <v>0</v>
      </c>
      <c r="G102" s="11">
        <v>0</v>
      </c>
      <c r="H102" s="14">
        <f t="shared" si="10"/>
        <v>16</v>
      </c>
      <c r="I102" s="1"/>
      <c r="R102" s="1"/>
      <c r="S102" s="1"/>
    </row>
    <row r="103" spans="1:19" x14ac:dyDescent="0.25">
      <c r="A103" s="7" t="s">
        <v>219</v>
      </c>
      <c r="B103" s="11">
        <v>3</v>
      </c>
      <c r="C103" s="11">
        <v>0</v>
      </c>
      <c r="D103" s="11">
        <v>3</v>
      </c>
      <c r="E103" s="11">
        <v>1</v>
      </c>
      <c r="F103" s="17">
        <v>0</v>
      </c>
      <c r="G103" s="11">
        <v>0</v>
      </c>
      <c r="H103" s="14">
        <f t="shared" si="10"/>
        <v>7</v>
      </c>
      <c r="I103" s="1"/>
      <c r="R103" s="1"/>
      <c r="S103" s="1"/>
    </row>
    <row r="104" spans="1:19" x14ac:dyDescent="0.25">
      <c r="A104" s="7" t="s">
        <v>220</v>
      </c>
      <c r="B104" s="11">
        <v>6</v>
      </c>
      <c r="C104" s="11">
        <v>0</v>
      </c>
      <c r="D104" s="11">
        <v>7</v>
      </c>
      <c r="E104" s="11">
        <v>0</v>
      </c>
      <c r="F104" s="17">
        <v>0</v>
      </c>
      <c r="G104" s="11">
        <v>0</v>
      </c>
      <c r="H104" s="14">
        <f t="shared" si="10"/>
        <v>13</v>
      </c>
      <c r="I104" s="1"/>
      <c r="R104" s="1"/>
      <c r="S104" s="1"/>
    </row>
    <row r="105" spans="1:19" x14ac:dyDescent="0.25">
      <c r="A105" s="7" t="s">
        <v>216</v>
      </c>
      <c r="B105" s="11">
        <v>0</v>
      </c>
      <c r="C105" s="11">
        <v>0</v>
      </c>
      <c r="D105" s="11">
        <v>0</v>
      </c>
      <c r="E105" s="11">
        <v>0</v>
      </c>
      <c r="F105" s="17">
        <v>0</v>
      </c>
      <c r="G105" s="11">
        <v>0</v>
      </c>
      <c r="H105" s="14">
        <f t="shared" si="10"/>
        <v>0</v>
      </c>
      <c r="I105" s="1"/>
      <c r="R105" s="1"/>
      <c r="S105" s="1"/>
    </row>
    <row r="106" spans="1:19" x14ac:dyDescent="0.25">
      <c r="A106" s="7" t="s">
        <v>174</v>
      </c>
      <c r="B106" s="11">
        <v>0</v>
      </c>
      <c r="C106" s="11">
        <v>0</v>
      </c>
      <c r="D106" s="11">
        <v>0</v>
      </c>
      <c r="E106" s="11">
        <v>0</v>
      </c>
      <c r="F106" s="17">
        <v>0</v>
      </c>
      <c r="G106" s="11">
        <v>0</v>
      </c>
      <c r="H106" s="14">
        <f t="shared" si="10"/>
        <v>0</v>
      </c>
      <c r="I106" s="1"/>
      <c r="R106" s="1"/>
      <c r="S106" s="1"/>
    </row>
    <row r="107" spans="1:19" x14ac:dyDescent="0.25">
      <c r="A107" s="7" t="s">
        <v>175</v>
      </c>
      <c r="B107" s="11">
        <v>0</v>
      </c>
      <c r="C107" s="11">
        <v>0</v>
      </c>
      <c r="D107" s="11">
        <v>0</v>
      </c>
      <c r="E107" s="19">
        <v>0</v>
      </c>
      <c r="F107" s="17">
        <v>0</v>
      </c>
      <c r="G107" s="11">
        <v>0</v>
      </c>
      <c r="H107" s="14">
        <f t="shared" si="10"/>
        <v>0</v>
      </c>
      <c r="I107" s="1"/>
      <c r="R107" s="1"/>
      <c r="S107" s="1"/>
    </row>
    <row r="108" spans="1:19" x14ac:dyDescent="0.25">
      <c r="A108" s="143" t="s">
        <v>109</v>
      </c>
      <c r="B108" s="143"/>
      <c r="C108" s="143"/>
      <c r="D108" s="143"/>
      <c r="E108" s="143"/>
      <c r="F108" s="143"/>
      <c r="G108" s="143"/>
      <c r="H108" s="143"/>
      <c r="I108" s="1"/>
      <c r="R108" s="1"/>
      <c r="S108" s="1"/>
    </row>
    <row r="109" spans="1:19" x14ac:dyDescent="0.25">
      <c r="A109" s="7" t="s">
        <v>123</v>
      </c>
      <c r="B109" s="11">
        <v>59</v>
      </c>
      <c r="C109" s="11">
        <v>257</v>
      </c>
      <c r="D109" s="11">
        <v>220</v>
      </c>
      <c r="E109" s="11">
        <v>2</v>
      </c>
      <c r="F109" s="11">
        <v>2</v>
      </c>
      <c r="G109" s="11">
        <v>0</v>
      </c>
      <c r="H109" s="28">
        <f t="shared" si="10"/>
        <v>540</v>
      </c>
      <c r="I109" s="1"/>
      <c r="J109" s="133"/>
      <c r="K109" s="133"/>
      <c r="R109" s="1"/>
      <c r="S109" s="1"/>
    </row>
    <row r="110" spans="1:19" x14ac:dyDescent="0.25">
      <c r="A110" s="7" t="s">
        <v>122</v>
      </c>
      <c r="B110" s="11">
        <v>50</v>
      </c>
      <c r="C110" s="11">
        <v>246</v>
      </c>
      <c r="D110" s="10">
        <v>187</v>
      </c>
      <c r="E110" s="11">
        <v>5</v>
      </c>
      <c r="F110" s="11">
        <v>4</v>
      </c>
      <c r="G110" s="11">
        <v>0</v>
      </c>
      <c r="H110" s="14">
        <f t="shared" si="10"/>
        <v>492</v>
      </c>
      <c r="I110" s="1"/>
      <c r="J110" s="133"/>
      <c r="K110" s="133"/>
      <c r="R110" s="1"/>
      <c r="S110" s="1"/>
    </row>
    <row r="111" spans="1:19" x14ac:dyDescent="0.25">
      <c r="A111" s="7" t="s">
        <v>121</v>
      </c>
      <c r="B111" s="11">
        <v>41</v>
      </c>
      <c r="C111" s="11">
        <v>59</v>
      </c>
      <c r="D111" s="11">
        <v>101</v>
      </c>
      <c r="E111" s="11">
        <v>3</v>
      </c>
      <c r="F111" s="11">
        <v>1</v>
      </c>
      <c r="G111" s="11">
        <v>0</v>
      </c>
      <c r="H111" s="14">
        <f t="shared" si="10"/>
        <v>205</v>
      </c>
      <c r="I111" s="1"/>
      <c r="R111" s="1"/>
      <c r="S111" s="1"/>
    </row>
    <row r="112" spans="1:19" x14ac:dyDescent="0.25">
      <c r="A112" s="7" t="s">
        <v>120</v>
      </c>
      <c r="B112" s="11">
        <v>35</v>
      </c>
      <c r="C112" s="11">
        <v>22</v>
      </c>
      <c r="D112" s="11">
        <v>59</v>
      </c>
      <c r="E112" s="11">
        <v>1</v>
      </c>
      <c r="F112" s="11">
        <v>1</v>
      </c>
      <c r="G112" s="11">
        <v>0</v>
      </c>
      <c r="H112" s="14">
        <f t="shared" si="10"/>
        <v>118</v>
      </c>
      <c r="I112" s="1"/>
      <c r="R112" s="1"/>
      <c r="S112" s="1"/>
    </row>
    <row r="113" spans="1:19" x14ac:dyDescent="0.25">
      <c r="A113" s="7" t="s">
        <v>124</v>
      </c>
      <c r="B113" s="11">
        <v>8</v>
      </c>
      <c r="C113" s="11">
        <v>0</v>
      </c>
      <c r="D113" s="11">
        <v>18</v>
      </c>
      <c r="E113" s="11">
        <v>0</v>
      </c>
      <c r="F113" s="11">
        <v>0</v>
      </c>
      <c r="G113" s="11">
        <v>0</v>
      </c>
      <c r="H113" s="14">
        <f t="shared" si="10"/>
        <v>26</v>
      </c>
      <c r="I113" s="1"/>
      <c r="R113" s="1"/>
      <c r="S113" s="1"/>
    </row>
    <row r="114" spans="1:19" x14ac:dyDescent="0.25">
      <c r="A114" s="7" t="s">
        <v>48</v>
      </c>
      <c r="B114" s="11">
        <v>0</v>
      </c>
      <c r="C114" s="11">
        <v>0</v>
      </c>
      <c r="D114" s="11">
        <v>0</v>
      </c>
      <c r="E114" s="11">
        <v>0</v>
      </c>
      <c r="F114" s="11">
        <v>0</v>
      </c>
      <c r="G114" s="11">
        <v>0</v>
      </c>
      <c r="H114" s="14">
        <f>SUM(B114:G114)</f>
        <v>0</v>
      </c>
      <c r="I114" s="1"/>
      <c r="R114" s="1"/>
      <c r="S114" s="1"/>
    </row>
    <row r="115" spans="1:19" x14ac:dyDescent="0.25">
      <c r="A115" s="162" t="s">
        <v>110</v>
      </c>
      <c r="B115" s="163"/>
      <c r="C115" s="163"/>
      <c r="D115" s="163"/>
      <c r="E115" s="163"/>
      <c r="F115" s="163"/>
      <c r="G115" s="163"/>
      <c r="H115" s="142"/>
      <c r="I115" s="1"/>
      <c r="R115" s="1"/>
      <c r="S115" s="1"/>
    </row>
    <row r="116" spans="1:19" x14ac:dyDescent="0.25">
      <c r="A116" s="8" t="s">
        <v>111</v>
      </c>
      <c r="B116" s="31">
        <v>36</v>
      </c>
      <c r="C116" s="31">
        <v>10</v>
      </c>
      <c r="D116" s="31">
        <v>115</v>
      </c>
      <c r="E116" s="31">
        <v>0</v>
      </c>
      <c r="F116" s="31">
        <v>0</v>
      </c>
      <c r="G116" s="31">
        <v>0</v>
      </c>
      <c r="H116" s="26">
        <f t="shared" ref="H116:H155" si="14">SUM(B116:G116)</f>
        <v>161</v>
      </c>
      <c r="I116" s="1"/>
      <c r="R116" s="1"/>
      <c r="S116" s="1"/>
    </row>
    <row r="117" spans="1:19" x14ac:dyDescent="0.25">
      <c r="A117" s="7" t="s">
        <v>158</v>
      </c>
      <c r="B117" s="11">
        <v>35</v>
      </c>
      <c r="C117" s="11">
        <v>3</v>
      </c>
      <c r="D117" s="11">
        <v>141</v>
      </c>
      <c r="E117" s="11">
        <v>0</v>
      </c>
      <c r="F117" s="11">
        <v>0</v>
      </c>
      <c r="G117" s="11">
        <v>0</v>
      </c>
      <c r="H117" s="26">
        <f t="shared" si="14"/>
        <v>179</v>
      </c>
      <c r="I117" s="1"/>
      <c r="R117" s="1"/>
      <c r="S117" s="1"/>
    </row>
    <row r="118" spans="1:19" x14ac:dyDescent="0.25">
      <c r="A118" s="7" t="s">
        <v>156</v>
      </c>
      <c r="B118" s="11">
        <v>26</v>
      </c>
      <c r="C118" s="11">
        <v>0</v>
      </c>
      <c r="D118" s="11">
        <v>42</v>
      </c>
      <c r="E118" s="11">
        <v>0</v>
      </c>
      <c r="F118" s="11">
        <v>0</v>
      </c>
      <c r="G118" s="11">
        <v>0</v>
      </c>
      <c r="H118" s="26">
        <f t="shared" si="14"/>
        <v>68</v>
      </c>
      <c r="I118" s="1"/>
      <c r="R118" s="1"/>
      <c r="S118" s="1"/>
    </row>
    <row r="119" spans="1:19" x14ac:dyDescent="0.25">
      <c r="A119" s="7" t="s">
        <v>187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26">
        <f t="shared" si="14"/>
        <v>0</v>
      </c>
      <c r="I119" s="1"/>
      <c r="R119" s="1"/>
      <c r="S119" s="1"/>
    </row>
    <row r="120" spans="1:19" x14ac:dyDescent="0.25">
      <c r="A120" s="7" t="s">
        <v>157</v>
      </c>
      <c r="B120" s="11">
        <v>29</v>
      </c>
      <c r="C120" s="11">
        <v>0</v>
      </c>
      <c r="D120" s="11">
        <v>71</v>
      </c>
      <c r="E120" s="11">
        <v>0</v>
      </c>
      <c r="F120" s="11">
        <v>0</v>
      </c>
      <c r="G120" s="11">
        <v>0</v>
      </c>
      <c r="H120" s="26">
        <f t="shared" si="14"/>
        <v>100</v>
      </c>
      <c r="I120" s="1"/>
      <c r="R120" s="1"/>
      <c r="S120" s="1"/>
    </row>
    <row r="121" spans="1:19" x14ac:dyDescent="0.25">
      <c r="A121" s="7" t="s">
        <v>125</v>
      </c>
      <c r="B121" s="11">
        <v>35</v>
      </c>
      <c r="C121" s="11">
        <v>1</v>
      </c>
      <c r="D121" s="11">
        <v>32</v>
      </c>
      <c r="E121" s="11">
        <v>0</v>
      </c>
      <c r="F121" s="11">
        <v>0</v>
      </c>
      <c r="G121" s="11">
        <v>0</v>
      </c>
      <c r="H121" s="26">
        <f t="shared" si="14"/>
        <v>68</v>
      </c>
      <c r="I121" s="1"/>
      <c r="R121" s="1"/>
      <c r="S121" s="1"/>
    </row>
    <row r="122" spans="1:19" x14ac:dyDescent="0.25">
      <c r="A122" s="7" t="s">
        <v>126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26">
        <f t="shared" si="14"/>
        <v>0</v>
      </c>
      <c r="I122" s="1"/>
      <c r="R122" s="1"/>
      <c r="S122" s="1"/>
    </row>
    <row r="123" spans="1:19" x14ac:dyDescent="0.25">
      <c r="A123" s="7" t="s">
        <v>103</v>
      </c>
      <c r="B123" s="11">
        <v>0</v>
      </c>
      <c r="C123" s="11">
        <v>0</v>
      </c>
      <c r="D123" s="11">
        <v>0</v>
      </c>
      <c r="E123" s="11">
        <v>0</v>
      </c>
      <c r="F123" s="11">
        <v>0</v>
      </c>
      <c r="G123" s="11">
        <v>0</v>
      </c>
      <c r="H123" s="26">
        <f t="shared" si="14"/>
        <v>0</v>
      </c>
      <c r="I123" s="1"/>
      <c r="R123" s="1"/>
      <c r="S123" s="1"/>
    </row>
    <row r="124" spans="1:19" x14ac:dyDescent="0.25">
      <c r="A124" s="7" t="s">
        <v>127</v>
      </c>
      <c r="B124" s="11">
        <v>38</v>
      </c>
      <c r="C124" s="11">
        <v>2</v>
      </c>
      <c r="D124" s="11">
        <v>29</v>
      </c>
      <c r="E124" s="11">
        <v>0</v>
      </c>
      <c r="F124" s="11">
        <v>0</v>
      </c>
      <c r="G124" s="11">
        <v>0</v>
      </c>
      <c r="H124" s="26">
        <f t="shared" si="14"/>
        <v>69</v>
      </c>
      <c r="I124" s="1"/>
      <c r="R124" s="1"/>
      <c r="S124" s="1"/>
    </row>
    <row r="125" spans="1:19" x14ac:dyDescent="0.25">
      <c r="A125" s="7" t="s">
        <v>128</v>
      </c>
      <c r="B125" s="11">
        <v>29</v>
      </c>
      <c r="C125" s="11">
        <v>0</v>
      </c>
      <c r="D125" s="11">
        <v>27</v>
      </c>
      <c r="E125" s="11">
        <v>1</v>
      </c>
      <c r="F125" s="11">
        <v>0</v>
      </c>
      <c r="G125" s="11">
        <v>0</v>
      </c>
      <c r="H125" s="26">
        <f t="shared" si="14"/>
        <v>57</v>
      </c>
      <c r="I125" s="1"/>
      <c r="R125" s="1"/>
      <c r="S125" s="1"/>
    </row>
    <row r="126" spans="1:19" x14ac:dyDescent="0.25">
      <c r="A126" s="7" t="s">
        <v>129</v>
      </c>
      <c r="B126" s="11">
        <v>30</v>
      </c>
      <c r="C126" s="11">
        <v>2</v>
      </c>
      <c r="D126" s="11">
        <v>19</v>
      </c>
      <c r="E126" s="11">
        <v>0</v>
      </c>
      <c r="F126" s="11">
        <v>0</v>
      </c>
      <c r="G126" s="11">
        <v>0</v>
      </c>
      <c r="H126" s="26">
        <f t="shared" si="14"/>
        <v>51</v>
      </c>
      <c r="I126" s="1"/>
      <c r="R126" s="1"/>
      <c r="S126" s="1"/>
    </row>
    <row r="127" spans="1:19" x14ac:dyDescent="0.25">
      <c r="A127" s="7" t="s">
        <v>44</v>
      </c>
      <c r="B127" s="11">
        <v>12</v>
      </c>
      <c r="C127" s="11">
        <v>3</v>
      </c>
      <c r="D127" s="11">
        <v>71</v>
      </c>
      <c r="E127" s="11">
        <v>4</v>
      </c>
      <c r="F127" s="11">
        <v>0</v>
      </c>
      <c r="G127" s="11">
        <v>0</v>
      </c>
      <c r="H127" s="26">
        <f t="shared" si="14"/>
        <v>90</v>
      </c>
      <c r="I127" s="1"/>
      <c r="R127" s="1"/>
      <c r="S127" s="1"/>
    </row>
    <row r="128" spans="1:19" x14ac:dyDescent="0.25">
      <c r="A128" s="7" t="s">
        <v>92</v>
      </c>
      <c r="B128" s="11">
        <v>10</v>
      </c>
      <c r="C128" s="11">
        <v>1</v>
      </c>
      <c r="D128" s="11">
        <v>63</v>
      </c>
      <c r="E128" s="11">
        <v>1</v>
      </c>
      <c r="F128" s="11">
        <v>0</v>
      </c>
      <c r="G128" s="11">
        <v>0</v>
      </c>
      <c r="H128" s="26">
        <f t="shared" si="14"/>
        <v>75</v>
      </c>
      <c r="I128" s="1"/>
      <c r="R128" s="1"/>
      <c r="S128" s="1"/>
    </row>
    <row r="129" spans="1:19" x14ac:dyDescent="0.25">
      <c r="A129" s="7" t="s">
        <v>45</v>
      </c>
      <c r="B129" s="11">
        <v>12</v>
      </c>
      <c r="C129" s="11">
        <v>0</v>
      </c>
      <c r="D129" s="11">
        <v>15</v>
      </c>
      <c r="E129" s="11">
        <v>1</v>
      </c>
      <c r="F129" s="11">
        <v>0</v>
      </c>
      <c r="G129" s="11">
        <v>0</v>
      </c>
      <c r="H129" s="26">
        <f t="shared" si="14"/>
        <v>28</v>
      </c>
      <c r="I129" s="1"/>
      <c r="R129" s="1"/>
      <c r="S129" s="1"/>
    </row>
    <row r="130" spans="1:19" x14ac:dyDescent="0.25">
      <c r="A130" s="7" t="s">
        <v>99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26">
        <f t="shared" si="14"/>
        <v>0</v>
      </c>
      <c r="I130" s="1"/>
      <c r="R130" s="1"/>
      <c r="S130" s="1"/>
    </row>
    <row r="131" spans="1:19" ht="15.75" customHeight="1" x14ac:dyDescent="0.25">
      <c r="A131" s="7" t="s">
        <v>100</v>
      </c>
      <c r="B131" s="11">
        <v>0</v>
      </c>
      <c r="C131" s="11">
        <v>0</v>
      </c>
      <c r="D131" s="11">
        <v>0</v>
      </c>
      <c r="E131" s="11">
        <v>0</v>
      </c>
      <c r="F131" s="11">
        <v>0</v>
      </c>
      <c r="G131" s="11">
        <v>0</v>
      </c>
      <c r="H131" s="26">
        <f t="shared" si="14"/>
        <v>0</v>
      </c>
      <c r="I131" s="1"/>
      <c r="R131" s="1"/>
      <c r="S131" s="1"/>
    </row>
    <row r="132" spans="1:19" x14ac:dyDescent="0.25">
      <c r="A132" s="7" t="s">
        <v>46</v>
      </c>
      <c r="B132" s="11">
        <v>0</v>
      </c>
      <c r="C132" s="11">
        <v>0</v>
      </c>
      <c r="D132" s="11">
        <v>9</v>
      </c>
      <c r="E132" s="11">
        <v>0</v>
      </c>
      <c r="F132" s="11">
        <v>0</v>
      </c>
      <c r="G132" s="11">
        <v>0</v>
      </c>
      <c r="H132" s="26">
        <f t="shared" si="14"/>
        <v>9</v>
      </c>
      <c r="I132" s="1"/>
      <c r="R132" s="1"/>
      <c r="S132" s="1"/>
    </row>
    <row r="133" spans="1:19" x14ac:dyDescent="0.25">
      <c r="A133" s="7" t="s">
        <v>47</v>
      </c>
      <c r="B133" s="11">
        <v>0</v>
      </c>
      <c r="C133" s="11">
        <v>0</v>
      </c>
      <c r="D133" s="11">
        <v>3</v>
      </c>
      <c r="E133" s="11">
        <v>0</v>
      </c>
      <c r="F133" s="11">
        <v>0</v>
      </c>
      <c r="G133" s="11">
        <v>0</v>
      </c>
      <c r="H133" s="26">
        <f t="shared" si="14"/>
        <v>3</v>
      </c>
      <c r="I133" s="1"/>
      <c r="R133" s="1"/>
      <c r="S133" s="1"/>
    </row>
    <row r="134" spans="1:19" x14ac:dyDescent="0.25">
      <c r="A134" s="7" t="s">
        <v>53</v>
      </c>
      <c r="B134" s="11">
        <v>0</v>
      </c>
      <c r="C134" s="11">
        <v>0</v>
      </c>
      <c r="D134" s="11">
        <v>3</v>
      </c>
      <c r="E134" s="11">
        <v>0</v>
      </c>
      <c r="F134" s="11">
        <v>0</v>
      </c>
      <c r="G134" s="11">
        <v>0</v>
      </c>
      <c r="H134" s="26">
        <f t="shared" si="14"/>
        <v>3</v>
      </c>
      <c r="I134" s="1"/>
      <c r="R134" s="1"/>
      <c r="S134" s="1"/>
    </row>
    <row r="135" spans="1:19" x14ac:dyDescent="0.25">
      <c r="A135" s="7" t="s">
        <v>134</v>
      </c>
      <c r="B135" s="11">
        <v>52</v>
      </c>
      <c r="C135" s="11">
        <v>6</v>
      </c>
      <c r="D135" s="11">
        <v>164</v>
      </c>
      <c r="E135" s="11">
        <v>3</v>
      </c>
      <c r="F135" s="11">
        <v>2</v>
      </c>
      <c r="G135" s="11">
        <v>0</v>
      </c>
      <c r="H135" s="26">
        <f t="shared" si="14"/>
        <v>227</v>
      </c>
      <c r="I135" s="1"/>
      <c r="R135" s="1"/>
      <c r="S135" s="1"/>
    </row>
    <row r="136" spans="1:19" x14ac:dyDescent="0.25">
      <c r="A136" s="7" t="s">
        <v>135</v>
      </c>
      <c r="B136" s="11">
        <v>43</v>
      </c>
      <c r="C136" s="11">
        <v>6</v>
      </c>
      <c r="D136" s="11">
        <v>153</v>
      </c>
      <c r="E136" s="11">
        <v>3</v>
      </c>
      <c r="F136" s="11">
        <v>3</v>
      </c>
      <c r="G136" s="11">
        <v>0</v>
      </c>
      <c r="H136" s="26">
        <f t="shared" si="14"/>
        <v>208</v>
      </c>
      <c r="I136" s="1"/>
      <c r="R136" s="1"/>
      <c r="S136" s="1"/>
    </row>
    <row r="137" spans="1:19" x14ac:dyDescent="0.25">
      <c r="A137" s="7" t="s">
        <v>49</v>
      </c>
      <c r="B137" s="11">
        <v>35</v>
      </c>
      <c r="C137" s="11">
        <v>4</v>
      </c>
      <c r="D137" s="11">
        <v>120</v>
      </c>
      <c r="E137" s="11">
        <v>4</v>
      </c>
      <c r="F137" s="11">
        <v>3</v>
      </c>
      <c r="G137" s="11">
        <v>0</v>
      </c>
      <c r="H137" s="26">
        <f t="shared" si="14"/>
        <v>166</v>
      </c>
      <c r="I137" s="1"/>
      <c r="R137" s="1"/>
      <c r="S137" s="1"/>
    </row>
    <row r="138" spans="1:19" x14ac:dyDescent="0.25">
      <c r="A138" s="7" t="s">
        <v>189</v>
      </c>
      <c r="B138" s="11">
        <v>0</v>
      </c>
      <c r="C138" s="11">
        <v>0</v>
      </c>
      <c r="D138" s="11">
        <v>0</v>
      </c>
      <c r="E138" s="11">
        <v>0</v>
      </c>
      <c r="F138" s="11">
        <v>0</v>
      </c>
      <c r="G138" s="11">
        <v>0</v>
      </c>
      <c r="H138" s="26">
        <f t="shared" si="14"/>
        <v>0</v>
      </c>
      <c r="I138" s="1"/>
      <c r="R138" s="1"/>
      <c r="S138" s="1"/>
    </row>
    <row r="139" spans="1:19" x14ac:dyDescent="0.25">
      <c r="A139" s="7" t="s">
        <v>50</v>
      </c>
      <c r="B139" s="11">
        <v>2</v>
      </c>
      <c r="C139" s="11">
        <v>94</v>
      </c>
      <c r="D139" s="11">
        <v>2</v>
      </c>
      <c r="E139" s="11">
        <v>0</v>
      </c>
      <c r="F139" s="11">
        <v>0</v>
      </c>
      <c r="G139" s="11">
        <v>0</v>
      </c>
      <c r="H139" s="26">
        <f t="shared" si="14"/>
        <v>98</v>
      </c>
      <c r="I139" s="1"/>
      <c r="R139" s="1"/>
      <c r="S139" s="1"/>
    </row>
    <row r="140" spans="1:19" x14ac:dyDescent="0.25">
      <c r="A140" s="7" t="s">
        <v>104</v>
      </c>
      <c r="B140" s="11">
        <v>19</v>
      </c>
      <c r="C140" s="11">
        <v>0</v>
      </c>
      <c r="D140" s="11">
        <v>5</v>
      </c>
      <c r="E140" s="11">
        <v>0</v>
      </c>
      <c r="F140" s="11">
        <v>0</v>
      </c>
      <c r="G140" s="11">
        <v>0</v>
      </c>
      <c r="H140" s="26">
        <f t="shared" si="14"/>
        <v>24</v>
      </c>
      <c r="I140" s="1"/>
      <c r="R140" s="5"/>
      <c r="S140" s="1"/>
    </row>
    <row r="141" spans="1:19" x14ac:dyDescent="0.25">
      <c r="A141" s="7" t="s">
        <v>51</v>
      </c>
      <c r="B141" s="11">
        <v>0</v>
      </c>
      <c r="C141" s="11">
        <v>0</v>
      </c>
      <c r="D141" s="11">
        <v>0</v>
      </c>
      <c r="E141" s="11">
        <v>0</v>
      </c>
      <c r="F141" s="11">
        <v>0</v>
      </c>
      <c r="G141" s="11">
        <v>0</v>
      </c>
      <c r="H141" s="26">
        <f t="shared" si="14"/>
        <v>0</v>
      </c>
    </row>
    <row r="142" spans="1:19" x14ac:dyDescent="0.25">
      <c r="A142" s="7" t="s">
        <v>52</v>
      </c>
      <c r="B142" s="11">
        <v>19</v>
      </c>
      <c r="C142" s="11">
        <v>0</v>
      </c>
      <c r="D142" s="11">
        <v>4</v>
      </c>
      <c r="E142" s="11">
        <v>0</v>
      </c>
      <c r="F142" s="11">
        <v>0</v>
      </c>
      <c r="G142" s="11">
        <v>0</v>
      </c>
      <c r="H142" s="26">
        <f t="shared" si="14"/>
        <v>23</v>
      </c>
    </row>
    <row r="143" spans="1:19" x14ac:dyDescent="0.25">
      <c r="A143" s="7" t="s">
        <v>115</v>
      </c>
      <c r="B143" s="11">
        <v>5</v>
      </c>
      <c r="C143" s="11">
        <v>0</v>
      </c>
      <c r="D143" s="11">
        <v>6</v>
      </c>
      <c r="E143" s="11">
        <v>0</v>
      </c>
      <c r="F143" s="11">
        <v>0</v>
      </c>
      <c r="G143" s="11">
        <v>0</v>
      </c>
      <c r="H143" s="26">
        <f t="shared" si="14"/>
        <v>11</v>
      </c>
    </row>
    <row r="144" spans="1:19" x14ac:dyDescent="0.25">
      <c r="A144" s="7" t="s">
        <v>116</v>
      </c>
      <c r="B144" s="11">
        <v>12</v>
      </c>
      <c r="C144" s="11">
        <v>0</v>
      </c>
      <c r="D144" s="11">
        <v>5</v>
      </c>
      <c r="E144" s="11">
        <v>0</v>
      </c>
      <c r="F144" s="11">
        <v>0</v>
      </c>
      <c r="G144" s="11">
        <v>0</v>
      </c>
      <c r="H144" s="26">
        <f t="shared" si="14"/>
        <v>17</v>
      </c>
    </row>
    <row r="145" spans="1:13" x14ac:dyDescent="0.25">
      <c r="A145" s="7" t="s">
        <v>102</v>
      </c>
      <c r="B145" s="11">
        <v>42</v>
      </c>
      <c r="C145" s="11">
        <v>2</v>
      </c>
      <c r="D145" s="11">
        <v>5</v>
      </c>
      <c r="E145" s="11">
        <v>0</v>
      </c>
      <c r="F145" s="11">
        <v>0</v>
      </c>
      <c r="G145" s="11">
        <v>0</v>
      </c>
      <c r="H145" s="26">
        <f t="shared" si="14"/>
        <v>49</v>
      </c>
    </row>
    <row r="146" spans="1:13" x14ac:dyDescent="0.25">
      <c r="A146" s="7" t="s">
        <v>203</v>
      </c>
      <c r="B146" s="11">
        <v>0</v>
      </c>
      <c r="C146" s="11">
        <v>0</v>
      </c>
      <c r="D146" s="11">
        <v>0</v>
      </c>
      <c r="E146" s="11">
        <v>0</v>
      </c>
      <c r="F146" s="11">
        <v>0</v>
      </c>
      <c r="G146" s="11">
        <v>0</v>
      </c>
      <c r="H146" s="26">
        <f t="shared" si="14"/>
        <v>0</v>
      </c>
    </row>
    <row r="147" spans="1:13" x14ac:dyDescent="0.25">
      <c r="A147" s="7" t="s">
        <v>197</v>
      </c>
      <c r="B147" s="11">
        <v>4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  <c r="H147" s="26">
        <f t="shared" si="14"/>
        <v>4</v>
      </c>
    </row>
    <row r="148" spans="1:13" x14ac:dyDescent="0.25">
      <c r="A148" s="7" t="s">
        <v>217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26">
        <f t="shared" si="14"/>
        <v>0</v>
      </c>
    </row>
    <row r="149" spans="1:13" x14ac:dyDescent="0.25">
      <c r="A149" s="7" t="s">
        <v>198</v>
      </c>
      <c r="B149" s="11">
        <v>0</v>
      </c>
      <c r="C149" s="11">
        <v>0</v>
      </c>
      <c r="D149" s="11">
        <v>3</v>
      </c>
      <c r="E149" s="11">
        <v>0</v>
      </c>
      <c r="F149" s="11">
        <v>0</v>
      </c>
      <c r="G149" s="11">
        <v>0</v>
      </c>
      <c r="H149" s="26">
        <f t="shared" si="14"/>
        <v>3</v>
      </c>
    </row>
    <row r="150" spans="1:13" x14ac:dyDescent="0.25">
      <c r="A150" s="7" t="s">
        <v>199</v>
      </c>
      <c r="B150" s="11">
        <v>0</v>
      </c>
      <c r="C150" s="11">
        <v>0</v>
      </c>
      <c r="D150" s="11">
        <v>3</v>
      </c>
      <c r="E150" s="11">
        <v>0</v>
      </c>
      <c r="F150" s="11">
        <v>0</v>
      </c>
      <c r="G150" s="11">
        <v>0</v>
      </c>
      <c r="H150" s="26">
        <f t="shared" si="14"/>
        <v>3</v>
      </c>
    </row>
    <row r="151" spans="1:13" x14ac:dyDescent="0.25">
      <c r="A151" s="7" t="s">
        <v>200</v>
      </c>
      <c r="B151" s="11">
        <v>5</v>
      </c>
      <c r="C151" s="11">
        <v>0</v>
      </c>
      <c r="D151" s="11">
        <v>32</v>
      </c>
      <c r="E151" s="11">
        <v>0</v>
      </c>
      <c r="F151" s="11">
        <v>0</v>
      </c>
      <c r="G151" s="11">
        <v>0</v>
      </c>
      <c r="H151" s="26">
        <f t="shared" si="14"/>
        <v>37</v>
      </c>
    </row>
    <row r="152" spans="1:13" x14ac:dyDescent="0.25">
      <c r="A152" s="7" t="s">
        <v>223</v>
      </c>
      <c r="B152" s="11">
        <v>4</v>
      </c>
      <c r="C152" s="11">
        <v>0</v>
      </c>
      <c r="D152" s="11">
        <v>0</v>
      </c>
      <c r="E152" s="11">
        <v>0</v>
      </c>
      <c r="F152" s="11">
        <v>0</v>
      </c>
      <c r="G152" s="11">
        <v>0</v>
      </c>
      <c r="H152" s="26">
        <f t="shared" si="14"/>
        <v>4</v>
      </c>
    </row>
    <row r="153" spans="1:13" x14ac:dyDescent="0.25">
      <c r="A153" s="7" t="s">
        <v>105</v>
      </c>
      <c r="B153" s="11">
        <v>26</v>
      </c>
      <c r="C153" s="11">
        <v>0</v>
      </c>
      <c r="D153" s="11">
        <v>29</v>
      </c>
      <c r="E153" s="11">
        <v>0</v>
      </c>
      <c r="F153" s="11">
        <v>0</v>
      </c>
      <c r="G153" s="11">
        <v>0</v>
      </c>
      <c r="H153" s="26">
        <f t="shared" si="14"/>
        <v>55</v>
      </c>
    </row>
    <row r="154" spans="1:13" x14ac:dyDescent="0.25">
      <c r="A154" s="22" t="s">
        <v>206</v>
      </c>
      <c r="B154" s="11">
        <v>3</v>
      </c>
      <c r="C154" s="11">
        <v>0</v>
      </c>
      <c r="D154" s="11">
        <v>2</v>
      </c>
      <c r="E154" s="11">
        <v>0</v>
      </c>
      <c r="F154" s="11">
        <v>0</v>
      </c>
      <c r="G154" s="11">
        <v>0</v>
      </c>
      <c r="H154" s="26">
        <f t="shared" si="14"/>
        <v>5</v>
      </c>
    </row>
    <row r="155" spans="1:13" x14ac:dyDescent="0.25">
      <c r="A155" s="116" t="s">
        <v>207</v>
      </c>
      <c r="B155" s="19">
        <v>12</v>
      </c>
      <c r="C155" s="19">
        <v>0</v>
      </c>
      <c r="D155" s="19">
        <v>8</v>
      </c>
      <c r="E155" s="19">
        <v>0</v>
      </c>
      <c r="F155" s="19">
        <v>0</v>
      </c>
      <c r="G155" s="19">
        <v>0</v>
      </c>
      <c r="H155" s="26">
        <f t="shared" si="14"/>
        <v>20</v>
      </c>
    </row>
    <row r="156" spans="1:13" x14ac:dyDescent="0.25">
      <c r="A156" s="121"/>
      <c r="B156" s="1"/>
      <c r="C156" s="1"/>
      <c r="D156" s="10"/>
      <c r="E156" s="1"/>
      <c r="F156" s="1"/>
      <c r="G156" s="1"/>
    </row>
    <row r="160" spans="1:13" x14ac:dyDescent="0.25">
      <c r="J160" s="133"/>
      <c r="K160" s="133"/>
      <c r="L160" s="133"/>
      <c r="M160" s="133"/>
    </row>
    <row r="161" spans="10:17" x14ac:dyDescent="0.25">
      <c r="J161" s="133"/>
    </row>
    <row r="168" spans="10:17" x14ac:dyDescent="0.25">
      <c r="P168" s="1"/>
      <c r="Q168" s="1"/>
    </row>
    <row r="170" spans="10:17" x14ac:dyDescent="0.25">
      <c r="J170" s="1"/>
      <c r="K170" s="1"/>
      <c r="L170" s="1"/>
      <c r="M170" s="1"/>
      <c r="N170" s="1"/>
      <c r="O170" s="1"/>
    </row>
  </sheetData>
  <mergeCells count="30">
    <mergeCell ref="K109:K110"/>
    <mergeCell ref="J52:Q52"/>
    <mergeCell ref="A3:R3"/>
    <mergeCell ref="B4:J4"/>
    <mergeCell ref="L4:R4"/>
    <mergeCell ref="A9:A10"/>
    <mergeCell ref="B9:H9"/>
    <mergeCell ref="J9:J10"/>
    <mergeCell ref="K9:Q9"/>
    <mergeCell ref="J26:J27"/>
    <mergeCell ref="K26:Q26"/>
    <mergeCell ref="J39:J40"/>
    <mergeCell ref="K39:Q39"/>
    <mergeCell ref="J50:M50"/>
    <mergeCell ref="A115:H115"/>
    <mergeCell ref="J160:J161"/>
    <mergeCell ref="K160:M160"/>
    <mergeCell ref="A108:H108"/>
    <mergeCell ref="J53:P53"/>
    <mergeCell ref="J54:P54"/>
    <mergeCell ref="J55:P55"/>
    <mergeCell ref="J56:P56"/>
    <mergeCell ref="J57:P57"/>
    <mergeCell ref="J58:P58"/>
    <mergeCell ref="J59:P59"/>
    <mergeCell ref="J60:P60"/>
    <mergeCell ref="J61:P61"/>
    <mergeCell ref="J62:P62"/>
    <mergeCell ref="K86:M86"/>
    <mergeCell ref="J109:J110"/>
  </mergeCells>
  <pageMargins left="1" right="1" top="1" bottom="1" header="0.5" footer="0.5"/>
  <pageSetup paperSize="9" scale="50" fitToHeight="0" orientation="landscape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865B3-66D3-4B6D-B96F-20667A382A8D}">
  <sheetPr>
    <pageSetUpPr fitToPage="1"/>
  </sheetPr>
  <dimension ref="A3:S169"/>
  <sheetViews>
    <sheetView zoomScale="80" zoomScaleNormal="80" workbookViewId="0">
      <selection activeCell="A24" sqref="A24:XFD24"/>
    </sheetView>
  </sheetViews>
  <sheetFormatPr baseColWidth="10" defaultRowHeight="15" x14ac:dyDescent="0.25"/>
  <cols>
    <col min="1" max="1" width="49.85546875" customWidth="1"/>
    <col min="2" max="6" width="9.85546875" customWidth="1"/>
    <col min="7" max="7" width="13.5703125" customWidth="1"/>
    <col min="8" max="8" width="9.28515625" customWidth="1"/>
    <col min="9" max="9" width="9.42578125" customWidth="1"/>
    <col min="10" max="10" width="43.7109375" customWidth="1"/>
    <col min="11" max="15" width="9.28515625" customWidth="1"/>
    <col min="16" max="16" width="10.42578125" customWidth="1"/>
    <col min="17" max="17" width="10" customWidth="1"/>
    <col min="18" max="18" width="2.85546875" customWidth="1"/>
  </cols>
  <sheetData>
    <row r="3" spans="1:19" ht="26.25" x14ac:dyDescent="0.25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"/>
    </row>
    <row r="4" spans="1:19" ht="15.75" x14ac:dyDescent="0.25">
      <c r="A4" s="1" t="s">
        <v>12</v>
      </c>
      <c r="B4" s="155" t="s">
        <v>16</v>
      </c>
      <c r="C4" s="156"/>
      <c r="D4" s="156"/>
      <c r="E4" s="156"/>
      <c r="F4" s="156"/>
      <c r="G4" s="156"/>
      <c r="H4" s="156"/>
      <c r="I4" s="156"/>
      <c r="J4" s="157"/>
      <c r="K4" s="9" t="s">
        <v>14</v>
      </c>
      <c r="L4" s="147" t="s">
        <v>193</v>
      </c>
      <c r="M4" s="148"/>
      <c r="N4" s="148"/>
      <c r="O4" s="148"/>
      <c r="P4" s="148"/>
      <c r="Q4" s="148"/>
      <c r="R4" s="149"/>
      <c r="S4" s="1"/>
    </row>
    <row r="5" spans="1:19" x14ac:dyDescent="0.25">
      <c r="A5" s="1"/>
      <c r="B5" s="1"/>
      <c r="C5" s="1"/>
      <c r="D5" s="10"/>
      <c r="E5" s="1"/>
      <c r="F5" s="1"/>
      <c r="G5" s="1"/>
      <c r="H5" s="1"/>
      <c r="I5" s="1"/>
      <c r="J5" s="1"/>
      <c r="K5" s="9"/>
      <c r="L5" s="10"/>
      <c r="M5" s="10"/>
      <c r="N5" s="10"/>
      <c r="O5" s="10"/>
      <c r="P5" s="10"/>
      <c r="Q5" s="10"/>
      <c r="R5" s="10"/>
      <c r="S5" s="1"/>
    </row>
    <row r="6" spans="1:19" x14ac:dyDescent="0.25">
      <c r="A6" s="1" t="s">
        <v>15</v>
      </c>
      <c r="B6" s="30">
        <v>3</v>
      </c>
      <c r="C6" s="1"/>
      <c r="D6" s="10"/>
      <c r="E6" s="1"/>
      <c r="F6" s="1"/>
      <c r="G6" s="1"/>
      <c r="H6" s="1"/>
      <c r="I6" s="1"/>
      <c r="J6" s="1"/>
      <c r="K6" s="9" t="s">
        <v>13</v>
      </c>
      <c r="L6" s="30">
        <v>2025</v>
      </c>
      <c r="M6" s="1"/>
      <c r="N6" s="1"/>
      <c r="O6" s="1"/>
      <c r="P6" s="1"/>
      <c r="Q6" s="1"/>
      <c r="R6" s="1"/>
      <c r="S6" s="1"/>
    </row>
    <row r="7" spans="1:19" x14ac:dyDescent="0.25">
      <c r="A7" s="1"/>
      <c r="B7" s="1"/>
      <c r="C7" s="1"/>
      <c r="D7" s="10"/>
      <c r="E7" s="1"/>
      <c r="F7" s="1"/>
      <c r="G7" s="1"/>
      <c r="H7" s="1"/>
      <c r="I7" s="1"/>
      <c r="J7" s="1"/>
      <c r="K7" s="1"/>
      <c r="L7" s="44"/>
      <c r="M7" s="1"/>
      <c r="N7" s="1"/>
      <c r="O7" s="1"/>
      <c r="P7" s="1"/>
      <c r="Q7" s="1"/>
      <c r="R7" s="1"/>
      <c r="S7" s="1"/>
    </row>
    <row r="8" spans="1:19" ht="15.75" thickBot="1" x14ac:dyDescent="0.3">
      <c r="A8" s="2"/>
      <c r="B8" s="2"/>
      <c r="C8" s="2"/>
      <c r="D8" s="20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3"/>
      <c r="S8" s="1"/>
    </row>
    <row r="9" spans="1:19" x14ac:dyDescent="0.25">
      <c r="A9" s="150" t="s">
        <v>148</v>
      </c>
      <c r="B9" s="152" t="s">
        <v>11</v>
      </c>
      <c r="C9" s="152"/>
      <c r="D9" s="152"/>
      <c r="E9" s="152"/>
      <c r="F9" s="152"/>
      <c r="G9" s="152"/>
      <c r="H9" s="152"/>
      <c r="I9" s="1"/>
      <c r="J9" s="153" t="s">
        <v>149</v>
      </c>
      <c r="K9" s="136" t="s">
        <v>11</v>
      </c>
      <c r="L9" s="136"/>
      <c r="M9" s="136"/>
      <c r="N9" s="136"/>
      <c r="O9" s="136"/>
      <c r="P9" s="136"/>
      <c r="Q9" s="137"/>
      <c r="R9" s="4"/>
      <c r="S9" s="1"/>
    </row>
    <row r="10" spans="1:19" x14ac:dyDescent="0.25">
      <c r="A10" s="151"/>
      <c r="B10" s="30" t="s">
        <v>8</v>
      </c>
      <c r="C10" s="30" t="s">
        <v>9</v>
      </c>
      <c r="D10" s="30" t="s">
        <v>10</v>
      </c>
      <c r="E10" s="30" t="s">
        <v>154</v>
      </c>
      <c r="F10" s="30" t="s">
        <v>155</v>
      </c>
      <c r="G10" s="30" t="s">
        <v>147</v>
      </c>
      <c r="H10" s="30" t="s">
        <v>11</v>
      </c>
      <c r="I10" s="1"/>
      <c r="J10" s="154"/>
      <c r="K10" s="30" t="s">
        <v>8</v>
      </c>
      <c r="L10" s="30" t="s">
        <v>9</v>
      </c>
      <c r="M10" s="30" t="s">
        <v>10</v>
      </c>
      <c r="N10" s="30" t="s">
        <v>154</v>
      </c>
      <c r="O10" s="30" t="s">
        <v>155</v>
      </c>
      <c r="P10" s="30" t="s">
        <v>147</v>
      </c>
      <c r="Q10" s="54" t="s">
        <v>11</v>
      </c>
      <c r="R10" s="4"/>
      <c r="S10" s="1"/>
    </row>
    <row r="11" spans="1:19" x14ac:dyDescent="0.25">
      <c r="A11" s="15" t="s">
        <v>0</v>
      </c>
      <c r="B11" s="16">
        <f t="shared" ref="B11:G11" si="0">B12+B51+B69+B82+B95</f>
        <v>12248</v>
      </c>
      <c r="C11" s="16">
        <f t="shared" si="0"/>
        <v>19208</v>
      </c>
      <c r="D11" s="16">
        <f t="shared" si="0"/>
        <v>14521</v>
      </c>
      <c r="E11" s="16">
        <f t="shared" si="0"/>
        <v>586</v>
      </c>
      <c r="F11" s="16">
        <f t="shared" si="0"/>
        <v>608</v>
      </c>
      <c r="G11" s="16">
        <f t="shared" si="0"/>
        <v>103</v>
      </c>
      <c r="H11" s="12">
        <f>SUM(B11:G11)</f>
        <v>47274</v>
      </c>
      <c r="I11" s="1"/>
      <c r="J11" s="79" t="s">
        <v>85</v>
      </c>
      <c r="K11" s="74">
        <f t="shared" ref="K11:P11" si="1">SUM(K12:K23)</f>
        <v>804</v>
      </c>
      <c r="L11" s="74">
        <f t="shared" si="1"/>
        <v>0</v>
      </c>
      <c r="M11" s="74">
        <f t="shared" si="1"/>
        <v>868</v>
      </c>
      <c r="N11" s="74">
        <f t="shared" si="1"/>
        <v>7</v>
      </c>
      <c r="O11" s="74">
        <f t="shared" si="1"/>
        <v>2</v>
      </c>
      <c r="P11" s="74">
        <f t="shared" si="1"/>
        <v>0</v>
      </c>
      <c r="Q11" s="80">
        <f t="shared" ref="Q11:Q23" si="2">SUM(K11:P11)</f>
        <v>1681</v>
      </c>
      <c r="R11" s="4"/>
      <c r="S11" s="1"/>
    </row>
    <row r="12" spans="1:19" x14ac:dyDescent="0.25">
      <c r="A12" s="73" t="s">
        <v>1</v>
      </c>
      <c r="B12" s="74">
        <f t="shared" ref="B12:G12" si="3">SUM(B13:B50)</f>
        <v>7654</v>
      </c>
      <c r="C12" s="74">
        <f t="shared" si="3"/>
        <v>12087</v>
      </c>
      <c r="D12" s="74">
        <f t="shared" si="3"/>
        <v>8596</v>
      </c>
      <c r="E12" s="74">
        <f t="shared" si="3"/>
        <v>347</v>
      </c>
      <c r="F12" s="74">
        <f t="shared" si="3"/>
        <v>412</v>
      </c>
      <c r="G12" s="74">
        <f t="shared" si="3"/>
        <v>34</v>
      </c>
      <c r="H12" s="74">
        <f>SUM(B12:G12)</f>
        <v>29130</v>
      </c>
      <c r="I12" s="1"/>
      <c r="J12" s="55" t="s">
        <v>4</v>
      </c>
      <c r="K12" s="68">
        <v>1</v>
      </c>
      <c r="L12" s="68">
        <v>0</v>
      </c>
      <c r="M12" s="68">
        <v>36</v>
      </c>
      <c r="N12" s="68">
        <v>4</v>
      </c>
      <c r="O12" s="68">
        <v>0</v>
      </c>
      <c r="P12" s="68">
        <v>0</v>
      </c>
      <c r="Q12" s="40">
        <f t="shared" si="2"/>
        <v>41</v>
      </c>
      <c r="R12" s="4"/>
      <c r="S12" s="1"/>
    </row>
    <row r="13" spans="1:19" x14ac:dyDescent="0.25">
      <c r="A13" s="8" t="s">
        <v>17</v>
      </c>
      <c r="B13" s="17">
        <v>43</v>
      </c>
      <c r="C13" s="11">
        <v>2</v>
      </c>
      <c r="D13" s="11">
        <v>83</v>
      </c>
      <c r="E13" s="11">
        <v>1</v>
      </c>
      <c r="F13" s="11">
        <v>9</v>
      </c>
      <c r="G13" s="11">
        <v>0</v>
      </c>
      <c r="H13" s="12">
        <f>SUM(B13:G13)</f>
        <v>138</v>
      </c>
      <c r="I13" s="1"/>
      <c r="J13" s="55" t="s">
        <v>81</v>
      </c>
      <c r="K13" s="68">
        <v>0</v>
      </c>
      <c r="L13" s="68">
        <v>0</v>
      </c>
      <c r="M13" s="68">
        <v>2</v>
      </c>
      <c r="N13" s="68">
        <v>0</v>
      </c>
      <c r="O13" s="68">
        <v>0</v>
      </c>
      <c r="P13" s="68">
        <v>0</v>
      </c>
      <c r="Q13" s="40">
        <f t="shared" si="2"/>
        <v>2</v>
      </c>
      <c r="R13" s="4"/>
      <c r="S13" s="1"/>
    </row>
    <row r="14" spans="1:19" x14ac:dyDescent="0.25">
      <c r="A14" s="7" t="s">
        <v>18</v>
      </c>
      <c r="B14" s="17">
        <v>46</v>
      </c>
      <c r="C14" s="11">
        <v>34</v>
      </c>
      <c r="D14" s="11">
        <v>49</v>
      </c>
      <c r="E14" s="11">
        <v>5</v>
      </c>
      <c r="F14" s="11">
        <v>5</v>
      </c>
      <c r="G14" s="11">
        <v>0</v>
      </c>
      <c r="H14" s="12">
        <f t="shared" ref="H14:H48" si="4">SUM(B14:G14)</f>
        <v>139</v>
      </c>
      <c r="I14" s="1"/>
      <c r="J14" s="56" t="s">
        <v>5</v>
      </c>
      <c r="K14" s="68">
        <v>3</v>
      </c>
      <c r="L14" s="68">
        <v>0</v>
      </c>
      <c r="M14" s="68">
        <v>91</v>
      </c>
      <c r="N14" s="68">
        <v>3</v>
      </c>
      <c r="O14" s="68">
        <v>2</v>
      </c>
      <c r="P14" s="68">
        <v>0</v>
      </c>
      <c r="Q14" s="40">
        <f>SUM(K14:P14)</f>
        <v>99</v>
      </c>
      <c r="R14" s="4"/>
      <c r="S14" s="1"/>
    </row>
    <row r="15" spans="1:19" x14ac:dyDescent="0.25">
      <c r="A15" s="7" t="s">
        <v>19</v>
      </c>
      <c r="B15" s="17">
        <v>52</v>
      </c>
      <c r="C15" s="11">
        <v>108</v>
      </c>
      <c r="D15" s="13">
        <v>18</v>
      </c>
      <c r="E15" s="13">
        <v>1</v>
      </c>
      <c r="F15" s="13">
        <v>1</v>
      </c>
      <c r="G15" s="13">
        <v>0</v>
      </c>
      <c r="H15" s="12">
        <f>SUM(B15:G15)</f>
        <v>180</v>
      </c>
      <c r="I15" s="1"/>
      <c r="J15" s="56" t="s">
        <v>80</v>
      </c>
      <c r="K15" s="68">
        <v>80</v>
      </c>
      <c r="L15" s="68">
        <v>0</v>
      </c>
      <c r="M15" s="68">
        <v>21</v>
      </c>
      <c r="N15" s="68">
        <v>0</v>
      </c>
      <c r="O15" s="68">
        <v>0</v>
      </c>
      <c r="P15" s="68">
        <v>0</v>
      </c>
      <c r="Q15" s="40">
        <f t="shared" si="2"/>
        <v>101</v>
      </c>
      <c r="R15" s="4"/>
      <c r="S15" s="1"/>
    </row>
    <row r="16" spans="1:19" x14ac:dyDescent="0.25">
      <c r="A16" s="7" t="s">
        <v>27</v>
      </c>
      <c r="B16" s="10">
        <v>675</v>
      </c>
      <c r="C16" s="11">
        <v>1548</v>
      </c>
      <c r="D16" s="11">
        <v>942</v>
      </c>
      <c r="E16" s="11">
        <v>17</v>
      </c>
      <c r="F16" s="11">
        <v>44</v>
      </c>
      <c r="G16" s="11">
        <v>0</v>
      </c>
      <c r="H16" s="12">
        <f t="shared" si="4"/>
        <v>3226</v>
      </c>
      <c r="I16" s="1"/>
      <c r="J16" s="57" t="s">
        <v>83</v>
      </c>
      <c r="K16" s="69">
        <v>5</v>
      </c>
      <c r="L16" s="69">
        <v>0</v>
      </c>
      <c r="M16" s="69"/>
      <c r="N16" s="69">
        <v>0</v>
      </c>
      <c r="O16" s="69">
        <v>0</v>
      </c>
      <c r="P16" s="69">
        <v>0</v>
      </c>
      <c r="Q16" s="40">
        <f t="shared" si="2"/>
        <v>5</v>
      </c>
      <c r="R16" s="4"/>
      <c r="S16" s="1"/>
    </row>
    <row r="17" spans="1:19" x14ac:dyDescent="0.25">
      <c r="A17" s="7" t="s">
        <v>186</v>
      </c>
      <c r="B17" s="10">
        <v>0</v>
      </c>
      <c r="C17" s="11">
        <v>0</v>
      </c>
      <c r="D17" s="11">
        <v>12</v>
      </c>
      <c r="E17" s="11">
        <v>0</v>
      </c>
      <c r="F17" s="11">
        <v>1</v>
      </c>
      <c r="G17" s="11">
        <v>0</v>
      </c>
      <c r="H17" s="12">
        <f t="shared" si="4"/>
        <v>13</v>
      </c>
      <c r="I17" s="1"/>
      <c r="J17" s="50" t="s">
        <v>162</v>
      </c>
      <c r="K17" s="69">
        <v>235</v>
      </c>
      <c r="L17" s="69">
        <v>0</v>
      </c>
      <c r="M17" s="69">
        <v>236</v>
      </c>
      <c r="N17" s="69">
        <v>0</v>
      </c>
      <c r="O17" s="69">
        <v>0</v>
      </c>
      <c r="P17" s="69">
        <v>0</v>
      </c>
      <c r="Q17" s="40">
        <f t="shared" si="2"/>
        <v>471</v>
      </c>
      <c r="R17" s="4"/>
      <c r="S17" s="1"/>
    </row>
    <row r="18" spans="1:19" x14ac:dyDescent="0.25">
      <c r="A18" s="7" t="s">
        <v>188</v>
      </c>
      <c r="B18" s="10">
        <v>28</v>
      </c>
      <c r="C18" s="11">
        <v>0</v>
      </c>
      <c r="D18" s="11">
        <v>48</v>
      </c>
      <c r="E18" s="11">
        <v>0</v>
      </c>
      <c r="F18" s="11">
        <v>3</v>
      </c>
      <c r="G18" s="11">
        <v>0</v>
      </c>
      <c r="H18" s="12">
        <f t="shared" si="4"/>
        <v>79</v>
      </c>
      <c r="I18" s="1"/>
      <c r="J18" s="50" t="s">
        <v>163</v>
      </c>
      <c r="K18" s="69">
        <v>237</v>
      </c>
      <c r="L18" s="69">
        <v>0</v>
      </c>
      <c r="M18" s="69">
        <v>238</v>
      </c>
      <c r="N18" s="69">
        <v>0</v>
      </c>
      <c r="O18" s="69">
        <v>0</v>
      </c>
      <c r="P18" s="69">
        <v>0</v>
      </c>
      <c r="Q18" s="40">
        <f t="shared" si="2"/>
        <v>475</v>
      </c>
      <c r="R18" s="4"/>
      <c r="S18" s="1"/>
    </row>
    <row r="19" spans="1:19" x14ac:dyDescent="0.25">
      <c r="A19" s="7" t="s">
        <v>28</v>
      </c>
      <c r="B19" s="17">
        <v>73</v>
      </c>
      <c r="C19" s="11">
        <v>36</v>
      </c>
      <c r="D19" s="11">
        <v>166</v>
      </c>
      <c r="E19" s="11">
        <v>8</v>
      </c>
      <c r="F19" s="11">
        <v>6</v>
      </c>
      <c r="G19" s="11">
        <v>0</v>
      </c>
      <c r="H19" s="12">
        <f t="shared" si="4"/>
        <v>289</v>
      </c>
      <c r="I19" s="1"/>
      <c r="J19" s="50" t="s">
        <v>164</v>
      </c>
      <c r="K19" s="69">
        <v>237</v>
      </c>
      <c r="L19" s="69">
        <v>0</v>
      </c>
      <c r="M19" s="69">
        <v>238</v>
      </c>
      <c r="N19" s="69">
        <v>0</v>
      </c>
      <c r="O19" s="69">
        <v>0</v>
      </c>
      <c r="P19" s="69">
        <v>0</v>
      </c>
      <c r="Q19" s="40">
        <f t="shared" si="2"/>
        <v>475</v>
      </c>
      <c r="R19" s="4"/>
      <c r="S19" s="1"/>
    </row>
    <row r="20" spans="1:19" x14ac:dyDescent="0.25">
      <c r="A20" s="7" t="s">
        <v>29</v>
      </c>
      <c r="B20" s="10">
        <v>3</v>
      </c>
      <c r="C20" s="11">
        <v>0</v>
      </c>
      <c r="D20" s="11">
        <v>19</v>
      </c>
      <c r="E20" s="11">
        <v>0</v>
      </c>
      <c r="F20" s="11">
        <v>0</v>
      </c>
      <c r="G20" s="11">
        <v>3</v>
      </c>
      <c r="H20" s="12">
        <f t="shared" si="4"/>
        <v>25</v>
      </c>
      <c r="I20" s="1"/>
      <c r="J20" s="50" t="s">
        <v>194</v>
      </c>
      <c r="K20" s="69">
        <v>2</v>
      </c>
      <c r="L20" s="69">
        <v>0</v>
      </c>
      <c r="M20" s="69">
        <v>2</v>
      </c>
      <c r="N20" s="69">
        <v>0</v>
      </c>
      <c r="O20" s="69">
        <v>0</v>
      </c>
      <c r="P20" s="69">
        <v>0</v>
      </c>
      <c r="Q20" s="40">
        <f t="shared" si="2"/>
        <v>4</v>
      </c>
      <c r="R20" s="4"/>
      <c r="S20" s="1"/>
    </row>
    <row r="21" spans="1:19" x14ac:dyDescent="0.25">
      <c r="A21" s="7" t="s">
        <v>20</v>
      </c>
      <c r="B21" s="17">
        <v>776</v>
      </c>
      <c r="C21" s="11">
        <v>1546</v>
      </c>
      <c r="D21" s="11">
        <v>956</v>
      </c>
      <c r="E21" s="11">
        <v>54</v>
      </c>
      <c r="F21" s="11">
        <v>49</v>
      </c>
      <c r="G21" s="11">
        <v>6</v>
      </c>
      <c r="H21" s="12">
        <f t="shared" si="4"/>
        <v>3387</v>
      </c>
      <c r="I21" s="1"/>
      <c r="J21" s="50" t="s">
        <v>221</v>
      </c>
      <c r="K21" s="69">
        <v>4</v>
      </c>
      <c r="L21" s="69">
        <v>0</v>
      </c>
      <c r="M21" s="69">
        <v>4</v>
      </c>
      <c r="N21" s="69">
        <v>0</v>
      </c>
      <c r="O21" s="69">
        <v>0</v>
      </c>
      <c r="P21" s="69">
        <v>0</v>
      </c>
      <c r="Q21" s="40">
        <f t="shared" si="2"/>
        <v>8</v>
      </c>
      <c r="R21" s="4"/>
      <c r="S21" s="1"/>
    </row>
    <row r="22" spans="1:19" x14ac:dyDescent="0.25">
      <c r="A22" s="7" t="s">
        <v>25</v>
      </c>
      <c r="B22" s="17">
        <v>4</v>
      </c>
      <c r="C22" s="11">
        <v>1</v>
      </c>
      <c r="D22" s="11">
        <v>5</v>
      </c>
      <c r="E22" s="11">
        <v>1</v>
      </c>
      <c r="F22" s="11">
        <v>0</v>
      </c>
      <c r="G22" s="11">
        <v>0</v>
      </c>
      <c r="H22" s="12">
        <f t="shared" si="4"/>
        <v>11</v>
      </c>
      <c r="I22" s="1"/>
      <c r="J22" s="58" t="s">
        <v>6</v>
      </c>
      <c r="K22" s="68">
        <v>0</v>
      </c>
      <c r="L22" s="68">
        <v>0</v>
      </c>
      <c r="M22" s="68">
        <v>0</v>
      </c>
      <c r="N22" s="68">
        <v>0</v>
      </c>
      <c r="O22" s="68">
        <v>0</v>
      </c>
      <c r="P22" s="68">
        <v>0</v>
      </c>
      <c r="Q22" s="40">
        <f t="shared" si="2"/>
        <v>0</v>
      </c>
      <c r="R22" s="4"/>
      <c r="S22" s="1"/>
    </row>
    <row r="23" spans="1:19" ht="15.75" thickBot="1" x14ac:dyDescent="0.3">
      <c r="A23" s="7" t="s">
        <v>218</v>
      </c>
      <c r="B23" s="17">
        <v>1</v>
      </c>
      <c r="C23" s="11">
        <v>2</v>
      </c>
      <c r="D23" s="11">
        <v>13</v>
      </c>
      <c r="E23" s="11">
        <v>0</v>
      </c>
      <c r="F23" s="11">
        <v>0</v>
      </c>
      <c r="G23" s="11">
        <v>0</v>
      </c>
      <c r="H23" s="12">
        <f t="shared" si="4"/>
        <v>16</v>
      </c>
      <c r="I23" s="1"/>
      <c r="J23" s="59" t="s">
        <v>7</v>
      </c>
      <c r="K23" s="94">
        <v>0</v>
      </c>
      <c r="L23" s="94">
        <v>0</v>
      </c>
      <c r="M23" s="94">
        <v>0</v>
      </c>
      <c r="N23" s="94">
        <v>0</v>
      </c>
      <c r="O23" s="94">
        <v>0</v>
      </c>
      <c r="P23" s="94">
        <v>0</v>
      </c>
      <c r="Q23" s="46">
        <f t="shared" si="2"/>
        <v>0</v>
      </c>
      <c r="R23" s="4"/>
      <c r="S23" s="1"/>
    </row>
    <row r="24" spans="1:19" x14ac:dyDescent="0.25">
      <c r="A24" s="7" t="s">
        <v>21</v>
      </c>
      <c r="B24" s="17">
        <v>780</v>
      </c>
      <c r="C24" s="11">
        <v>1546</v>
      </c>
      <c r="D24" s="11">
        <v>971</v>
      </c>
      <c r="E24" s="11">
        <v>54</v>
      </c>
      <c r="F24" s="11">
        <v>49</v>
      </c>
      <c r="G24" s="11">
        <v>6</v>
      </c>
      <c r="H24" s="12">
        <f t="shared" si="4"/>
        <v>3406</v>
      </c>
      <c r="I24" s="1"/>
      <c r="J24" s="1"/>
      <c r="K24" s="1"/>
      <c r="L24" s="1"/>
      <c r="M24" s="1"/>
      <c r="N24" s="1"/>
      <c r="O24" s="1"/>
      <c r="P24" s="1"/>
      <c r="Q24" s="1"/>
      <c r="R24" s="4"/>
      <c r="S24" s="1"/>
    </row>
    <row r="25" spans="1:19" ht="15.75" thickBot="1" x14ac:dyDescent="0.3">
      <c r="A25" s="7" t="s">
        <v>24</v>
      </c>
      <c r="B25" s="17">
        <v>40</v>
      </c>
      <c r="C25" s="11">
        <v>5</v>
      </c>
      <c r="D25" s="11">
        <v>33</v>
      </c>
      <c r="E25" s="11">
        <v>1</v>
      </c>
      <c r="F25" s="11">
        <v>0</v>
      </c>
      <c r="G25" s="11">
        <v>0</v>
      </c>
      <c r="H25" s="12">
        <f t="shared" si="4"/>
        <v>79</v>
      </c>
      <c r="I25" s="1"/>
      <c r="J25" s="1"/>
      <c r="K25" s="1"/>
      <c r="L25" s="1"/>
      <c r="M25" s="1"/>
      <c r="N25" s="1"/>
      <c r="O25" s="1"/>
      <c r="P25" s="1"/>
      <c r="Q25" s="1"/>
      <c r="R25" s="4"/>
      <c r="S25" s="1"/>
    </row>
    <row r="26" spans="1:19" x14ac:dyDescent="0.25">
      <c r="A26" s="7" t="s">
        <v>79</v>
      </c>
      <c r="B26" s="17">
        <v>521</v>
      </c>
      <c r="C26" s="11">
        <v>579</v>
      </c>
      <c r="D26" s="11">
        <v>446</v>
      </c>
      <c r="E26" s="11">
        <v>13</v>
      </c>
      <c r="F26" s="11">
        <v>17</v>
      </c>
      <c r="G26" s="11">
        <v>0</v>
      </c>
      <c r="H26" s="12">
        <f t="shared" si="4"/>
        <v>1576</v>
      </c>
      <c r="I26" s="1"/>
      <c r="J26" s="134" t="s">
        <v>169</v>
      </c>
      <c r="K26" s="136" t="s">
        <v>11</v>
      </c>
      <c r="L26" s="136"/>
      <c r="M26" s="136"/>
      <c r="N26" s="136"/>
      <c r="O26" s="136"/>
      <c r="P26" s="136"/>
      <c r="Q26" s="137"/>
      <c r="R26" s="4"/>
      <c r="S26" s="1"/>
    </row>
    <row r="27" spans="1:19" x14ac:dyDescent="0.25">
      <c r="A27" s="7" t="s">
        <v>75</v>
      </c>
      <c r="B27" s="17">
        <v>521</v>
      </c>
      <c r="C27" s="11">
        <v>579</v>
      </c>
      <c r="D27" s="11">
        <v>446</v>
      </c>
      <c r="E27" s="11">
        <v>13</v>
      </c>
      <c r="F27" s="11">
        <v>17</v>
      </c>
      <c r="G27" s="11">
        <v>0</v>
      </c>
      <c r="H27" s="12">
        <f t="shared" si="4"/>
        <v>1576</v>
      </c>
      <c r="I27" s="1"/>
      <c r="J27" s="135"/>
      <c r="K27" s="30" t="s">
        <v>8</v>
      </c>
      <c r="L27" s="30" t="s">
        <v>9</v>
      </c>
      <c r="M27" s="30" t="s">
        <v>176</v>
      </c>
      <c r="N27" s="30" t="s">
        <v>154</v>
      </c>
      <c r="O27" s="30" t="s">
        <v>155</v>
      </c>
      <c r="P27" s="60" t="s">
        <v>147</v>
      </c>
      <c r="Q27" s="54" t="s">
        <v>11</v>
      </c>
      <c r="R27" s="4"/>
      <c r="S27" s="1"/>
    </row>
    <row r="28" spans="1:19" x14ac:dyDescent="0.25">
      <c r="A28" s="7" t="s">
        <v>76</v>
      </c>
      <c r="B28" s="17">
        <v>470</v>
      </c>
      <c r="C28" s="11">
        <v>603</v>
      </c>
      <c r="D28" s="11">
        <v>513</v>
      </c>
      <c r="E28" s="11">
        <v>20</v>
      </c>
      <c r="F28" s="11">
        <v>21</v>
      </c>
      <c r="G28" s="11">
        <v>2</v>
      </c>
      <c r="H28" s="12">
        <f t="shared" si="4"/>
        <v>1629</v>
      </c>
      <c r="I28" s="1"/>
      <c r="J28" s="79" t="s">
        <v>146</v>
      </c>
      <c r="K28" s="74">
        <f t="shared" ref="K28:P28" si="5">SUM(K29:K37)</f>
        <v>92</v>
      </c>
      <c r="L28" s="74">
        <f t="shared" si="5"/>
        <v>277</v>
      </c>
      <c r="M28" s="74">
        <f t="shared" si="5"/>
        <v>260</v>
      </c>
      <c r="N28" s="74">
        <f t="shared" si="5"/>
        <v>0</v>
      </c>
      <c r="O28" s="74">
        <f t="shared" si="5"/>
        <v>0</v>
      </c>
      <c r="P28" s="74">
        <f t="shared" si="5"/>
        <v>0</v>
      </c>
      <c r="Q28" s="80">
        <f>SUM(K28:P28)</f>
        <v>629</v>
      </c>
      <c r="R28" s="4"/>
      <c r="S28" s="1"/>
    </row>
    <row r="29" spans="1:19" x14ac:dyDescent="0.25">
      <c r="A29" s="7" t="s">
        <v>74</v>
      </c>
      <c r="B29" s="17">
        <v>458</v>
      </c>
      <c r="C29" s="11">
        <v>603</v>
      </c>
      <c r="D29" s="11">
        <v>510</v>
      </c>
      <c r="E29" s="11">
        <v>7</v>
      </c>
      <c r="F29" s="11">
        <v>21</v>
      </c>
      <c r="G29" s="11">
        <v>2</v>
      </c>
      <c r="H29" s="12">
        <f t="shared" si="4"/>
        <v>1601</v>
      </c>
      <c r="I29" s="1"/>
      <c r="J29" s="45" t="s">
        <v>64</v>
      </c>
      <c r="K29" s="68">
        <v>65</v>
      </c>
      <c r="L29" s="68">
        <v>10</v>
      </c>
      <c r="M29" s="68">
        <v>115</v>
      </c>
      <c r="N29" s="68">
        <v>0</v>
      </c>
      <c r="O29" s="68">
        <v>0</v>
      </c>
      <c r="P29" s="69">
        <v>0</v>
      </c>
      <c r="Q29" s="40">
        <f>SUM(K29:P29)</f>
        <v>190</v>
      </c>
      <c r="R29" s="4"/>
      <c r="S29" s="1"/>
    </row>
    <row r="30" spans="1:19" x14ac:dyDescent="0.25">
      <c r="A30" s="7" t="s">
        <v>22</v>
      </c>
      <c r="B30" s="17">
        <v>503</v>
      </c>
      <c r="C30" s="11">
        <v>673</v>
      </c>
      <c r="D30" s="11">
        <v>654</v>
      </c>
      <c r="E30" s="11">
        <v>29</v>
      </c>
      <c r="F30" s="11">
        <v>29</v>
      </c>
      <c r="G30" s="11">
        <v>1</v>
      </c>
      <c r="H30" s="12">
        <f t="shared" si="4"/>
        <v>1889</v>
      </c>
      <c r="I30" s="1"/>
      <c r="J30" s="45" t="s">
        <v>170</v>
      </c>
      <c r="K30" s="68">
        <v>0</v>
      </c>
      <c r="L30" s="68">
        <v>0</v>
      </c>
      <c r="M30" s="68">
        <v>1</v>
      </c>
      <c r="N30" s="68">
        <v>0</v>
      </c>
      <c r="O30" s="68">
        <v>0</v>
      </c>
      <c r="P30" s="69">
        <v>0</v>
      </c>
      <c r="Q30" s="40">
        <f>SUM(K30:P30)</f>
        <v>1</v>
      </c>
      <c r="R30" s="4"/>
      <c r="S30" s="1"/>
    </row>
    <row r="31" spans="1:19" x14ac:dyDescent="0.25">
      <c r="A31" s="7" t="s">
        <v>23</v>
      </c>
      <c r="B31" s="17">
        <v>503</v>
      </c>
      <c r="C31" s="11">
        <v>673</v>
      </c>
      <c r="D31" s="11">
        <v>656</v>
      </c>
      <c r="E31" s="11">
        <v>30</v>
      </c>
      <c r="F31" s="11">
        <v>29</v>
      </c>
      <c r="G31" s="11">
        <v>1</v>
      </c>
      <c r="H31" s="12">
        <f t="shared" si="4"/>
        <v>1892</v>
      </c>
      <c r="I31" s="1"/>
      <c r="J31" s="45" t="s">
        <v>171</v>
      </c>
      <c r="K31" s="68">
        <v>0</v>
      </c>
      <c r="L31" s="68">
        <v>0</v>
      </c>
      <c r="M31" s="68">
        <v>0</v>
      </c>
      <c r="N31" s="68">
        <v>0</v>
      </c>
      <c r="O31" s="68">
        <v>0</v>
      </c>
      <c r="P31" s="69">
        <v>0</v>
      </c>
      <c r="Q31" s="40">
        <f>SUM(K31:P31)</f>
        <v>0</v>
      </c>
      <c r="R31" s="4"/>
      <c r="S31" s="1"/>
    </row>
    <row r="32" spans="1:19" ht="14.25" customHeight="1" x14ac:dyDescent="0.25">
      <c r="A32" s="7" t="s">
        <v>202</v>
      </c>
      <c r="B32" s="17">
        <v>69</v>
      </c>
      <c r="C32" s="11">
        <v>0</v>
      </c>
      <c r="D32" s="11">
        <v>5</v>
      </c>
      <c r="E32" s="11">
        <v>0</v>
      </c>
      <c r="F32" s="11">
        <v>0</v>
      </c>
      <c r="G32" s="11">
        <v>0</v>
      </c>
      <c r="H32" s="12">
        <f t="shared" si="4"/>
        <v>74</v>
      </c>
      <c r="I32" s="1"/>
      <c r="J32" s="49" t="s">
        <v>65</v>
      </c>
      <c r="K32" s="68">
        <v>22</v>
      </c>
      <c r="L32" s="68">
        <v>198</v>
      </c>
      <c r="M32" s="68">
        <v>37</v>
      </c>
      <c r="N32" s="68">
        <v>0</v>
      </c>
      <c r="O32" s="68">
        <v>0</v>
      </c>
      <c r="P32" s="69">
        <v>0</v>
      </c>
      <c r="Q32" s="40">
        <f t="shared" ref="Q32:Q37" si="6">SUM(K32:P32)</f>
        <v>257</v>
      </c>
      <c r="R32" s="4"/>
      <c r="S32" s="1"/>
    </row>
    <row r="33" spans="1:19" ht="15.75" customHeight="1" x14ac:dyDescent="0.25">
      <c r="A33" s="7" t="s">
        <v>159</v>
      </c>
      <c r="B33" s="17">
        <v>206</v>
      </c>
      <c r="C33" s="11">
        <v>157</v>
      </c>
      <c r="D33" s="11">
        <v>73</v>
      </c>
      <c r="E33" s="11">
        <v>0</v>
      </c>
      <c r="F33" s="11">
        <v>4</v>
      </c>
      <c r="G33" s="11">
        <v>0</v>
      </c>
      <c r="H33" s="12">
        <f t="shared" si="4"/>
        <v>440</v>
      </c>
      <c r="I33" s="1"/>
      <c r="J33" s="50" t="s">
        <v>130</v>
      </c>
      <c r="K33" s="70">
        <v>0</v>
      </c>
      <c r="L33" s="70">
        <v>0</v>
      </c>
      <c r="M33" s="70">
        <v>93</v>
      </c>
      <c r="N33" s="70">
        <v>0</v>
      </c>
      <c r="O33" s="70">
        <v>0</v>
      </c>
      <c r="P33" s="69">
        <v>0</v>
      </c>
      <c r="Q33" s="40">
        <f t="shared" si="6"/>
        <v>93</v>
      </c>
      <c r="R33" s="4"/>
      <c r="S33" s="1"/>
    </row>
    <row r="34" spans="1:19" x14ac:dyDescent="0.25">
      <c r="A34" s="7" t="s">
        <v>26</v>
      </c>
      <c r="B34" s="17">
        <v>667</v>
      </c>
      <c r="C34" s="11">
        <v>1150</v>
      </c>
      <c r="D34" s="11">
        <v>162</v>
      </c>
      <c r="E34" s="11">
        <v>35</v>
      </c>
      <c r="F34" s="11">
        <v>5</v>
      </c>
      <c r="G34" s="11">
        <v>2</v>
      </c>
      <c r="H34" s="12">
        <f t="shared" si="4"/>
        <v>2021</v>
      </c>
      <c r="I34" s="1"/>
      <c r="J34" s="67" t="s">
        <v>131</v>
      </c>
      <c r="K34" s="65">
        <v>0</v>
      </c>
      <c r="L34" s="65">
        <v>0</v>
      </c>
      <c r="M34" s="65">
        <v>13</v>
      </c>
      <c r="N34" s="65">
        <v>0</v>
      </c>
      <c r="O34" s="65">
        <v>0</v>
      </c>
      <c r="P34" s="31">
        <v>0</v>
      </c>
      <c r="Q34" s="40">
        <f t="shared" si="6"/>
        <v>13</v>
      </c>
      <c r="R34" s="4"/>
      <c r="S34" s="1"/>
    </row>
    <row r="35" spans="1:19" x14ac:dyDescent="0.25">
      <c r="A35" s="7" t="s">
        <v>82</v>
      </c>
      <c r="B35" s="17">
        <v>405</v>
      </c>
      <c r="C35" s="11">
        <v>409</v>
      </c>
      <c r="D35" s="11">
        <v>361</v>
      </c>
      <c r="E35" s="11">
        <v>12</v>
      </c>
      <c r="F35" s="11">
        <v>16</v>
      </c>
      <c r="G35" s="11">
        <v>0</v>
      </c>
      <c r="H35" s="12">
        <f t="shared" si="4"/>
        <v>1203</v>
      </c>
      <c r="I35" s="1"/>
      <c r="J35" s="67" t="s">
        <v>160</v>
      </c>
      <c r="K35" s="65">
        <v>0</v>
      </c>
      <c r="L35" s="65">
        <v>27</v>
      </c>
      <c r="M35" s="65">
        <v>0</v>
      </c>
      <c r="N35" s="65">
        <v>0</v>
      </c>
      <c r="O35" s="65">
        <v>0</v>
      </c>
      <c r="P35" s="31">
        <v>0</v>
      </c>
      <c r="Q35" s="40">
        <f t="shared" si="6"/>
        <v>27</v>
      </c>
      <c r="R35" s="4"/>
      <c r="S35" s="1"/>
    </row>
    <row r="36" spans="1:19" x14ac:dyDescent="0.25">
      <c r="A36" s="7" t="s">
        <v>30</v>
      </c>
      <c r="B36" s="17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2">
        <f t="shared" si="4"/>
        <v>0</v>
      </c>
      <c r="I36" s="1"/>
      <c r="J36" s="67" t="s">
        <v>211</v>
      </c>
      <c r="K36" s="65">
        <v>5</v>
      </c>
      <c r="L36" s="65">
        <v>42</v>
      </c>
      <c r="M36" s="65">
        <v>1</v>
      </c>
      <c r="N36" s="65">
        <v>0</v>
      </c>
      <c r="O36" s="65">
        <v>0</v>
      </c>
      <c r="P36" s="31">
        <v>0</v>
      </c>
      <c r="Q36" s="40">
        <f t="shared" si="6"/>
        <v>48</v>
      </c>
      <c r="R36" s="4"/>
      <c r="S36" s="1"/>
    </row>
    <row r="37" spans="1:19" ht="15.75" thickBot="1" x14ac:dyDescent="0.3">
      <c r="A37" s="7" t="s">
        <v>31</v>
      </c>
      <c r="B37" s="17">
        <v>11</v>
      </c>
      <c r="C37" s="11">
        <v>21</v>
      </c>
      <c r="D37" s="11">
        <v>2</v>
      </c>
      <c r="E37" s="11">
        <v>0</v>
      </c>
      <c r="F37" s="11">
        <v>0</v>
      </c>
      <c r="G37" s="11">
        <v>0</v>
      </c>
      <c r="H37" s="12">
        <f t="shared" si="4"/>
        <v>34</v>
      </c>
      <c r="I37" s="1"/>
      <c r="J37" s="51" t="s">
        <v>161</v>
      </c>
      <c r="K37" s="71">
        <v>0</v>
      </c>
      <c r="L37" s="71">
        <v>0</v>
      </c>
      <c r="M37" s="71">
        <v>0</v>
      </c>
      <c r="N37" s="71">
        <v>0</v>
      </c>
      <c r="O37" s="71">
        <v>0</v>
      </c>
      <c r="P37" s="72">
        <v>0</v>
      </c>
      <c r="Q37" s="46">
        <f t="shared" si="6"/>
        <v>0</v>
      </c>
      <c r="R37" s="4"/>
      <c r="S37" s="1"/>
    </row>
    <row r="38" spans="1:19" ht="15.75" thickBot="1" x14ac:dyDescent="0.3">
      <c r="A38" s="7" t="s">
        <v>66</v>
      </c>
      <c r="B38" s="17">
        <v>73</v>
      </c>
      <c r="C38" s="11">
        <v>97</v>
      </c>
      <c r="D38" s="11">
        <v>358</v>
      </c>
      <c r="E38" s="11">
        <v>10</v>
      </c>
      <c r="F38" s="11">
        <v>20</v>
      </c>
      <c r="G38" s="11">
        <v>3</v>
      </c>
      <c r="H38" s="12">
        <f t="shared" si="4"/>
        <v>561</v>
      </c>
      <c r="I38" s="1"/>
      <c r="J38" s="34"/>
      <c r="K38" s="34"/>
      <c r="L38" s="34"/>
      <c r="M38" s="34"/>
      <c r="N38" s="34"/>
      <c r="O38" s="34"/>
      <c r="P38" s="34"/>
      <c r="R38" s="4"/>
      <c r="S38" s="1"/>
    </row>
    <row r="39" spans="1:19" x14ac:dyDescent="0.25">
      <c r="A39" s="7" t="s">
        <v>67</v>
      </c>
      <c r="B39" s="17">
        <v>74</v>
      </c>
      <c r="C39" s="11">
        <v>98</v>
      </c>
      <c r="D39" s="11">
        <v>363</v>
      </c>
      <c r="E39" s="11">
        <v>11</v>
      </c>
      <c r="F39" s="11">
        <v>20</v>
      </c>
      <c r="G39" s="11">
        <v>3</v>
      </c>
      <c r="H39" s="12">
        <f t="shared" si="4"/>
        <v>569</v>
      </c>
      <c r="I39" s="1"/>
      <c r="J39" s="134" t="s">
        <v>136</v>
      </c>
      <c r="K39" s="136" t="s">
        <v>11</v>
      </c>
      <c r="L39" s="136"/>
      <c r="M39" s="136"/>
      <c r="N39" s="136"/>
      <c r="O39" s="136"/>
      <c r="P39" s="136"/>
      <c r="Q39" s="137"/>
      <c r="R39" s="4"/>
      <c r="S39" s="1"/>
    </row>
    <row r="40" spans="1:19" x14ac:dyDescent="0.25">
      <c r="A40" s="7" t="s">
        <v>77</v>
      </c>
      <c r="B40" s="17">
        <v>48</v>
      </c>
      <c r="C40" s="11">
        <v>6</v>
      </c>
      <c r="D40" s="11">
        <v>199</v>
      </c>
      <c r="E40" s="11">
        <v>5</v>
      </c>
      <c r="F40" s="11">
        <v>14</v>
      </c>
      <c r="G40" s="11">
        <v>2</v>
      </c>
      <c r="H40" s="12">
        <f t="shared" si="4"/>
        <v>274</v>
      </c>
      <c r="I40" s="1"/>
      <c r="J40" s="135"/>
      <c r="K40" s="30" t="s">
        <v>8</v>
      </c>
      <c r="L40" s="30" t="s">
        <v>9</v>
      </c>
      <c r="M40" s="30" t="s">
        <v>10</v>
      </c>
      <c r="N40" s="30" t="s">
        <v>154</v>
      </c>
      <c r="O40" s="30" t="s">
        <v>155</v>
      </c>
      <c r="P40" s="30" t="s">
        <v>147</v>
      </c>
      <c r="Q40" s="54" t="s">
        <v>11</v>
      </c>
      <c r="R40" s="4"/>
      <c r="S40" s="1"/>
    </row>
    <row r="41" spans="1:19" ht="15" customHeight="1" thickBot="1" x14ac:dyDescent="0.3">
      <c r="A41" s="7" t="s">
        <v>78</v>
      </c>
      <c r="B41" s="17">
        <v>46</v>
      </c>
      <c r="C41" s="11">
        <v>7</v>
      </c>
      <c r="D41" s="11">
        <v>199</v>
      </c>
      <c r="E41" s="11">
        <v>5</v>
      </c>
      <c r="F41" s="11">
        <v>14</v>
      </c>
      <c r="G41" s="11">
        <v>2</v>
      </c>
      <c r="H41" s="12">
        <f t="shared" si="4"/>
        <v>273</v>
      </c>
      <c r="I41" s="1"/>
      <c r="J41" s="95" t="s">
        <v>150</v>
      </c>
      <c r="K41" s="29">
        <f t="shared" ref="K41:P41" si="7">SUM(K42:K49)</f>
        <v>684</v>
      </c>
      <c r="L41" s="29">
        <f t="shared" si="7"/>
        <v>246</v>
      </c>
      <c r="M41" s="29">
        <f t="shared" si="7"/>
        <v>13</v>
      </c>
      <c r="N41" s="29">
        <f t="shared" si="7"/>
        <v>0</v>
      </c>
      <c r="O41" s="29">
        <f t="shared" si="7"/>
        <v>0</v>
      </c>
      <c r="P41" s="29">
        <f t="shared" si="7"/>
        <v>0</v>
      </c>
      <c r="Q41" s="96">
        <f>SUM(K41:P41)</f>
        <v>943</v>
      </c>
      <c r="R41" s="4"/>
      <c r="S41" s="1"/>
    </row>
    <row r="42" spans="1:19" x14ac:dyDescent="0.25">
      <c r="A42" s="7" t="s">
        <v>42</v>
      </c>
      <c r="B42" s="17">
        <v>7</v>
      </c>
      <c r="C42" s="11">
        <v>1</v>
      </c>
      <c r="D42" s="11">
        <v>5</v>
      </c>
      <c r="E42" s="11">
        <v>0</v>
      </c>
      <c r="F42" s="11">
        <v>0</v>
      </c>
      <c r="G42" s="11">
        <v>0</v>
      </c>
      <c r="H42" s="12">
        <f t="shared" si="4"/>
        <v>13</v>
      </c>
      <c r="I42" s="1"/>
      <c r="J42" s="97" t="s">
        <v>165</v>
      </c>
      <c r="K42" s="98">
        <v>0</v>
      </c>
      <c r="L42" s="98">
        <v>0</v>
      </c>
      <c r="M42" s="98">
        <v>0</v>
      </c>
      <c r="N42" s="98">
        <v>0</v>
      </c>
      <c r="O42" s="98">
        <v>0</v>
      </c>
      <c r="P42" s="98">
        <v>0</v>
      </c>
      <c r="Q42" s="99">
        <f t="shared" ref="Q42:Q49" si="8">SUM(K42:P42)</f>
        <v>0</v>
      </c>
      <c r="R42" s="4"/>
      <c r="S42" s="1"/>
    </row>
    <row r="43" spans="1:19" x14ac:dyDescent="0.25">
      <c r="A43" s="7" t="s">
        <v>43</v>
      </c>
      <c r="B43" s="17">
        <v>15</v>
      </c>
      <c r="C43" s="11">
        <v>3</v>
      </c>
      <c r="D43" s="11">
        <v>59</v>
      </c>
      <c r="E43" s="11">
        <v>0</v>
      </c>
      <c r="F43" s="11">
        <v>4</v>
      </c>
      <c r="G43" s="11">
        <v>0</v>
      </c>
      <c r="H43" s="12">
        <f t="shared" si="4"/>
        <v>81</v>
      </c>
      <c r="I43" s="1"/>
      <c r="J43" s="86" t="s">
        <v>166</v>
      </c>
      <c r="K43" s="89">
        <v>178</v>
      </c>
      <c r="L43" s="89">
        <v>77</v>
      </c>
      <c r="M43" s="89">
        <v>5</v>
      </c>
      <c r="N43" s="89">
        <v>0</v>
      </c>
      <c r="O43" s="89">
        <v>0</v>
      </c>
      <c r="P43" s="89">
        <v>0</v>
      </c>
      <c r="Q43" s="40">
        <f t="shared" si="8"/>
        <v>260</v>
      </c>
      <c r="R43" s="4"/>
      <c r="S43" s="1"/>
    </row>
    <row r="44" spans="1:19" x14ac:dyDescent="0.25">
      <c r="A44" s="7" t="s">
        <v>101</v>
      </c>
      <c r="B44" s="17">
        <v>16</v>
      </c>
      <c r="C44" s="11">
        <v>0</v>
      </c>
      <c r="D44" s="11">
        <v>51</v>
      </c>
      <c r="E44" s="11">
        <v>1</v>
      </c>
      <c r="F44" s="11">
        <v>0</v>
      </c>
      <c r="G44" s="11">
        <v>0</v>
      </c>
      <c r="H44" s="12">
        <f t="shared" si="4"/>
        <v>68</v>
      </c>
      <c r="I44" s="1"/>
      <c r="J44" s="86" t="s">
        <v>167</v>
      </c>
      <c r="K44" s="89">
        <v>22</v>
      </c>
      <c r="L44" s="89">
        <v>3</v>
      </c>
      <c r="M44" s="89">
        <v>0</v>
      </c>
      <c r="N44" s="89">
        <v>0</v>
      </c>
      <c r="O44" s="89">
        <v>0</v>
      </c>
      <c r="P44" s="89">
        <v>0</v>
      </c>
      <c r="Q44" s="40">
        <f t="shared" si="8"/>
        <v>25</v>
      </c>
      <c r="R44" s="4"/>
      <c r="S44" s="1"/>
    </row>
    <row r="45" spans="1:19" x14ac:dyDescent="0.25">
      <c r="A45" s="7" t="s">
        <v>95</v>
      </c>
      <c r="B45" s="37">
        <v>51</v>
      </c>
      <c r="C45" s="11">
        <v>92</v>
      </c>
      <c r="D45" s="11">
        <v>18</v>
      </c>
      <c r="E45" s="11">
        <v>1</v>
      </c>
      <c r="F45" s="11">
        <v>1</v>
      </c>
      <c r="G45" s="11">
        <v>0</v>
      </c>
      <c r="H45" s="12">
        <f t="shared" si="4"/>
        <v>163</v>
      </c>
      <c r="I45" s="1"/>
      <c r="J45" s="86" t="s">
        <v>168</v>
      </c>
      <c r="K45" s="89">
        <v>14</v>
      </c>
      <c r="L45" s="89">
        <v>7</v>
      </c>
      <c r="M45" s="89">
        <v>0</v>
      </c>
      <c r="N45" s="89">
        <v>0</v>
      </c>
      <c r="O45" s="89">
        <v>0</v>
      </c>
      <c r="P45" s="89">
        <v>0</v>
      </c>
      <c r="Q45" s="40">
        <f>SUM(K45:P45)</f>
        <v>21</v>
      </c>
      <c r="R45" s="4"/>
      <c r="S45" s="1"/>
    </row>
    <row r="46" spans="1:19" x14ac:dyDescent="0.25">
      <c r="A46" s="7" t="s">
        <v>96</v>
      </c>
      <c r="B46" s="37">
        <v>12</v>
      </c>
      <c r="C46" s="11">
        <v>0</v>
      </c>
      <c r="D46" s="11">
        <v>42</v>
      </c>
      <c r="E46" s="11">
        <v>0</v>
      </c>
      <c r="F46" s="11">
        <v>0</v>
      </c>
      <c r="G46" s="11">
        <v>0</v>
      </c>
      <c r="H46" s="12">
        <f t="shared" si="4"/>
        <v>54</v>
      </c>
      <c r="J46" s="86" t="s">
        <v>34</v>
      </c>
      <c r="K46" s="89">
        <v>28</v>
      </c>
      <c r="L46" s="89">
        <v>4</v>
      </c>
      <c r="M46" s="89">
        <v>0</v>
      </c>
      <c r="N46" s="89">
        <v>0</v>
      </c>
      <c r="O46" s="89">
        <v>0</v>
      </c>
      <c r="P46" s="89">
        <v>0</v>
      </c>
      <c r="Q46" s="40">
        <f t="shared" si="8"/>
        <v>32</v>
      </c>
      <c r="R46" s="4"/>
      <c r="S46" s="1"/>
    </row>
    <row r="47" spans="1:19" x14ac:dyDescent="0.25">
      <c r="A47" s="7" t="s">
        <v>97</v>
      </c>
      <c r="B47" s="37">
        <v>25</v>
      </c>
      <c r="C47" s="11">
        <v>2</v>
      </c>
      <c r="D47" s="11">
        <v>22</v>
      </c>
      <c r="E47" s="11">
        <v>0</v>
      </c>
      <c r="F47" s="11">
        <v>1</v>
      </c>
      <c r="G47" s="11">
        <v>0</v>
      </c>
      <c r="H47" s="12">
        <f t="shared" si="4"/>
        <v>50</v>
      </c>
      <c r="I47" s="1"/>
      <c r="J47" s="86" t="s">
        <v>179</v>
      </c>
      <c r="K47" s="89">
        <v>173</v>
      </c>
      <c r="L47" s="89">
        <v>68</v>
      </c>
      <c r="M47" s="89">
        <v>3</v>
      </c>
      <c r="N47" s="89">
        <v>0</v>
      </c>
      <c r="O47" s="89">
        <v>0</v>
      </c>
      <c r="P47" s="89">
        <v>0</v>
      </c>
      <c r="Q47" s="40">
        <f t="shared" si="8"/>
        <v>244</v>
      </c>
      <c r="R47" s="4"/>
      <c r="S47" s="1"/>
    </row>
    <row r="48" spans="1:19" x14ac:dyDescent="0.25">
      <c r="A48" s="36" t="s">
        <v>98</v>
      </c>
      <c r="B48" s="37">
        <v>25</v>
      </c>
      <c r="C48" s="11">
        <v>2</v>
      </c>
      <c r="D48" s="11">
        <v>22</v>
      </c>
      <c r="E48" s="11">
        <v>0</v>
      </c>
      <c r="F48" s="11">
        <v>1</v>
      </c>
      <c r="G48" s="11">
        <v>0</v>
      </c>
      <c r="H48" s="12">
        <f t="shared" si="4"/>
        <v>50</v>
      </c>
      <c r="I48" s="1"/>
      <c r="J48" s="86" t="s">
        <v>177</v>
      </c>
      <c r="K48" s="89">
        <v>231</v>
      </c>
      <c r="L48" s="89">
        <v>82</v>
      </c>
      <c r="M48" s="89">
        <v>5</v>
      </c>
      <c r="N48" s="89">
        <v>0</v>
      </c>
      <c r="O48" s="89">
        <v>0</v>
      </c>
      <c r="P48" s="89">
        <v>0</v>
      </c>
      <c r="Q48" s="40">
        <f t="shared" si="8"/>
        <v>318</v>
      </c>
      <c r="R48" s="4"/>
      <c r="S48" s="1"/>
    </row>
    <row r="49" spans="1:19" ht="15.75" thickBot="1" x14ac:dyDescent="0.3">
      <c r="A49" s="7" t="s">
        <v>86</v>
      </c>
      <c r="B49" s="17">
        <v>0</v>
      </c>
      <c r="C49" s="11">
        <v>961</v>
      </c>
      <c r="D49" s="11">
        <v>1</v>
      </c>
      <c r="E49" s="11">
        <v>6</v>
      </c>
      <c r="F49" s="11">
        <v>0</v>
      </c>
      <c r="G49" s="11">
        <v>0</v>
      </c>
      <c r="H49" s="14">
        <f>SUM(B49:G49)</f>
        <v>968</v>
      </c>
      <c r="I49" s="1"/>
      <c r="J49" s="87" t="s">
        <v>178</v>
      </c>
      <c r="K49" s="71">
        <v>38</v>
      </c>
      <c r="L49" s="71">
        <v>5</v>
      </c>
      <c r="M49" s="71">
        <v>0</v>
      </c>
      <c r="N49" s="71">
        <v>0</v>
      </c>
      <c r="O49" s="71">
        <v>0</v>
      </c>
      <c r="P49" s="71">
        <v>0</v>
      </c>
      <c r="Q49" s="46">
        <f t="shared" si="8"/>
        <v>43</v>
      </c>
      <c r="R49" s="4"/>
      <c r="S49" s="1"/>
    </row>
    <row r="50" spans="1:19" x14ac:dyDescent="0.25">
      <c r="A50" s="18" t="s">
        <v>87</v>
      </c>
      <c r="B50" s="38">
        <v>407</v>
      </c>
      <c r="C50" s="19">
        <v>543</v>
      </c>
      <c r="D50" s="19">
        <v>114</v>
      </c>
      <c r="E50" s="19">
        <v>7</v>
      </c>
      <c r="F50" s="21">
        <v>11</v>
      </c>
      <c r="G50" s="19">
        <v>1</v>
      </c>
      <c r="H50" s="14">
        <f>SUM(B50:G50)</f>
        <v>1083</v>
      </c>
      <c r="I50" s="1"/>
      <c r="J50" s="158"/>
      <c r="K50" s="158"/>
      <c r="L50" s="158"/>
      <c r="M50" s="158"/>
      <c r="N50" s="34"/>
      <c r="O50" s="34"/>
      <c r="P50" s="34"/>
      <c r="Q50" s="35"/>
      <c r="R50" s="4"/>
      <c r="S50" s="1"/>
    </row>
    <row r="51" spans="1:19" ht="15.75" thickBot="1" x14ac:dyDescent="0.3">
      <c r="A51" s="73" t="s">
        <v>139</v>
      </c>
      <c r="B51" s="75">
        <f t="shared" ref="B51:G51" si="9">SUM(B52:B68)</f>
        <v>2406</v>
      </c>
      <c r="C51" s="75">
        <f t="shared" si="9"/>
        <v>5195</v>
      </c>
      <c r="D51" s="77">
        <f t="shared" si="9"/>
        <v>2751</v>
      </c>
      <c r="E51" s="75">
        <f t="shared" si="9"/>
        <v>159</v>
      </c>
      <c r="F51" s="75">
        <f t="shared" si="9"/>
        <v>118</v>
      </c>
      <c r="G51" s="78">
        <f t="shared" si="9"/>
        <v>2</v>
      </c>
      <c r="H51" s="75">
        <f>SUM(B51:G51)</f>
        <v>10631</v>
      </c>
      <c r="I51" s="1"/>
      <c r="Q51" s="24"/>
      <c r="R51" s="4"/>
      <c r="S51" s="1"/>
    </row>
    <row r="52" spans="1:19" x14ac:dyDescent="0.25">
      <c r="A52" s="7" t="s">
        <v>90</v>
      </c>
      <c r="B52" s="13">
        <v>329</v>
      </c>
      <c r="C52" s="13">
        <v>108</v>
      </c>
      <c r="D52" s="25">
        <v>33</v>
      </c>
      <c r="E52" s="65">
        <v>4</v>
      </c>
      <c r="F52" s="65">
        <v>5</v>
      </c>
      <c r="G52" s="65">
        <v>0</v>
      </c>
      <c r="H52" s="26">
        <f t="shared" ref="H52:H113" si="10">SUM(B52:G52)</f>
        <v>479</v>
      </c>
      <c r="I52" s="1"/>
      <c r="J52" s="159" t="s">
        <v>152</v>
      </c>
      <c r="K52" s="160"/>
      <c r="L52" s="160"/>
      <c r="M52" s="160"/>
      <c r="N52" s="160"/>
      <c r="O52" s="160"/>
      <c r="P52" s="160"/>
      <c r="Q52" s="161"/>
      <c r="R52" s="4"/>
      <c r="S52" s="1"/>
    </row>
    <row r="53" spans="1:19" x14ac:dyDescent="0.25">
      <c r="A53" s="7" t="s">
        <v>91</v>
      </c>
      <c r="B53" s="13">
        <v>0</v>
      </c>
      <c r="C53" s="13">
        <v>0</v>
      </c>
      <c r="D53" s="25">
        <v>10</v>
      </c>
      <c r="E53" s="66">
        <v>27</v>
      </c>
      <c r="F53" s="66">
        <v>4</v>
      </c>
      <c r="G53" s="66">
        <v>0</v>
      </c>
      <c r="H53" s="26">
        <f t="shared" si="10"/>
        <v>41</v>
      </c>
      <c r="I53" s="1"/>
      <c r="J53" s="138" t="s">
        <v>72</v>
      </c>
      <c r="K53" s="139"/>
      <c r="L53" s="139"/>
      <c r="M53" s="139"/>
      <c r="N53" s="139"/>
      <c r="O53" s="139"/>
      <c r="P53" s="139"/>
      <c r="Q53" s="62" t="s">
        <v>11</v>
      </c>
      <c r="R53" s="4"/>
      <c r="S53" s="1"/>
    </row>
    <row r="54" spans="1:19" x14ac:dyDescent="0.25">
      <c r="A54" s="7" t="s">
        <v>32</v>
      </c>
      <c r="B54" s="13">
        <v>729</v>
      </c>
      <c r="C54" s="13">
        <v>2104</v>
      </c>
      <c r="D54" s="25">
        <v>1216</v>
      </c>
      <c r="E54" s="66">
        <v>33</v>
      </c>
      <c r="F54" s="66">
        <v>51</v>
      </c>
      <c r="G54" s="66">
        <v>2</v>
      </c>
      <c r="H54" s="26">
        <f t="shared" si="10"/>
        <v>4135</v>
      </c>
      <c r="I54" s="1"/>
      <c r="J54" s="138" t="s">
        <v>71</v>
      </c>
      <c r="K54" s="139"/>
      <c r="L54" s="139"/>
      <c r="M54" s="139"/>
      <c r="N54" s="139"/>
      <c r="O54" s="139"/>
      <c r="P54" s="139"/>
      <c r="Q54" s="47">
        <v>4</v>
      </c>
      <c r="R54" s="4"/>
      <c r="S54" s="1"/>
    </row>
    <row r="55" spans="1:19" x14ac:dyDescent="0.25">
      <c r="A55" s="7" t="s">
        <v>34</v>
      </c>
      <c r="B55" s="11">
        <v>7</v>
      </c>
      <c r="C55" s="13">
        <v>6</v>
      </c>
      <c r="D55" s="23">
        <v>6</v>
      </c>
      <c r="E55" s="66">
        <v>5</v>
      </c>
      <c r="F55" s="66">
        <v>1</v>
      </c>
      <c r="G55" s="66">
        <v>0</v>
      </c>
      <c r="H55" s="26">
        <f t="shared" si="10"/>
        <v>25</v>
      </c>
      <c r="I55" s="1"/>
      <c r="J55" s="138" t="s">
        <v>137</v>
      </c>
      <c r="K55" s="139"/>
      <c r="L55" s="139"/>
      <c r="M55" s="139"/>
      <c r="N55" s="139"/>
      <c r="O55" s="139"/>
      <c r="P55" s="139"/>
      <c r="Q55" s="47">
        <f>(H12)</f>
        <v>29130</v>
      </c>
      <c r="R55" s="4"/>
      <c r="S55" s="1"/>
    </row>
    <row r="56" spans="1:19" x14ac:dyDescent="0.25">
      <c r="A56" s="7" t="s">
        <v>181</v>
      </c>
      <c r="B56" s="13">
        <v>150</v>
      </c>
      <c r="C56" s="13">
        <v>759</v>
      </c>
      <c r="D56" s="25">
        <v>387</v>
      </c>
      <c r="E56" s="66">
        <v>9</v>
      </c>
      <c r="F56" s="66">
        <v>7</v>
      </c>
      <c r="G56" s="66">
        <v>0</v>
      </c>
      <c r="H56" s="26">
        <f t="shared" si="10"/>
        <v>1312</v>
      </c>
      <c r="I56" s="1"/>
      <c r="J56" s="138" t="s">
        <v>138</v>
      </c>
      <c r="K56" s="139"/>
      <c r="L56" s="139"/>
      <c r="M56" s="139"/>
      <c r="N56" s="139"/>
      <c r="O56" s="139"/>
      <c r="P56" s="139"/>
      <c r="Q56" s="48">
        <f>(H51)</f>
        <v>10631</v>
      </c>
      <c r="R56" s="4"/>
      <c r="S56" s="1"/>
    </row>
    <row r="57" spans="1:19" x14ac:dyDescent="0.25">
      <c r="A57" s="7" t="s">
        <v>184</v>
      </c>
      <c r="B57" s="11">
        <v>67</v>
      </c>
      <c r="C57" s="11">
        <v>3</v>
      </c>
      <c r="D57" s="23">
        <v>1</v>
      </c>
      <c r="E57" s="66">
        <v>37</v>
      </c>
      <c r="F57" s="66">
        <v>2</v>
      </c>
      <c r="G57" s="66">
        <v>0</v>
      </c>
      <c r="H57" s="26">
        <f t="shared" si="10"/>
        <v>110</v>
      </c>
      <c r="I57" s="1"/>
      <c r="J57" s="138" t="s">
        <v>140</v>
      </c>
      <c r="K57" s="139"/>
      <c r="L57" s="139"/>
      <c r="M57" s="139"/>
      <c r="N57" s="139"/>
      <c r="O57" s="139"/>
      <c r="P57" s="139"/>
      <c r="Q57" s="48">
        <f>(H69)</f>
        <v>799</v>
      </c>
      <c r="R57" s="4"/>
      <c r="S57" s="1"/>
    </row>
    <row r="58" spans="1:19" x14ac:dyDescent="0.25">
      <c r="A58" s="7" t="s">
        <v>88</v>
      </c>
      <c r="B58" s="11">
        <v>12</v>
      </c>
      <c r="C58" s="11">
        <v>6</v>
      </c>
      <c r="D58" s="23">
        <v>14</v>
      </c>
      <c r="E58" s="66">
        <v>0</v>
      </c>
      <c r="F58" s="66">
        <v>0</v>
      </c>
      <c r="G58" s="66">
        <v>0</v>
      </c>
      <c r="H58" s="26">
        <f t="shared" si="10"/>
        <v>32</v>
      </c>
      <c r="I58" s="1"/>
      <c r="J58" s="138" t="s">
        <v>144</v>
      </c>
      <c r="K58" s="139"/>
      <c r="L58" s="139"/>
      <c r="M58" s="139"/>
      <c r="N58" s="139"/>
      <c r="O58" s="139"/>
      <c r="P58" s="139"/>
      <c r="Q58" s="48">
        <f>H82</f>
        <v>1935</v>
      </c>
      <c r="R58" s="4"/>
      <c r="S58" s="1"/>
    </row>
    <row r="59" spans="1:19" x14ac:dyDescent="0.25">
      <c r="A59" s="7" t="s">
        <v>89</v>
      </c>
      <c r="B59" s="11">
        <v>0</v>
      </c>
      <c r="C59" s="11">
        <v>1</v>
      </c>
      <c r="D59" s="23">
        <v>4</v>
      </c>
      <c r="E59" s="66">
        <v>0</v>
      </c>
      <c r="F59" s="66">
        <v>0</v>
      </c>
      <c r="G59" s="66">
        <v>0</v>
      </c>
      <c r="H59" s="26">
        <f t="shared" si="10"/>
        <v>5</v>
      </c>
      <c r="I59" s="1"/>
      <c r="J59" s="138" t="s">
        <v>141</v>
      </c>
      <c r="K59" s="139"/>
      <c r="L59" s="139"/>
      <c r="M59" s="139"/>
      <c r="N59" s="139"/>
      <c r="O59" s="139"/>
      <c r="P59" s="139"/>
      <c r="Q59" s="48">
        <f>H95</f>
        <v>4779</v>
      </c>
      <c r="R59" s="4"/>
      <c r="S59" s="1"/>
    </row>
    <row r="60" spans="1:19" x14ac:dyDescent="0.25">
      <c r="A60" s="7" t="s">
        <v>183</v>
      </c>
      <c r="B60" s="11">
        <v>256</v>
      </c>
      <c r="C60" s="11">
        <v>822</v>
      </c>
      <c r="D60" s="23">
        <v>372</v>
      </c>
      <c r="E60" s="66">
        <v>8</v>
      </c>
      <c r="F60" s="66">
        <v>12</v>
      </c>
      <c r="G60" s="66">
        <v>0</v>
      </c>
      <c r="H60" s="26">
        <f t="shared" si="10"/>
        <v>1470</v>
      </c>
      <c r="I60" s="1"/>
      <c r="J60" s="138" t="s">
        <v>143</v>
      </c>
      <c r="K60" s="139"/>
      <c r="L60" s="139"/>
      <c r="M60" s="139"/>
      <c r="N60" s="139"/>
      <c r="O60" s="139"/>
      <c r="P60" s="139"/>
      <c r="Q60" s="63">
        <f>Q11</f>
        <v>1681</v>
      </c>
      <c r="R60" s="4"/>
      <c r="S60" s="1"/>
    </row>
    <row r="61" spans="1:19" x14ac:dyDescent="0.25">
      <c r="A61" s="7" t="s">
        <v>36</v>
      </c>
      <c r="B61" s="11">
        <v>19</v>
      </c>
      <c r="C61" s="11">
        <v>10</v>
      </c>
      <c r="D61" s="23">
        <v>18</v>
      </c>
      <c r="E61" s="66">
        <v>1</v>
      </c>
      <c r="F61" s="66">
        <v>0</v>
      </c>
      <c r="G61" s="66">
        <v>0</v>
      </c>
      <c r="H61" s="26">
        <f t="shared" si="10"/>
        <v>48</v>
      </c>
      <c r="I61" s="1"/>
      <c r="J61" s="138" t="s">
        <v>145</v>
      </c>
      <c r="K61" s="139"/>
      <c r="L61" s="139"/>
      <c r="M61" s="139"/>
      <c r="N61" s="139"/>
      <c r="O61" s="139"/>
      <c r="P61" s="139"/>
      <c r="Q61" s="41">
        <f>Q28</f>
        <v>629</v>
      </c>
      <c r="R61" s="4"/>
      <c r="S61" s="1"/>
    </row>
    <row r="62" spans="1:19" ht="15.75" thickBot="1" x14ac:dyDescent="0.3">
      <c r="A62" s="7" t="s">
        <v>119</v>
      </c>
      <c r="B62" s="11">
        <v>0</v>
      </c>
      <c r="C62" s="10">
        <v>0</v>
      </c>
      <c r="D62" s="23">
        <v>0</v>
      </c>
      <c r="E62" s="66">
        <v>0</v>
      </c>
      <c r="F62" s="66">
        <v>0</v>
      </c>
      <c r="G62" s="66">
        <v>0</v>
      </c>
      <c r="H62" s="26">
        <f>SUM(B62:G62)</f>
        <v>0</v>
      </c>
      <c r="I62" s="1"/>
      <c r="J62" s="144" t="s">
        <v>151</v>
      </c>
      <c r="K62" s="145"/>
      <c r="L62" s="145"/>
      <c r="M62" s="145"/>
      <c r="N62" s="145"/>
      <c r="O62" s="145"/>
      <c r="P62" s="145"/>
      <c r="Q62" s="64">
        <f>Q41</f>
        <v>943</v>
      </c>
      <c r="R62" s="4"/>
      <c r="S62" s="1"/>
    </row>
    <row r="63" spans="1:19" ht="15.75" thickBot="1" x14ac:dyDescent="0.3">
      <c r="A63" s="7" t="s">
        <v>118</v>
      </c>
      <c r="B63" s="11">
        <v>12</v>
      </c>
      <c r="C63" s="11">
        <v>9</v>
      </c>
      <c r="D63" s="23">
        <v>7</v>
      </c>
      <c r="E63" s="66">
        <v>0</v>
      </c>
      <c r="F63" s="66">
        <v>0</v>
      </c>
      <c r="G63" s="66">
        <v>0</v>
      </c>
      <c r="H63" s="33">
        <f>SUM(B63:G63)</f>
        <v>28</v>
      </c>
      <c r="I63" s="1"/>
      <c r="M63" s="53"/>
      <c r="N63" s="53"/>
      <c r="O63" s="53"/>
      <c r="P63" s="39" t="s">
        <v>11</v>
      </c>
      <c r="Q63" s="61">
        <f>SUM(Q54:Q62)</f>
        <v>50531</v>
      </c>
      <c r="R63" s="4"/>
      <c r="S63" s="1"/>
    </row>
    <row r="64" spans="1:19" x14ac:dyDescent="0.25">
      <c r="A64" s="8" t="s">
        <v>37</v>
      </c>
      <c r="B64" s="31">
        <v>82</v>
      </c>
      <c r="C64" s="20">
        <v>158</v>
      </c>
      <c r="D64" s="42">
        <v>36</v>
      </c>
      <c r="E64" s="65">
        <v>3</v>
      </c>
      <c r="F64" s="65">
        <v>3</v>
      </c>
      <c r="G64" s="65">
        <v>0</v>
      </c>
      <c r="H64" s="26">
        <f t="shared" si="10"/>
        <v>282</v>
      </c>
      <c r="I64" s="1"/>
      <c r="P64" s="1"/>
      <c r="Q64" s="1"/>
      <c r="R64" s="4"/>
      <c r="S64" s="1"/>
    </row>
    <row r="65" spans="1:19" x14ac:dyDescent="0.25">
      <c r="A65" s="7" t="s">
        <v>38</v>
      </c>
      <c r="B65" s="11">
        <v>329</v>
      </c>
      <c r="C65" s="10">
        <v>523</v>
      </c>
      <c r="D65" s="23">
        <v>310</v>
      </c>
      <c r="E65" s="66">
        <v>15</v>
      </c>
      <c r="F65" s="66">
        <v>15</v>
      </c>
      <c r="G65" s="66">
        <v>0</v>
      </c>
      <c r="H65" s="26">
        <f t="shared" si="10"/>
        <v>1192</v>
      </c>
      <c r="I65" s="1"/>
      <c r="R65" s="4"/>
      <c r="S65" s="1"/>
    </row>
    <row r="66" spans="1:19" x14ac:dyDescent="0.25">
      <c r="A66" s="7" t="s">
        <v>73</v>
      </c>
      <c r="B66" s="11">
        <v>329</v>
      </c>
      <c r="C66" s="10">
        <v>523</v>
      </c>
      <c r="D66" s="23">
        <v>310</v>
      </c>
      <c r="E66" s="11">
        <v>15</v>
      </c>
      <c r="F66" s="11">
        <v>15</v>
      </c>
      <c r="G66" s="11">
        <v>0</v>
      </c>
      <c r="H66" s="26">
        <f t="shared" si="10"/>
        <v>1192</v>
      </c>
      <c r="I66" s="1"/>
      <c r="J66" s="1"/>
      <c r="K66" s="1"/>
      <c r="L66" s="1"/>
      <c r="M66" s="1"/>
      <c r="N66" s="1"/>
      <c r="O66" s="1"/>
      <c r="R66" s="4"/>
      <c r="S66" s="1"/>
    </row>
    <row r="67" spans="1:19" x14ac:dyDescent="0.25">
      <c r="A67" s="7" t="s">
        <v>39</v>
      </c>
      <c r="B67" s="11">
        <v>81</v>
      </c>
      <c r="C67" s="10">
        <v>160</v>
      </c>
      <c r="D67" s="23">
        <v>24</v>
      </c>
      <c r="E67" s="11">
        <v>1</v>
      </c>
      <c r="F67" s="11">
        <v>2</v>
      </c>
      <c r="G67" s="11">
        <v>0</v>
      </c>
      <c r="H67" s="26">
        <f t="shared" si="10"/>
        <v>268</v>
      </c>
      <c r="I67" s="1"/>
      <c r="R67" s="4"/>
      <c r="S67" s="1"/>
    </row>
    <row r="68" spans="1:19" x14ac:dyDescent="0.25">
      <c r="A68" s="18" t="s">
        <v>40</v>
      </c>
      <c r="B68" s="19">
        <v>4</v>
      </c>
      <c r="C68" s="21">
        <v>3</v>
      </c>
      <c r="D68" s="43">
        <v>3</v>
      </c>
      <c r="E68" s="19">
        <v>1</v>
      </c>
      <c r="F68" s="19">
        <v>1</v>
      </c>
      <c r="G68" s="19">
        <v>0</v>
      </c>
      <c r="H68" s="26">
        <f t="shared" si="10"/>
        <v>12</v>
      </c>
      <c r="I68" s="1"/>
      <c r="R68" s="4"/>
      <c r="S68" s="1"/>
    </row>
    <row r="69" spans="1:19" x14ac:dyDescent="0.25">
      <c r="A69" s="73" t="s">
        <v>54</v>
      </c>
      <c r="B69" s="74">
        <f t="shared" ref="B69:G69" si="11">SUM(B70:B81)</f>
        <v>487</v>
      </c>
      <c r="C69" s="74">
        <f t="shared" si="11"/>
        <v>148</v>
      </c>
      <c r="D69" s="74">
        <f t="shared" si="11"/>
        <v>150</v>
      </c>
      <c r="E69" s="74">
        <f t="shared" si="11"/>
        <v>14</v>
      </c>
      <c r="F69" s="74">
        <f t="shared" si="11"/>
        <v>0</v>
      </c>
      <c r="G69" s="76">
        <f t="shared" si="11"/>
        <v>0</v>
      </c>
      <c r="H69" s="75">
        <f t="shared" si="10"/>
        <v>799</v>
      </c>
      <c r="I69" s="1"/>
      <c r="R69" s="4"/>
      <c r="S69" s="1"/>
    </row>
    <row r="70" spans="1:19" x14ac:dyDescent="0.25">
      <c r="A70" s="52" t="s">
        <v>55</v>
      </c>
      <c r="B70" s="65">
        <v>87</v>
      </c>
      <c r="C70" s="10">
        <v>22</v>
      </c>
      <c r="D70" s="65">
        <v>126</v>
      </c>
      <c r="E70" s="65">
        <v>6</v>
      </c>
      <c r="F70" s="11">
        <v>0</v>
      </c>
      <c r="G70" s="65">
        <v>0</v>
      </c>
      <c r="H70" s="26">
        <f t="shared" si="10"/>
        <v>241</v>
      </c>
      <c r="I70" s="1"/>
      <c r="R70" s="4"/>
      <c r="S70" s="1"/>
    </row>
    <row r="71" spans="1:19" x14ac:dyDescent="0.25">
      <c r="A71" s="52" t="s">
        <v>56</v>
      </c>
      <c r="B71" s="66">
        <v>156</v>
      </c>
      <c r="C71" s="91">
        <v>63</v>
      </c>
      <c r="D71" s="66">
        <v>1</v>
      </c>
      <c r="E71" s="66">
        <v>2</v>
      </c>
      <c r="F71" s="11">
        <v>0</v>
      </c>
      <c r="G71" s="66">
        <v>0</v>
      </c>
      <c r="H71" s="26">
        <f t="shared" si="10"/>
        <v>222</v>
      </c>
      <c r="I71" s="1"/>
      <c r="R71" s="4"/>
      <c r="S71" s="1"/>
    </row>
    <row r="72" spans="1:19" x14ac:dyDescent="0.25">
      <c r="A72" s="52" t="s">
        <v>58</v>
      </c>
      <c r="B72" s="66">
        <v>6</v>
      </c>
      <c r="C72" s="10">
        <v>0</v>
      </c>
      <c r="D72" s="66">
        <v>0</v>
      </c>
      <c r="E72" s="66">
        <v>0</v>
      </c>
      <c r="F72" s="11">
        <v>0</v>
      </c>
      <c r="G72" s="66">
        <v>0</v>
      </c>
      <c r="H72" s="26">
        <f t="shared" si="10"/>
        <v>6</v>
      </c>
      <c r="I72" s="1"/>
      <c r="R72" s="4"/>
      <c r="S72" s="1"/>
    </row>
    <row r="73" spans="1:19" x14ac:dyDescent="0.25">
      <c r="A73" s="52" t="s">
        <v>68</v>
      </c>
      <c r="B73" s="66">
        <v>71</v>
      </c>
      <c r="C73" s="91">
        <v>13</v>
      </c>
      <c r="D73" s="66">
        <v>5</v>
      </c>
      <c r="E73" s="66">
        <v>4</v>
      </c>
      <c r="F73" s="92">
        <v>0</v>
      </c>
      <c r="G73" s="66">
        <v>0</v>
      </c>
      <c r="H73" s="26">
        <f t="shared" si="10"/>
        <v>93</v>
      </c>
      <c r="I73" s="1"/>
      <c r="R73" s="4"/>
      <c r="S73" s="1"/>
    </row>
    <row r="74" spans="1:19" x14ac:dyDescent="0.25">
      <c r="A74" s="52" t="s">
        <v>69</v>
      </c>
      <c r="B74" s="66">
        <v>24</v>
      </c>
      <c r="C74" s="91">
        <v>8</v>
      </c>
      <c r="D74" s="66">
        <v>0</v>
      </c>
      <c r="E74" s="66">
        <v>0</v>
      </c>
      <c r="F74" s="92">
        <v>0</v>
      </c>
      <c r="G74" s="66">
        <v>0</v>
      </c>
      <c r="H74" s="26">
        <f t="shared" si="10"/>
        <v>32</v>
      </c>
      <c r="I74" s="1"/>
      <c r="R74" s="4"/>
      <c r="S74" s="1"/>
    </row>
    <row r="75" spans="1:19" x14ac:dyDescent="0.25">
      <c r="A75" s="52" t="s">
        <v>57</v>
      </c>
      <c r="B75" s="66">
        <v>11</v>
      </c>
      <c r="C75" s="91">
        <v>2</v>
      </c>
      <c r="D75" s="66">
        <v>2</v>
      </c>
      <c r="E75" s="66">
        <v>0</v>
      </c>
      <c r="F75" s="91">
        <v>0</v>
      </c>
      <c r="G75" s="66">
        <v>0</v>
      </c>
      <c r="H75" s="26">
        <f t="shared" si="10"/>
        <v>15</v>
      </c>
      <c r="I75" s="1"/>
      <c r="R75" s="4"/>
      <c r="S75" s="1"/>
    </row>
    <row r="76" spans="1:19" x14ac:dyDescent="0.25">
      <c r="A76" s="52" t="s">
        <v>142</v>
      </c>
      <c r="B76" s="66">
        <v>39</v>
      </c>
      <c r="C76" s="91">
        <v>9</v>
      </c>
      <c r="D76" s="66">
        <v>10</v>
      </c>
      <c r="E76" s="66">
        <v>0</v>
      </c>
      <c r="F76" s="92">
        <v>0</v>
      </c>
      <c r="G76" s="66">
        <v>0</v>
      </c>
      <c r="H76" s="26">
        <f t="shared" si="10"/>
        <v>58</v>
      </c>
      <c r="I76" s="1"/>
      <c r="R76" s="4"/>
      <c r="S76" s="1"/>
    </row>
    <row r="77" spans="1:19" x14ac:dyDescent="0.25">
      <c r="A77" s="52" t="s">
        <v>59</v>
      </c>
      <c r="B77" s="66">
        <v>8</v>
      </c>
      <c r="C77" s="91">
        <v>2</v>
      </c>
      <c r="D77" s="66">
        <v>5</v>
      </c>
      <c r="E77" s="66">
        <v>2</v>
      </c>
      <c r="F77" s="92">
        <v>0</v>
      </c>
      <c r="G77" s="66">
        <v>0</v>
      </c>
      <c r="H77" s="26">
        <f t="shared" si="10"/>
        <v>17</v>
      </c>
      <c r="I77" s="1"/>
      <c r="R77" s="4"/>
      <c r="S77" s="1"/>
    </row>
    <row r="78" spans="1:19" x14ac:dyDescent="0.25">
      <c r="A78" s="52" t="s">
        <v>60</v>
      </c>
      <c r="B78" s="66">
        <v>19</v>
      </c>
      <c r="C78" s="91">
        <v>7</v>
      </c>
      <c r="D78" s="66">
        <v>1</v>
      </c>
      <c r="E78" s="66">
        <v>0</v>
      </c>
      <c r="F78" s="91">
        <v>0</v>
      </c>
      <c r="G78" s="66">
        <v>0</v>
      </c>
      <c r="H78" s="26">
        <f t="shared" si="10"/>
        <v>27</v>
      </c>
      <c r="I78" s="1"/>
      <c r="R78" s="4"/>
      <c r="S78" s="1"/>
    </row>
    <row r="79" spans="1:19" x14ac:dyDescent="0.25">
      <c r="A79" s="52" t="s">
        <v>106</v>
      </c>
      <c r="B79" s="66">
        <v>13</v>
      </c>
      <c r="C79" s="91">
        <v>6</v>
      </c>
      <c r="D79" s="66">
        <v>0</v>
      </c>
      <c r="E79" s="66">
        <v>0</v>
      </c>
      <c r="F79" s="91">
        <v>0</v>
      </c>
      <c r="G79" s="66">
        <v>0</v>
      </c>
      <c r="H79" s="26">
        <f t="shared" si="10"/>
        <v>19</v>
      </c>
      <c r="I79" s="1"/>
      <c r="R79" s="4"/>
      <c r="S79" s="1"/>
    </row>
    <row r="80" spans="1:19" x14ac:dyDescent="0.25">
      <c r="A80" s="52" t="s">
        <v>132</v>
      </c>
      <c r="B80" s="66">
        <v>24</v>
      </c>
      <c r="C80" s="91">
        <v>8</v>
      </c>
      <c r="D80" s="66">
        <v>0</v>
      </c>
      <c r="E80" s="66">
        <v>0</v>
      </c>
      <c r="F80" s="92">
        <v>0</v>
      </c>
      <c r="G80" s="66">
        <v>0</v>
      </c>
      <c r="H80" s="26">
        <f t="shared" si="10"/>
        <v>32</v>
      </c>
      <c r="I80" s="1"/>
      <c r="R80" s="4"/>
      <c r="S80" s="1"/>
    </row>
    <row r="81" spans="1:19" x14ac:dyDescent="0.25">
      <c r="A81" s="52" t="s">
        <v>133</v>
      </c>
      <c r="B81" s="93">
        <v>29</v>
      </c>
      <c r="C81" s="91">
        <v>8</v>
      </c>
      <c r="D81" s="93">
        <v>0</v>
      </c>
      <c r="E81" s="93">
        <v>0</v>
      </c>
      <c r="F81" s="92">
        <v>0</v>
      </c>
      <c r="G81" s="93">
        <v>0</v>
      </c>
      <c r="H81" s="26">
        <f t="shared" si="10"/>
        <v>37</v>
      </c>
      <c r="I81" s="1"/>
      <c r="R81" s="4"/>
      <c r="S81" s="1"/>
    </row>
    <row r="82" spans="1:19" x14ac:dyDescent="0.25">
      <c r="A82" s="73" t="s">
        <v>70</v>
      </c>
      <c r="B82" s="74">
        <f>SUM(B83:B94)</f>
        <v>256</v>
      </c>
      <c r="C82" s="74">
        <f t="shared" ref="C82:G82" si="12">SUM(C83:C94)</f>
        <v>604</v>
      </c>
      <c r="D82" s="74">
        <f t="shared" si="12"/>
        <v>1011</v>
      </c>
      <c r="E82" s="74">
        <f t="shared" si="12"/>
        <v>26</v>
      </c>
      <c r="F82" s="74">
        <f t="shared" si="12"/>
        <v>3</v>
      </c>
      <c r="G82" s="74">
        <f t="shared" si="12"/>
        <v>35</v>
      </c>
      <c r="H82" s="75">
        <f t="shared" si="10"/>
        <v>1935</v>
      </c>
      <c r="I82" s="1"/>
      <c r="R82" s="4"/>
      <c r="S82" s="1"/>
    </row>
    <row r="83" spans="1:19" x14ac:dyDescent="0.25">
      <c r="A83" s="22" t="s">
        <v>84</v>
      </c>
      <c r="B83" s="11">
        <v>26</v>
      </c>
      <c r="C83" s="10">
        <v>0</v>
      </c>
      <c r="D83" s="11">
        <v>98</v>
      </c>
      <c r="E83" s="11">
        <v>2</v>
      </c>
      <c r="F83" s="10">
        <v>1</v>
      </c>
      <c r="G83" s="11">
        <v>0</v>
      </c>
      <c r="H83" s="26">
        <f t="shared" si="10"/>
        <v>127</v>
      </c>
      <c r="I83" s="1"/>
      <c r="R83" s="4"/>
      <c r="S83" s="1"/>
    </row>
    <row r="84" spans="1:19" x14ac:dyDescent="0.25">
      <c r="A84" s="22" t="s">
        <v>114</v>
      </c>
      <c r="B84" s="11">
        <v>21</v>
      </c>
      <c r="C84" s="10">
        <v>0</v>
      </c>
      <c r="D84" s="11">
        <v>70</v>
      </c>
      <c r="E84" s="11">
        <v>4</v>
      </c>
      <c r="F84" s="10">
        <v>0</v>
      </c>
      <c r="G84" s="11">
        <v>0</v>
      </c>
      <c r="H84" s="26">
        <f t="shared" si="10"/>
        <v>95</v>
      </c>
      <c r="I84" s="1"/>
      <c r="R84" s="4"/>
      <c r="S84" s="1"/>
    </row>
    <row r="85" spans="1:19" ht="14.25" customHeight="1" x14ac:dyDescent="0.25">
      <c r="A85" s="22" t="s">
        <v>61</v>
      </c>
      <c r="B85" s="11">
        <v>20</v>
      </c>
      <c r="C85" s="10">
        <v>37</v>
      </c>
      <c r="D85" s="11">
        <v>6</v>
      </c>
      <c r="E85" s="11">
        <v>0</v>
      </c>
      <c r="F85" s="10">
        <v>0</v>
      </c>
      <c r="G85" s="11">
        <v>0</v>
      </c>
      <c r="H85" s="26">
        <f t="shared" si="10"/>
        <v>63</v>
      </c>
      <c r="I85" s="1"/>
      <c r="R85" s="4"/>
      <c r="S85" s="1"/>
    </row>
    <row r="86" spans="1:19" x14ac:dyDescent="0.25">
      <c r="A86" s="22" t="s">
        <v>62</v>
      </c>
      <c r="B86" s="11">
        <v>39</v>
      </c>
      <c r="C86" s="10">
        <v>0</v>
      </c>
      <c r="D86" s="11">
        <v>186</v>
      </c>
      <c r="E86" s="11">
        <v>2</v>
      </c>
      <c r="F86" s="10">
        <v>1</v>
      </c>
      <c r="G86" s="11">
        <v>0</v>
      </c>
      <c r="H86" s="26">
        <f t="shared" si="10"/>
        <v>228</v>
      </c>
      <c r="I86" s="1"/>
      <c r="K86" s="133"/>
      <c r="L86" s="133"/>
      <c r="M86" s="133"/>
      <c r="R86" s="4"/>
      <c r="S86" s="1"/>
    </row>
    <row r="87" spans="1:19" x14ac:dyDescent="0.25">
      <c r="A87" s="22" t="s">
        <v>93</v>
      </c>
      <c r="B87" s="11">
        <v>0</v>
      </c>
      <c r="C87" s="10">
        <v>0</v>
      </c>
      <c r="D87" s="11">
        <v>0</v>
      </c>
      <c r="E87" s="11">
        <v>0</v>
      </c>
      <c r="F87" s="10">
        <v>0</v>
      </c>
      <c r="G87" s="11">
        <v>0</v>
      </c>
      <c r="H87" s="26">
        <f t="shared" si="10"/>
        <v>0</v>
      </c>
      <c r="I87" s="1"/>
      <c r="R87" s="4"/>
      <c r="S87" s="1"/>
    </row>
    <row r="88" spans="1:19" x14ac:dyDescent="0.25">
      <c r="A88" s="22" t="s">
        <v>94</v>
      </c>
      <c r="B88" s="11">
        <v>0</v>
      </c>
      <c r="C88" s="10">
        <v>0</v>
      </c>
      <c r="D88" s="11">
        <v>0</v>
      </c>
      <c r="E88" s="11">
        <v>0</v>
      </c>
      <c r="F88" s="10">
        <v>0</v>
      </c>
      <c r="G88" s="11">
        <v>0</v>
      </c>
      <c r="H88" s="33">
        <f t="shared" si="10"/>
        <v>0</v>
      </c>
      <c r="I88" s="1"/>
      <c r="R88" s="4"/>
      <c r="S88" s="1"/>
    </row>
    <row r="89" spans="1:19" x14ac:dyDescent="0.25">
      <c r="A89" s="81" t="s">
        <v>108</v>
      </c>
      <c r="B89" s="82">
        <v>107</v>
      </c>
      <c r="C89" s="83">
        <v>543</v>
      </c>
      <c r="D89" s="82">
        <v>482</v>
      </c>
      <c r="E89" s="82">
        <v>16</v>
      </c>
      <c r="F89" s="85">
        <v>0</v>
      </c>
      <c r="G89" s="82">
        <v>0</v>
      </c>
      <c r="H89" s="84">
        <f>SUM(B89:G89)</f>
        <v>1148</v>
      </c>
      <c r="I89" s="1"/>
      <c r="R89" s="4"/>
      <c r="S89" s="1"/>
    </row>
    <row r="90" spans="1:19" x14ac:dyDescent="0.25">
      <c r="A90" s="32" t="s">
        <v>63</v>
      </c>
      <c r="B90" s="31">
        <v>0</v>
      </c>
      <c r="C90" s="20">
        <v>0</v>
      </c>
      <c r="D90" s="31">
        <v>2</v>
      </c>
      <c r="E90" s="31">
        <v>0</v>
      </c>
      <c r="F90" s="20">
        <v>0</v>
      </c>
      <c r="G90" s="31">
        <v>0</v>
      </c>
      <c r="H90" s="26">
        <f t="shared" si="10"/>
        <v>2</v>
      </c>
      <c r="I90" s="1"/>
      <c r="R90" s="4"/>
      <c r="S90" s="1"/>
    </row>
    <row r="91" spans="1:19" x14ac:dyDescent="0.25">
      <c r="A91" s="22" t="s">
        <v>153</v>
      </c>
      <c r="B91" s="11">
        <v>0</v>
      </c>
      <c r="C91" s="10">
        <v>0</v>
      </c>
      <c r="D91" s="11">
        <v>4</v>
      </c>
      <c r="E91" s="11">
        <v>0</v>
      </c>
      <c r="F91" s="10">
        <v>0</v>
      </c>
      <c r="G91" s="11">
        <v>0</v>
      </c>
      <c r="H91" s="26">
        <f t="shared" si="10"/>
        <v>4</v>
      </c>
      <c r="I91" s="1"/>
      <c r="R91" s="4"/>
      <c r="S91" s="1"/>
    </row>
    <row r="92" spans="1:19" x14ac:dyDescent="0.25">
      <c r="A92" s="22" t="s">
        <v>107</v>
      </c>
      <c r="B92" s="11">
        <v>30</v>
      </c>
      <c r="C92" s="10">
        <v>24</v>
      </c>
      <c r="D92" s="11">
        <v>146</v>
      </c>
      <c r="E92" s="11">
        <v>2</v>
      </c>
      <c r="F92" s="10">
        <v>1</v>
      </c>
      <c r="G92" s="11">
        <v>35</v>
      </c>
      <c r="H92" s="26">
        <f t="shared" si="10"/>
        <v>238</v>
      </c>
      <c r="I92" s="1"/>
      <c r="R92" s="4"/>
      <c r="S92" s="1"/>
    </row>
    <row r="93" spans="1:19" x14ac:dyDescent="0.25">
      <c r="A93" s="22" t="s">
        <v>210</v>
      </c>
      <c r="B93" s="11">
        <v>0</v>
      </c>
      <c r="C93" s="10">
        <v>0</v>
      </c>
      <c r="D93" s="11">
        <v>0</v>
      </c>
      <c r="E93" s="11">
        <v>0</v>
      </c>
      <c r="F93" s="10">
        <v>0</v>
      </c>
      <c r="G93" s="11">
        <v>0</v>
      </c>
      <c r="H93" s="26">
        <f t="shared" si="10"/>
        <v>0</v>
      </c>
      <c r="I93" s="1"/>
      <c r="R93" s="4"/>
      <c r="S93" s="1"/>
    </row>
    <row r="94" spans="1:19" x14ac:dyDescent="0.25">
      <c r="A94" s="22" t="s">
        <v>182</v>
      </c>
      <c r="B94" s="11">
        <v>13</v>
      </c>
      <c r="C94" s="10">
        <v>0</v>
      </c>
      <c r="D94" s="11">
        <v>17</v>
      </c>
      <c r="E94" s="11">
        <v>0</v>
      </c>
      <c r="F94" s="10">
        <v>0</v>
      </c>
      <c r="G94" s="11">
        <v>0</v>
      </c>
      <c r="H94" s="26">
        <f t="shared" si="10"/>
        <v>30</v>
      </c>
      <c r="I94" s="1"/>
      <c r="R94" s="4"/>
      <c r="S94" s="1"/>
    </row>
    <row r="95" spans="1:19" x14ac:dyDescent="0.25">
      <c r="A95" s="73" t="s">
        <v>3</v>
      </c>
      <c r="B95" s="74">
        <f>SUM(B96:B155)</f>
        <v>1445</v>
      </c>
      <c r="C95" s="74">
        <f t="shared" ref="C95:G95" si="13">SUM(C96:C155)</f>
        <v>1174</v>
      </c>
      <c r="D95" s="74">
        <f t="shared" si="13"/>
        <v>2013</v>
      </c>
      <c r="E95" s="74">
        <f t="shared" si="13"/>
        <v>40</v>
      </c>
      <c r="F95" s="74">
        <f t="shared" si="13"/>
        <v>75</v>
      </c>
      <c r="G95" s="74">
        <f t="shared" si="13"/>
        <v>32</v>
      </c>
      <c r="H95" s="75">
        <f t="shared" si="10"/>
        <v>4779</v>
      </c>
      <c r="I95" s="1"/>
      <c r="R95" s="4"/>
      <c r="S95" s="1"/>
    </row>
    <row r="96" spans="1:19" x14ac:dyDescent="0.25">
      <c r="A96" s="7" t="s">
        <v>113</v>
      </c>
      <c r="B96" s="11">
        <v>140</v>
      </c>
      <c r="C96" s="11">
        <v>273</v>
      </c>
      <c r="D96" s="11">
        <v>275</v>
      </c>
      <c r="E96" s="11">
        <v>2</v>
      </c>
      <c r="F96" s="17">
        <v>5</v>
      </c>
      <c r="G96" s="11">
        <v>0</v>
      </c>
      <c r="H96" s="14">
        <f t="shared" si="10"/>
        <v>695</v>
      </c>
      <c r="I96" s="1"/>
      <c r="R96" s="4"/>
      <c r="S96" s="1"/>
    </row>
    <row r="97" spans="1:19" x14ac:dyDescent="0.25">
      <c r="A97" s="7" t="s">
        <v>112</v>
      </c>
      <c r="B97" s="11">
        <v>0</v>
      </c>
      <c r="C97" s="11">
        <v>0</v>
      </c>
      <c r="D97" s="11">
        <v>0</v>
      </c>
      <c r="E97" s="11">
        <v>0</v>
      </c>
      <c r="F97" s="17">
        <v>0</v>
      </c>
      <c r="G97" s="11">
        <v>0</v>
      </c>
      <c r="H97" s="14">
        <f t="shared" si="10"/>
        <v>0</v>
      </c>
      <c r="I97" s="1"/>
      <c r="R97" s="4"/>
      <c r="S97" s="1"/>
    </row>
    <row r="98" spans="1:19" x14ac:dyDescent="0.25">
      <c r="A98" s="7" t="s">
        <v>41</v>
      </c>
      <c r="B98" s="11">
        <v>1</v>
      </c>
      <c r="C98" s="11">
        <v>1</v>
      </c>
      <c r="D98" s="11">
        <v>1</v>
      </c>
      <c r="E98" s="11">
        <v>0</v>
      </c>
      <c r="F98" s="17">
        <v>0</v>
      </c>
      <c r="G98" s="11">
        <v>0</v>
      </c>
      <c r="H98" s="14">
        <f t="shared" si="10"/>
        <v>3</v>
      </c>
      <c r="I98" s="1"/>
      <c r="R98" s="4"/>
      <c r="S98" s="1"/>
    </row>
    <row r="99" spans="1:19" x14ac:dyDescent="0.25">
      <c r="A99" s="7" t="s">
        <v>192</v>
      </c>
      <c r="B99" s="11">
        <v>0</v>
      </c>
      <c r="C99" s="11">
        <v>0</v>
      </c>
      <c r="D99" s="11">
        <v>0</v>
      </c>
      <c r="E99" s="11">
        <v>0</v>
      </c>
      <c r="F99" s="17">
        <v>0</v>
      </c>
      <c r="G99" s="11">
        <v>0</v>
      </c>
      <c r="H99" s="14">
        <f t="shared" si="10"/>
        <v>0</v>
      </c>
      <c r="I99" s="1"/>
      <c r="R99" s="4"/>
      <c r="S99" s="1"/>
    </row>
    <row r="100" spans="1:19" x14ac:dyDescent="0.25">
      <c r="A100" s="7" t="s">
        <v>213</v>
      </c>
      <c r="B100" s="11">
        <v>16</v>
      </c>
      <c r="C100" s="11">
        <v>0</v>
      </c>
      <c r="D100" s="11">
        <v>9</v>
      </c>
      <c r="E100" s="11">
        <v>0</v>
      </c>
      <c r="F100" s="17">
        <v>0</v>
      </c>
      <c r="G100" s="11">
        <v>0</v>
      </c>
      <c r="H100" s="14">
        <f t="shared" si="10"/>
        <v>25</v>
      </c>
      <c r="I100" s="1"/>
      <c r="R100" s="4"/>
      <c r="S100" s="1"/>
    </row>
    <row r="101" spans="1:19" x14ac:dyDescent="0.25">
      <c r="A101" s="7" t="s">
        <v>214</v>
      </c>
      <c r="B101" s="11">
        <v>16</v>
      </c>
      <c r="C101" s="11">
        <v>0</v>
      </c>
      <c r="D101" s="11">
        <v>9</v>
      </c>
      <c r="E101" s="11">
        <v>0</v>
      </c>
      <c r="F101" s="17">
        <v>0</v>
      </c>
      <c r="G101" s="11">
        <v>0</v>
      </c>
      <c r="H101" s="14">
        <f t="shared" si="10"/>
        <v>25</v>
      </c>
      <c r="I101" s="1"/>
      <c r="R101" s="4"/>
      <c r="S101" s="1"/>
    </row>
    <row r="102" spans="1:19" x14ac:dyDescent="0.25">
      <c r="A102" s="7" t="s">
        <v>215</v>
      </c>
      <c r="B102" s="11">
        <v>2</v>
      </c>
      <c r="C102" s="11">
        <v>0</v>
      </c>
      <c r="D102" s="11">
        <v>6</v>
      </c>
      <c r="E102" s="11">
        <v>0</v>
      </c>
      <c r="F102" s="17">
        <v>0</v>
      </c>
      <c r="G102" s="11">
        <v>0</v>
      </c>
      <c r="H102" s="14">
        <f t="shared" si="10"/>
        <v>8</v>
      </c>
      <c r="I102" s="1"/>
      <c r="R102" s="4"/>
      <c r="S102" s="1"/>
    </row>
    <row r="103" spans="1:19" x14ac:dyDescent="0.25">
      <c r="A103" s="7" t="s">
        <v>219</v>
      </c>
      <c r="B103" s="11">
        <v>1</v>
      </c>
      <c r="C103" s="11">
        <v>0</v>
      </c>
      <c r="D103" s="11">
        <v>6</v>
      </c>
      <c r="E103" s="11">
        <v>0</v>
      </c>
      <c r="F103" s="17">
        <v>0</v>
      </c>
      <c r="G103" s="11">
        <v>0</v>
      </c>
      <c r="H103" s="14">
        <f t="shared" si="10"/>
        <v>7</v>
      </c>
      <c r="I103" s="1"/>
      <c r="R103" s="4"/>
      <c r="S103" s="1"/>
    </row>
    <row r="104" spans="1:19" x14ac:dyDescent="0.25">
      <c r="A104" s="7" t="s">
        <v>220</v>
      </c>
      <c r="B104" s="11">
        <v>0</v>
      </c>
      <c r="C104" s="11">
        <v>0</v>
      </c>
      <c r="D104" s="11">
        <v>4</v>
      </c>
      <c r="E104" s="11">
        <v>0</v>
      </c>
      <c r="F104" s="17">
        <v>0</v>
      </c>
      <c r="G104" s="11">
        <v>0</v>
      </c>
      <c r="H104" s="14">
        <f t="shared" si="10"/>
        <v>4</v>
      </c>
      <c r="I104" s="1"/>
      <c r="R104" s="4"/>
      <c r="S104" s="1"/>
    </row>
    <row r="105" spans="1:19" x14ac:dyDescent="0.25">
      <c r="A105" s="7" t="s">
        <v>216</v>
      </c>
      <c r="B105" s="11">
        <v>0</v>
      </c>
      <c r="C105" s="11">
        <v>0</v>
      </c>
      <c r="D105" s="11">
        <v>0</v>
      </c>
      <c r="E105" s="11">
        <v>0</v>
      </c>
      <c r="F105" s="17">
        <v>0</v>
      </c>
      <c r="G105" s="11">
        <v>0</v>
      </c>
      <c r="H105" s="14">
        <f t="shared" si="10"/>
        <v>0</v>
      </c>
      <c r="I105" s="1"/>
      <c r="R105" s="4"/>
      <c r="S105" s="1"/>
    </row>
    <row r="106" spans="1:19" x14ac:dyDescent="0.25">
      <c r="A106" s="7" t="s">
        <v>174</v>
      </c>
      <c r="B106" s="11">
        <v>0</v>
      </c>
      <c r="C106" s="11">
        <v>0</v>
      </c>
      <c r="D106" s="11">
        <v>0</v>
      </c>
      <c r="E106" s="11">
        <v>0</v>
      </c>
      <c r="F106" s="17">
        <v>2</v>
      </c>
      <c r="G106" s="11">
        <v>0</v>
      </c>
      <c r="H106" s="14">
        <f t="shared" si="10"/>
        <v>2</v>
      </c>
      <c r="I106" s="1"/>
      <c r="R106" s="4"/>
      <c r="S106" s="1"/>
    </row>
    <row r="107" spans="1:19" x14ac:dyDescent="0.25">
      <c r="A107" s="7" t="s">
        <v>175</v>
      </c>
      <c r="B107" s="11">
        <v>0</v>
      </c>
      <c r="C107" s="11">
        <v>0</v>
      </c>
      <c r="D107" s="11">
        <v>0</v>
      </c>
      <c r="E107" s="19">
        <v>0</v>
      </c>
      <c r="F107" s="17">
        <v>0</v>
      </c>
      <c r="G107" s="11">
        <v>0</v>
      </c>
      <c r="H107" s="14">
        <f t="shared" si="10"/>
        <v>0</v>
      </c>
      <c r="I107" s="1"/>
      <c r="R107" s="4"/>
      <c r="S107" s="1"/>
    </row>
    <row r="108" spans="1:19" x14ac:dyDescent="0.25">
      <c r="A108" s="143" t="s">
        <v>109</v>
      </c>
      <c r="B108" s="143"/>
      <c r="C108" s="143"/>
      <c r="D108" s="143"/>
      <c r="E108" s="143"/>
      <c r="F108" s="143"/>
      <c r="G108" s="143"/>
      <c r="H108" s="143"/>
      <c r="I108" s="1"/>
      <c r="R108" s="4"/>
      <c r="S108" s="1"/>
    </row>
    <row r="109" spans="1:19" x14ac:dyDescent="0.25">
      <c r="A109" s="7" t="s">
        <v>123</v>
      </c>
      <c r="B109" s="11">
        <v>92</v>
      </c>
      <c r="C109" s="11">
        <v>323</v>
      </c>
      <c r="D109" s="11">
        <v>98</v>
      </c>
      <c r="E109" s="11">
        <v>0</v>
      </c>
      <c r="F109" s="11">
        <v>4</v>
      </c>
      <c r="G109" s="11">
        <v>0</v>
      </c>
      <c r="H109" s="28">
        <f t="shared" si="10"/>
        <v>517</v>
      </c>
      <c r="I109" s="1"/>
      <c r="J109" s="133"/>
      <c r="K109" s="133"/>
      <c r="R109" s="4"/>
      <c r="S109" s="1"/>
    </row>
    <row r="110" spans="1:19" x14ac:dyDescent="0.25">
      <c r="A110" s="7" t="s">
        <v>122</v>
      </c>
      <c r="B110" s="11">
        <v>89</v>
      </c>
      <c r="C110" s="11">
        <v>285</v>
      </c>
      <c r="D110" s="10">
        <v>102</v>
      </c>
      <c r="E110" s="11">
        <v>0</v>
      </c>
      <c r="F110" s="11">
        <v>7</v>
      </c>
      <c r="G110" s="11">
        <v>0</v>
      </c>
      <c r="H110" s="14">
        <f t="shared" si="10"/>
        <v>483</v>
      </c>
      <c r="I110" s="1"/>
      <c r="J110" s="133"/>
      <c r="K110" s="133"/>
      <c r="R110" s="4"/>
      <c r="S110" s="1"/>
    </row>
    <row r="111" spans="1:19" x14ac:dyDescent="0.25">
      <c r="A111" s="7" t="s">
        <v>121</v>
      </c>
      <c r="B111" s="11">
        <v>95</v>
      </c>
      <c r="C111" s="11">
        <v>108</v>
      </c>
      <c r="D111" s="11">
        <v>116</v>
      </c>
      <c r="E111" s="11">
        <v>3</v>
      </c>
      <c r="F111" s="11">
        <v>4</v>
      </c>
      <c r="G111" s="11">
        <v>0</v>
      </c>
      <c r="H111" s="14">
        <f t="shared" si="10"/>
        <v>326</v>
      </c>
      <c r="I111" s="1"/>
      <c r="R111" s="4"/>
      <c r="S111" s="1"/>
    </row>
    <row r="112" spans="1:19" x14ac:dyDescent="0.25">
      <c r="A112" s="7" t="s">
        <v>120</v>
      </c>
      <c r="B112" s="11">
        <v>79</v>
      </c>
      <c r="C112" s="11">
        <v>25</v>
      </c>
      <c r="D112" s="11">
        <v>95</v>
      </c>
      <c r="E112" s="11">
        <v>0</v>
      </c>
      <c r="F112" s="11">
        <v>3</v>
      </c>
      <c r="G112" s="11">
        <v>0</v>
      </c>
      <c r="H112" s="14">
        <f t="shared" si="10"/>
        <v>202</v>
      </c>
      <c r="I112" s="1"/>
      <c r="R112" s="4"/>
      <c r="S112" s="1"/>
    </row>
    <row r="113" spans="1:19" x14ac:dyDescent="0.25">
      <c r="A113" s="7" t="s">
        <v>124</v>
      </c>
      <c r="B113" s="11">
        <v>28</v>
      </c>
      <c r="C113" s="11">
        <v>0</v>
      </c>
      <c r="D113" s="11">
        <v>12</v>
      </c>
      <c r="E113" s="11">
        <v>0</v>
      </c>
      <c r="F113" s="11">
        <v>0</v>
      </c>
      <c r="G113" s="11">
        <v>32</v>
      </c>
      <c r="H113" s="14">
        <f t="shared" si="10"/>
        <v>72</v>
      </c>
      <c r="I113" s="1"/>
      <c r="R113" s="4"/>
      <c r="S113" s="1"/>
    </row>
    <row r="114" spans="1:19" x14ac:dyDescent="0.25">
      <c r="A114" s="7" t="s">
        <v>48</v>
      </c>
      <c r="B114" s="11">
        <v>0</v>
      </c>
      <c r="C114" s="11">
        <v>0</v>
      </c>
      <c r="D114" s="11">
        <v>0</v>
      </c>
      <c r="E114" s="11">
        <v>0</v>
      </c>
      <c r="F114" s="11">
        <v>0</v>
      </c>
      <c r="G114" s="11">
        <v>0</v>
      </c>
      <c r="H114" s="14">
        <f>SUM(B114:G114)</f>
        <v>0</v>
      </c>
      <c r="I114" s="1"/>
      <c r="R114" s="4"/>
      <c r="S114" s="1"/>
    </row>
    <row r="115" spans="1:19" x14ac:dyDescent="0.25">
      <c r="A115" s="162" t="s">
        <v>110</v>
      </c>
      <c r="B115" s="163"/>
      <c r="C115" s="163"/>
      <c r="D115" s="163"/>
      <c r="E115" s="163"/>
      <c r="F115" s="163"/>
      <c r="G115" s="163"/>
      <c r="H115" s="142"/>
      <c r="I115" s="1"/>
      <c r="R115" s="4"/>
      <c r="S115" s="1"/>
    </row>
    <row r="116" spans="1:19" x14ac:dyDescent="0.25">
      <c r="A116" s="8" t="s">
        <v>111</v>
      </c>
      <c r="B116" s="42">
        <v>89</v>
      </c>
      <c r="C116" s="31">
        <v>8</v>
      </c>
      <c r="D116" s="20">
        <v>23</v>
      </c>
      <c r="E116" s="31">
        <v>0</v>
      </c>
      <c r="F116" s="20">
        <v>0</v>
      </c>
      <c r="G116" s="31">
        <v>0</v>
      </c>
      <c r="H116" s="14">
        <f t="shared" ref="H116:H155" si="14">SUM(B116:G116)</f>
        <v>120</v>
      </c>
      <c r="I116" s="1"/>
      <c r="R116" s="4"/>
      <c r="S116" s="1"/>
    </row>
    <row r="117" spans="1:19" x14ac:dyDescent="0.25">
      <c r="A117" s="7" t="s">
        <v>158</v>
      </c>
      <c r="B117" s="23">
        <v>75</v>
      </c>
      <c r="C117" s="11">
        <v>11</v>
      </c>
      <c r="D117" s="10">
        <v>29</v>
      </c>
      <c r="E117" s="11">
        <v>3</v>
      </c>
      <c r="F117" s="10">
        <v>0</v>
      </c>
      <c r="G117" s="11">
        <v>0</v>
      </c>
      <c r="H117" s="14">
        <f t="shared" si="14"/>
        <v>118</v>
      </c>
      <c r="I117" s="1"/>
      <c r="R117" s="4"/>
      <c r="S117" s="1"/>
    </row>
    <row r="118" spans="1:19" x14ac:dyDescent="0.25">
      <c r="A118" s="7" t="s">
        <v>156</v>
      </c>
      <c r="B118" s="23">
        <v>0</v>
      </c>
      <c r="C118" s="11">
        <v>0</v>
      </c>
      <c r="D118" s="10">
        <v>0</v>
      </c>
      <c r="E118" s="11">
        <v>0</v>
      </c>
      <c r="F118" s="10">
        <v>0</v>
      </c>
      <c r="G118" s="11">
        <v>0</v>
      </c>
      <c r="H118" s="14">
        <f t="shared" si="14"/>
        <v>0</v>
      </c>
      <c r="I118" s="1"/>
      <c r="R118" s="4"/>
      <c r="S118" s="1"/>
    </row>
    <row r="119" spans="1:19" x14ac:dyDescent="0.25">
      <c r="A119" s="7" t="s">
        <v>187</v>
      </c>
      <c r="B119" s="23">
        <v>0</v>
      </c>
      <c r="C119" s="11">
        <v>0</v>
      </c>
      <c r="D119" s="10">
        <v>0</v>
      </c>
      <c r="E119" s="11">
        <v>0</v>
      </c>
      <c r="F119" s="10">
        <v>0</v>
      </c>
      <c r="G119" s="11">
        <v>0</v>
      </c>
      <c r="H119" s="14">
        <f t="shared" si="14"/>
        <v>0</v>
      </c>
      <c r="I119" s="1"/>
      <c r="R119" s="4"/>
      <c r="S119" s="1"/>
    </row>
    <row r="120" spans="1:19" x14ac:dyDescent="0.25">
      <c r="A120" s="7" t="s">
        <v>157</v>
      </c>
      <c r="B120" s="23">
        <v>14</v>
      </c>
      <c r="C120" s="11">
        <v>3</v>
      </c>
      <c r="D120" s="10">
        <v>24</v>
      </c>
      <c r="E120" s="11">
        <v>0</v>
      </c>
      <c r="F120" s="10">
        <v>0</v>
      </c>
      <c r="G120" s="11">
        <v>0</v>
      </c>
      <c r="H120" s="14">
        <f t="shared" si="14"/>
        <v>41</v>
      </c>
      <c r="I120" s="1"/>
      <c r="R120" s="4"/>
      <c r="S120" s="1"/>
    </row>
    <row r="121" spans="1:19" x14ac:dyDescent="0.25">
      <c r="A121" s="7" t="s">
        <v>125</v>
      </c>
      <c r="B121" s="23">
        <v>58</v>
      </c>
      <c r="C121" s="11">
        <v>1</v>
      </c>
      <c r="D121" s="10">
        <v>48</v>
      </c>
      <c r="E121" s="11">
        <v>0</v>
      </c>
      <c r="F121" s="10">
        <v>0</v>
      </c>
      <c r="G121" s="11">
        <v>0</v>
      </c>
      <c r="H121" s="14">
        <f t="shared" si="14"/>
        <v>107</v>
      </c>
      <c r="I121" s="1"/>
      <c r="R121" s="4"/>
      <c r="S121" s="1"/>
    </row>
    <row r="122" spans="1:19" x14ac:dyDescent="0.25">
      <c r="A122" s="7" t="s">
        <v>126</v>
      </c>
      <c r="B122" s="23">
        <v>0</v>
      </c>
      <c r="C122" s="11">
        <v>0</v>
      </c>
      <c r="D122" s="10">
        <v>0</v>
      </c>
      <c r="E122" s="11">
        <v>0</v>
      </c>
      <c r="F122" s="10">
        <v>0</v>
      </c>
      <c r="G122" s="11">
        <v>0</v>
      </c>
      <c r="H122" s="14">
        <f t="shared" si="14"/>
        <v>0</v>
      </c>
      <c r="I122" s="1"/>
      <c r="R122" s="4"/>
      <c r="S122" s="1"/>
    </row>
    <row r="123" spans="1:19" x14ac:dyDescent="0.25">
      <c r="A123" s="7" t="s">
        <v>103</v>
      </c>
      <c r="B123" s="23">
        <v>19</v>
      </c>
      <c r="C123" s="11">
        <v>2</v>
      </c>
      <c r="D123" s="10">
        <v>22</v>
      </c>
      <c r="E123" s="11">
        <v>1</v>
      </c>
      <c r="F123" s="10">
        <v>1</v>
      </c>
      <c r="G123" s="11">
        <v>0</v>
      </c>
      <c r="H123" s="14">
        <f t="shared" si="14"/>
        <v>45</v>
      </c>
      <c r="I123" s="1"/>
      <c r="R123" s="4"/>
      <c r="S123" s="1"/>
    </row>
    <row r="124" spans="1:19" x14ac:dyDescent="0.25">
      <c r="A124" s="7" t="s">
        <v>127</v>
      </c>
      <c r="B124" s="23">
        <v>52</v>
      </c>
      <c r="C124" s="11">
        <v>0</v>
      </c>
      <c r="D124" s="10">
        <v>39</v>
      </c>
      <c r="E124" s="11">
        <v>1</v>
      </c>
      <c r="F124" s="10">
        <v>0</v>
      </c>
      <c r="G124" s="11">
        <v>0</v>
      </c>
      <c r="H124" s="14">
        <f t="shared" si="14"/>
        <v>92</v>
      </c>
      <c r="I124" s="1"/>
      <c r="R124" s="4"/>
      <c r="S124" s="1"/>
    </row>
    <row r="125" spans="1:19" x14ac:dyDescent="0.25">
      <c r="A125" s="7" t="s">
        <v>128</v>
      </c>
      <c r="B125" s="23">
        <v>35</v>
      </c>
      <c r="C125" s="11">
        <v>0</v>
      </c>
      <c r="D125" s="10">
        <v>42</v>
      </c>
      <c r="E125" s="11">
        <v>2</v>
      </c>
      <c r="F125" s="10">
        <v>0</v>
      </c>
      <c r="G125" s="11">
        <v>0</v>
      </c>
      <c r="H125" s="14">
        <f t="shared" si="14"/>
        <v>79</v>
      </c>
      <c r="I125" s="1"/>
      <c r="R125" s="4"/>
      <c r="S125" s="1"/>
    </row>
    <row r="126" spans="1:19" x14ac:dyDescent="0.25">
      <c r="A126" s="7" t="s">
        <v>129</v>
      </c>
      <c r="B126" s="23">
        <v>49</v>
      </c>
      <c r="C126" s="11">
        <v>0</v>
      </c>
      <c r="D126" s="10">
        <v>36</v>
      </c>
      <c r="E126" s="11">
        <v>0</v>
      </c>
      <c r="F126" s="10">
        <v>0</v>
      </c>
      <c r="G126" s="11">
        <v>0</v>
      </c>
      <c r="H126" s="14">
        <f t="shared" si="14"/>
        <v>85</v>
      </c>
      <c r="I126" s="1"/>
      <c r="R126" s="4"/>
      <c r="S126" s="1"/>
    </row>
    <row r="127" spans="1:19" x14ac:dyDescent="0.25">
      <c r="A127" s="7" t="s">
        <v>44</v>
      </c>
      <c r="B127" s="23">
        <v>22</v>
      </c>
      <c r="C127" s="11">
        <v>4</v>
      </c>
      <c r="D127" s="10">
        <v>81</v>
      </c>
      <c r="E127" s="11">
        <v>0</v>
      </c>
      <c r="F127" s="10">
        <v>5</v>
      </c>
      <c r="G127" s="11">
        <v>0</v>
      </c>
      <c r="H127" s="14">
        <f t="shared" si="14"/>
        <v>112</v>
      </c>
      <c r="I127" s="1"/>
      <c r="R127" s="4"/>
      <c r="S127" s="1"/>
    </row>
    <row r="128" spans="1:19" x14ac:dyDescent="0.25">
      <c r="A128" s="7" t="s">
        <v>92</v>
      </c>
      <c r="B128" s="23">
        <v>16</v>
      </c>
      <c r="C128" s="11">
        <v>2</v>
      </c>
      <c r="D128" s="10">
        <v>42</v>
      </c>
      <c r="E128" s="11">
        <v>0</v>
      </c>
      <c r="F128" s="10">
        <v>5</v>
      </c>
      <c r="G128" s="11">
        <v>0</v>
      </c>
      <c r="H128" s="14">
        <f t="shared" si="14"/>
        <v>65</v>
      </c>
      <c r="I128" s="1"/>
      <c r="R128" s="4"/>
      <c r="S128" s="1"/>
    </row>
    <row r="129" spans="1:19" x14ac:dyDescent="0.25">
      <c r="A129" s="7" t="s">
        <v>45</v>
      </c>
      <c r="B129" s="23">
        <v>19</v>
      </c>
      <c r="C129" s="11">
        <v>4</v>
      </c>
      <c r="D129" s="10">
        <v>28</v>
      </c>
      <c r="E129" s="11">
        <v>3</v>
      </c>
      <c r="F129" s="10">
        <v>0</v>
      </c>
      <c r="G129" s="11">
        <v>0</v>
      </c>
      <c r="H129" s="14">
        <f t="shared" si="14"/>
        <v>54</v>
      </c>
      <c r="I129" s="1"/>
      <c r="R129" s="4"/>
      <c r="S129" s="1"/>
    </row>
    <row r="130" spans="1:19" x14ac:dyDescent="0.25">
      <c r="A130" s="7" t="s">
        <v>99</v>
      </c>
      <c r="B130" s="23">
        <v>0</v>
      </c>
      <c r="C130" s="11">
        <v>0</v>
      </c>
      <c r="D130" s="10">
        <v>0</v>
      </c>
      <c r="E130" s="11">
        <v>0</v>
      </c>
      <c r="F130" s="10">
        <v>0</v>
      </c>
      <c r="G130" s="11">
        <v>0</v>
      </c>
      <c r="H130" s="14">
        <f t="shared" si="14"/>
        <v>0</v>
      </c>
      <c r="I130" s="1"/>
      <c r="R130" s="4"/>
      <c r="S130" s="1"/>
    </row>
    <row r="131" spans="1:19" ht="15.75" customHeight="1" x14ac:dyDescent="0.25">
      <c r="A131" s="7" t="s">
        <v>100</v>
      </c>
      <c r="B131" s="23">
        <v>5</v>
      </c>
      <c r="C131" s="11">
        <v>0</v>
      </c>
      <c r="D131" s="10">
        <v>43</v>
      </c>
      <c r="E131" s="11">
        <v>0</v>
      </c>
      <c r="F131" s="10">
        <v>3</v>
      </c>
      <c r="G131" s="11">
        <v>0</v>
      </c>
      <c r="H131" s="14">
        <f t="shared" si="14"/>
        <v>51</v>
      </c>
      <c r="I131" s="1"/>
      <c r="R131" s="4"/>
      <c r="S131" s="1"/>
    </row>
    <row r="132" spans="1:19" x14ac:dyDescent="0.25">
      <c r="A132" s="7" t="s">
        <v>46</v>
      </c>
      <c r="B132" s="23">
        <v>0</v>
      </c>
      <c r="C132" s="11">
        <v>2</v>
      </c>
      <c r="D132" s="10">
        <v>12</v>
      </c>
      <c r="E132" s="11">
        <v>1</v>
      </c>
      <c r="F132" s="10">
        <v>0</v>
      </c>
      <c r="G132" s="11">
        <v>0</v>
      </c>
      <c r="H132" s="14">
        <f t="shared" si="14"/>
        <v>15</v>
      </c>
      <c r="I132" s="1"/>
      <c r="R132" s="4"/>
      <c r="S132" s="1"/>
    </row>
    <row r="133" spans="1:19" x14ac:dyDescent="0.25">
      <c r="A133" s="7" t="s">
        <v>47</v>
      </c>
      <c r="B133" s="23">
        <v>0</v>
      </c>
      <c r="C133" s="11">
        <v>0</v>
      </c>
      <c r="D133" s="10">
        <v>3</v>
      </c>
      <c r="E133" s="11">
        <v>1</v>
      </c>
      <c r="F133" s="10">
        <v>0</v>
      </c>
      <c r="G133" s="11">
        <v>0</v>
      </c>
      <c r="H133" s="14">
        <f t="shared" si="14"/>
        <v>4</v>
      </c>
      <c r="I133" s="1"/>
      <c r="R133" s="4"/>
      <c r="S133" s="1"/>
    </row>
    <row r="134" spans="1:19" x14ac:dyDescent="0.25">
      <c r="A134" s="7" t="s">
        <v>53</v>
      </c>
      <c r="B134" s="23">
        <v>0</v>
      </c>
      <c r="C134" s="11">
        <v>0</v>
      </c>
      <c r="D134" s="10">
        <v>5</v>
      </c>
      <c r="E134" s="11">
        <v>1</v>
      </c>
      <c r="F134" s="10">
        <v>0</v>
      </c>
      <c r="G134" s="11">
        <v>0</v>
      </c>
      <c r="H134" s="14">
        <f t="shared" si="14"/>
        <v>6</v>
      </c>
      <c r="I134" s="1"/>
      <c r="R134" s="4"/>
      <c r="S134" s="1"/>
    </row>
    <row r="135" spans="1:19" x14ac:dyDescent="0.25">
      <c r="A135" s="7" t="s">
        <v>134</v>
      </c>
      <c r="B135" s="23">
        <v>67</v>
      </c>
      <c r="C135" s="11">
        <v>10</v>
      </c>
      <c r="D135" s="10">
        <v>122</v>
      </c>
      <c r="E135" s="11">
        <v>4</v>
      </c>
      <c r="F135" s="10">
        <v>6</v>
      </c>
      <c r="G135" s="11">
        <v>0</v>
      </c>
      <c r="H135" s="14">
        <f t="shared" si="14"/>
        <v>209</v>
      </c>
      <c r="I135" s="1"/>
      <c r="R135" s="4"/>
      <c r="S135" s="1"/>
    </row>
    <row r="136" spans="1:19" x14ac:dyDescent="0.25">
      <c r="A136" s="7" t="s">
        <v>135</v>
      </c>
      <c r="B136" s="23">
        <v>68</v>
      </c>
      <c r="C136" s="11">
        <v>14</v>
      </c>
      <c r="D136" s="10">
        <v>192</v>
      </c>
      <c r="E136" s="11">
        <v>6</v>
      </c>
      <c r="F136" s="10">
        <v>11</v>
      </c>
      <c r="G136" s="11">
        <v>0</v>
      </c>
      <c r="H136" s="14">
        <f t="shared" si="14"/>
        <v>291</v>
      </c>
      <c r="I136" s="1"/>
      <c r="R136" s="4"/>
      <c r="S136" s="1"/>
    </row>
    <row r="137" spans="1:19" x14ac:dyDescent="0.25">
      <c r="A137" s="7" t="s">
        <v>49</v>
      </c>
      <c r="B137" s="23">
        <v>69</v>
      </c>
      <c r="C137" s="11">
        <v>12</v>
      </c>
      <c r="D137" s="10">
        <v>203</v>
      </c>
      <c r="E137" s="11">
        <v>6</v>
      </c>
      <c r="F137" s="10">
        <v>13</v>
      </c>
      <c r="G137" s="11">
        <v>0</v>
      </c>
      <c r="H137" s="14">
        <f t="shared" si="14"/>
        <v>303</v>
      </c>
      <c r="I137" s="1"/>
      <c r="R137" s="4"/>
      <c r="S137" s="1"/>
    </row>
    <row r="138" spans="1:19" x14ac:dyDescent="0.25">
      <c r="A138" s="7" t="s">
        <v>189</v>
      </c>
      <c r="B138" s="23">
        <v>31</v>
      </c>
      <c r="C138" s="11">
        <v>2</v>
      </c>
      <c r="D138" s="10">
        <v>62</v>
      </c>
      <c r="E138" s="11">
        <v>0</v>
      </c>
      <c r="F138" s="10">
        <v>1</v>
      </c>
      <c r="G138" s="11">
        <v>0</v>
      </c>
      <c r="H138" s="14">
        <f t="shared" si="14"/>
        <v>96</v>
      </c>
      <c r="I138" s="1"/>
      <c r="R138" s="4"/>
      <c r="S138" s="1"/>
    </row>
    <row r="139" spans="1:19" x14ac:dyDescent="0.25">
      <c r="A139" s="7" t="s">
        <v>50</v>
      </c>
      <c r="B139" s="23">
        <v>41</v>
      </c>
      <c r="C139" s="11">
        <v>64</v>
      </c>
      <c r="D139" s="10">
        <v>6</v>
      </c>
      <c r="E139" s="11">
        <v>0</v>
      </c>
      <c r="F139" s="10">
        <v>0</v>
      </c>
      <c r="G139" s="11">
        <v>0</v>
      </c>
      <c r="H139" s="14">
        <f t="shared" si="14"/>
        <v>111</v>
      </c>
      <c r="I139" s="1"/>
      <c r="R139" s="4"/>
      <c r="S139" s="1"/>
    </row>
    <row r="140" spans="1:19" x14ac:dyDescent="0.25">
      <c r="A140" s="7" t="s">
        <v>104</v>
      </c>
      <c r="B140" s="23">
        <v>18</v>
      </c>
      <c r="C140" s="11">
        <v>3</v>
      </c>
      <c r="D140" s="10">
        <v>10</v>
      </c>
      <c r="E140" s="11">
        <v>0</v>
      </c>
      <c r="F140" s="10">
        <v>0</v>
      </c>
      <c r="G140" s="11">
        <v>0</v>
      </c>
      <c r="H140" s="14">
        <f t="shared" si="14"/>
        <v>31</v>
      </c>
      <c r="I140" s="1"/>
      <c r="R140" s="6"/>
      <c r="S140" s="1"/>
    </row>
    <row r="141" spans="1:19" x14ac:dyDescent="0.25">
      <c r="A141" s="7" t="s">
        <v>51</v>
      </c>
      <c r="B141" s="23">
        <v>0</v>
      </c>
      <c r="C141" s="11">
        <v>0</v>
      </c>
      <c r="D141" s="10">
        <v>0</v>
      </c>
      <c r="E141" s="11">
        <v>0</v>
      </c>
      <c r="F141" s="10">
        <v>0</v>
      </c>
      <c r="G141" s="11">
        <v>0</v>
      </c>
      <c r="H141" s="14">
        <f t="shared" si="14"/>
        <v>0</v>
      </c>
    </row>
    <row r="142" spans="1:19" x14ac:dyDescent="0.25">
      <c r="A142" s="7" t="s">
        <v>52</v>
      </c>
      <c r="B142" s="23">
        <v>18</v>
      </c>
      <c r="C142" s="11">
        <v>3</v>
      </c>
      <c r="D142" s="10">
        <v>4</v>
      </c>
      <c r="E142" s="11">
        <v>3</v>
      </c>
      <c r="F142" s="10">
        <v>0</v>
      </c>
      <c r="G142" s="11">
        <v>0</v>
      </c>
      <c r="H142" s="14">
        <f t="shared" si="14"/>
        <v>28</v>
      </c>
    </row>
    <row r="143" spans="1:19" x14ac:dyDescent="0.25">
      <c r="A143" s="7" t="s">
        <v>115</v>
      </c>
      <c r="B143" s="23">
        <v>19</v>
      </c>
      <c r="C143" s="11">
        <v>2</v>
      </c>
      <c r="D143" s="10">
        <v>6</v>
      </c>
      <c r="E143" s="11">
        <v>0</v>
      </c>
      <c r="F143" s="10">
        <v>0</v>
      </c>
      <c r="G143" s="11">
        <v>0</v>
      </c>
      <c r="H143" s="14">
        <f t="shared" si="14"/>
        <v>27</v>
      </c>
    </row>
    <row r="144" spans="1:19" x14ac:dyDescent="0.25">
      <c r="A144" s="7" t="s">
        <v>116</v>
      </c>
      <c r="B144" s="23">
        <v>16</v>
      </c>
      <c r="C144" s="11">
        <v>4</v>
      </c>
      <c r="D144" s="10">
        <v>8</v>
      </c>
      <c r="E144" s="11">
        <v>0</v>
      </c>
      <c r="F144" s="10">
        <v>0</v>
      </c>
      <c r="G144" s="11">
        <v>0</v>
      </c>
      <c r="H144" s="14">
        <f t="shared" si="14"/>
        <v>28</v>
      </c>
    </row>
    <row r="145" spans="1:13" x14ac:dyDescent="0.25">
      <c r="A145" s="7" t="s">
        <v>102</v>
      </c>
      <c r="B145" s="23">
        <v>33</v>
      </c>
      <c r="C145" s="11">
        <v>6</v>
      </c>
      <c r="D145" s="10">
        <v>65</v>
      </c>
      <c r="E145" s="11">
        <v>0</v>
      </c>
      <c r="F145" s="10">
        <v>0</v>
      </c>
      <c r="G145" s="11">
        <v>0</v>
      </c>
      <c r="H145" s="14">
        <f t="shared" si="14"/>
        <v>104</v>
      </c>
    </row>
    <row r="146" spans="1:13" x14ac:dyDescent="0.25">
      <c r="A146" s="7" t="s">
        <v>203</v>
      </c>
      <c r="B146" s="23">
        <v>2</v>
      </c>
      <c r="C146" s="11">
        <v>0</v>
      </c>
      <c r="D146" s="10">
        <v>12</v>
      </c>
      <c r="E146" s="11">
        <v>0</v>
      </c>
      <c r="F146" s="10">
        <v>2</v>
      </c>
      <c r="G146" s="11">
        <v>0</v>
      </c>
      <c r="H146" s="14">
        <f t="shared" si="14"/>
        <v>16</v>
      </c>
    </row>
    <row r="147" spans="1:13" x14ac:dyDescent="0.25">
      <c r="A147" s="7" t="s">
        <v>197</v>
      </c>
      <c r="B147" s="23">
        <v>4</v>
      </c>
      <c r="C147" s="11">
        <v>0</v>
      </c>
      <c r="D147" s="10">
        <v>9</v>
      </c>
      <c r="E147" s="11">
        <v>0</v>
      </c>
      <c r="F147" s="10">
        <v>0</v>
      </c>
      <c r="G147" s="11">
        <v>0</v>
      </c>
      <c r="H147" s="14">
        <f t="shared" si="14"/>
        <v>13</v>
      </c>
    </row>
    <row r="148" spans="1:13" x14ac:dyDescent="0.25">
      <c r="A148" s="7" t="s">
        <v>217</v>
      </c>
      <c r="B148" s="23">
        <v>0</v>
      </c>
      <c r="C148" s="11">
        <v>0</v>
      </c>
      <c r="D148" s="10">
        <v>4</v>
      </c>
      <c r="E148" s="11">
        <v>0</v>
      </c>
      <c r="F148" s="10">
        <v>0</v>
      </c>
      <c r="G148" s="11">
        <v>0</v>
      </c>
      <c r="H148" s="14">
        <f t="shared" si="14"/>
        <v>4</v>
      </c>
    </row>
    <row r="149" spans="1:13" x14ac:dyDescent="0.25">
      <c r="A149" s="7" t="s">
        <v>198</v>
      </c>
      <c r="B149" s="23">
        <v>0</v>
      </c>
      <c r="C149" s="11">
        <v>0</v>
      </c>
      <c r="D149" s="10">
        <v>5</v>
      </c>
      <c r="E149" s="11">
        <v>1</v>
      </c>
      <c r="F149" s="10">
        <v>0</v>
      </c>
      <c r="G149" s="11">
        <v>0</v>
      </c>
      <c r="H149" s="14">
        <f t="shared" si="14"/>
        <v>6</v>
      </c>
    </row>
    <row r="150" spans="1:13" x14ac:dyDescent="0.25">
      <c r="A150" s="7" t="s">
        <v>199</v>
      </c>
      <c r="B150" s="23">
        <v>0</v>
      </c>
      <c r="C150" s="11">
        <v>0</v>
      </c>
      <c r="D150" s="10">
        <v>7</v>
      </c>
      <c r="E150" s="11">
        <v>2</v>
      </c>
      <c r="F150" s="10">
        <v>0</v>
      </c>
      <c r="G150" s="11">
        <v>0</v>
      </c>
      <c r="H150" s="14">
        <f t="shared" si="14"/>
        <v>9</v>
      </c>
    </row>
    <row r="151" spans="1:13" x14ac:dyDescent="0.25">
      <c r="A151" s="7" t="s">
        <v>200</v>
      </c>
      <c r="B151" s="23">
        <v>8</v>
      </c>
      <c r="C151" s="11">
        <v>0</v>
      </c>
      <c r="D151" s="10">
        <v>43</v>
      </c>
      <c r="E151" s="11">
        <v>0</v>
      </c>
      <c r="F151" s="10">
        <v>2</v>
      </c>
      <c r="G151" s="11">
        <v>0</v>
      </c>
      <c r="H151" s="14">
        <f t="shared" si="14"/>
        <v>53</v>
      </c>
    </row>
    <row r="152" spans="1:13" x14ac:dyDescent="0.25">
      <c r="A152" s="7" t="s">
        <v>223</v>
      </c>
      <c r="B152" s="23">
        <v>0</v>
      </c>
      <c r="C152" s="11">
        <v>0</v>
      </c>
      <c r="D152" s="10"/>
      <c r="E152" s="11">
        <v>0</v>
      </c>
      <c r="F152" s="10">
        <v>0</v>
      </c>
      <c r="G152" s="11">
        <v>0</v>
      </c>
      <c r="H152" s="14">
        <f t="shared" si="14"/>
        <v>0</v>
      </c>
    </row>
    <row r="153" spans="1:13" x14ac:dyDescent="0.25">
      <c r="A153" s="7" t="s">
        <v>105</v>
      </c>
      <c r="B153" s="23">
        <v>25</v>
      </c>
      <c r="C153" s="11">
        <v>1</v>
      </c>
      <c r="D153" s="10">
        <v>27</v>
      </c>
      <c r="E153" s="11">
        <v>0</v>
      </c>
      <c r="F153" s="10">
        <v>1</v>
      </c>
      <c r="G153" s="11">
        <v>0</v>
      </c>
      <c r="H153" s="14">
        <f t="shared" si="14"/>
        <v>54</v>
      </c>
    </row>
    <row r="154" spans="1:13" x14ac:dyDescent="0.25">
      <c r="A154" s="7" t="s">
        <v>206</v>
      </c>
      <c r="B154" s="23">
        <v>2</v>
      </c>
      <c r="C154" s="11">
        <v>0</v>
      </c>
      <c r="D154" s="10">
        <v>2</v>
      </c>
      <c r="E154" s="11">
        <v>0</v>
      </c>
      <c r="F154" s="10">
        <v>0</v>
      </c>
      <c r="G154" s="11">
        <v>0</v>
      </c>
      <c r="H154" s="14">
        <f t="shared" si="14"/>
        <v>4</v>
      </c>
    </row>
    <row r="155" spans="1:13" x14ac:dyDescent="0.25">
      <c r="A155" s="107" t="s">
        <v>207</v>
      </c>
      <c r="B155" s="43">
        <v>12</v>
      </c>
      <c r="C155" s="19">
        <v>1</v>
      </c>
      <c r="D155" s="21">
        <v>16</v>
      </c>
      <c r="E155" s="19">
        <v>0</v>
      </c>
      <c r="F155" s="21">
        <v>0</v>
      </c>
      <c r="G155" s="19">
        <v>0</v>
      </c>
      <c r="H155" s="14">
        <f t="shared" si="14"/>
        <v>29</v>
      </c>
    </row>
    <row r="159" spans="1:13" x14ac:dyDescent="0.25">
      <c r="J159" s="133"/>
      <c r="K159" s="133"/>
      <c r="L159" s="133"/>
      <c r="M159" s="133"/>
    </row>
    <row r="160" spans="1:13" x14ac:dyDescent="0.25">
      <c r="J160" s="133"/>
    </row>
    <row r="167" spans="10:17" x14ac:dyDescent="0.25">
      <c r="P167" s="5"/>
      <c r="Q167" s="5"/>
    </row>
    <row r="169" spans="10:17" x14ac:dyDescent="0.25">
      <c r="J169" s="5"/>
      <c r="K169" s="5"/>
      <c r="L169" s="5"/>
      <c r="M169" s="5"/>
      <c r="N169" s="1"/>
      <c r="O169" s="1"/>
    </row>
  </sheetData>
  <mergeCells count="30">
    <mergeCell ref="K109:K110"/>
    <mergeCell ref="J52:Q52"/>
    <mergeCell ref="A3:R3"/>
    <mergeCell ref="B4:J4"/>
    <mergeCell ref="L4:R4"/>
    <mergeCell ref="A9:A10"/>
    <mergeCell ref="B9:H9"/>
    <mergeCell ref="J9:J10"/>
    <mergeCell ref="K9:Q9"/>
    <mergeCell ref="J26:J27"/>
    <mergeCell ref="K26:Q26"/>
    <mergeCell ref="J39:J40"/>
    <mergeCell ref="K39:Q39"/>
    <mergeCell ref="J50:M50"/>
    <mergeCell ref="A115:H115"/>
    <mergeCell ref="J159:J160"/>
    <mergeCell ref="K159:M159"/>
    <mergeCell ref="A108:H108"/>
    <mergeCell ref="J53:P53"/>
    <mergeCell ref="J54:P54"/>
    <mergeCell ref="J55:P55"/>
    <mergeCell ref="J56:P56"/>
    <mergeCell ref="J57:P57"/>
    <mergeCell ref="J58:P58"/>
    <mergeCell ref="J59:P59"/>
    <mergeCell ref="J60:P60"/>
    <mergeCell ref="J61:P61"/>
    <mergeCell ref="J62:P62"/>
    <mergeCell ref="K86:M86"/>
    <mergeCell ref="J109:J110"/>
  </mergeCells>
  <pageMargins left="1" right="1" top="1" bottom="1" header="0.5" footer="0.5"/>
  <pageSetup paperSize="9" scale="50" fitToHeight="0" orientation="landscape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47C25-3F2A-4336-B8D6-4FB1BC132FF7}">
  <sheetPr>
    <pageSetUpPr fitToPage="1"/>
  </sheetPr>
  <dimension ref="A3:S168"/>
  <sheetViews>
    <sheetView topLeftCell="A22" zoomScale="80" zoomScaleNormal="80" workbookViewId="0">
      <selection activeCell="A50" sqref="A50:XFD50"/>
    </sheetView>
  </sheetViews>
  <sheetFormatPr baseColWidth="10" defaultRowHeight="15" x14ac:dyDescent="0.25"/>
  <cols>
    <col min="1" max="1" width="49.85546875" customWidth="1"/>
    <col min="2" max="6" width="9.85546875" customWidth="1"/>
    <col min="7" max="7" width="13.5703125" customWidth="1"/>
    <col min="8" max="8" width="9.28515625" customWidth="1"/>
    <col min="9" max="9" width="9.42578125" customWidth="1"/>
    <col min="10" max="10" width="43.7109375" customWidth="1"/>
    <col min="11" max="15" width="9.28515625" customWidth="1"/>
    <col min="16" max="16" width="10.42578125" customWidth="1"/>
    <col min="17" max="17" width="10" customWidth="1"/>
    <col min="18" max="18" width="2.85546875" customWidth="1"/>
  </cols>
  <sheetData>
    <row r="3" spans="1:19" ht="26.25" x14ac:dyDescent="0.25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"/>
    </row>
    <row r="4" spans="1:19" ht="15.75" x14ac:dyDescent="0.25">
      <c r="A4" s="1" t="s">
        <v>12</v>
      </c>
      <c r="B4" s="155" t="s">
        <v>16</v>
      </c>
      <c r="C4" s="156"/>
      <c r="D4" s="156"/>
      <c r="E4" s="156"/>
      <c r="F4" s="156"/>
      <c r="G4" s="156"/>
      <c r="H4" s="156"/>
      <c r="I4" s="156"/>
      <c r="J4" s="157"/>
      <c r="K4" s="9" t="s">
        <v>14</v>
      </c>
      <c r="L4" s="147" t="s">
        <v>195</v>
      </c>
      <c r="M4" s="148"/>
      <c r="N4" s="148"/>
      <c r="O4" s="148"/>
      <c r="P4" s="148"/>
      <c r="Q4" s="148"/>
      <c r="R4" s="149"/>
      <c r="S4" s="1"/>
    </row>
    <row r="5" spans="1:19" x14ac:dyDescent="0.25">
      <c r="A5" s="1"/>
      <c r="B5" s="1"/>
      <c r="C5" s="1"/>
      <c r="D5" s="10"/>
      <c r="E5" s="1"/>
      <c r="F5" s="1"/>
      <c r="G5" s="1"/>
      <c r="H5" s="1"/>
      <c r="I5" s="1"/>
      <c r="J5" s="1"/>
      <c r="K5" s="9"/>
      <c r="L5" s="10"/>
      <c r="M5" s="10"/>
      <c r="N5" s="10"/>
      <c r="O5" s="10"/>
      <c r="P5" s="10"/>
      <c r="Q5" s="10"/>
      <c r="R5" s="10"/>
      <c r="S5" s="1"/>
    </row>
    <row r="6" spans="1:19" x14ac:dyDescent="0.25">
      <c r="A6" s="1" t="s">
        <v>15</v>
      </c>
      <c r="B6" s="30">
        <v>3</v>
      </c>
      <c r="C6" s="1"/>
      <c r="D6" s="10"/>
      <c r="E6" s="1"/>
      <c r="F6" s="1"/>
      <c r="G6" s="1"/>
      <c r="H6" s="1"/>
      <c r="I6" s="1"/>
      <c r="J6" s="1"/>
      <c r="K6" s="9" t="s">
        <v>13</v>
      </c>
      <c r="L6" s="30">
        <v>2025</v>
      </c>
      <c r="M6" s="1"/>
      <c r="N6" s="1"/>
      <c r="O6" s="1"/>
      <c r="P6" s="1"/>
      <c r="Q6" s="1"/>
      <c r="R6" s="1"/>
      <c r="S6" s="1"/>
    </row>
    <row r="7" spans="1:19" x14ac:dyDescent="0.25">
      <c r="A7" s="1"/>
      <c r="B7" s="1"/>
      <c r="C7" s="1"/>
      <c r="D7" s="10"/>
      <c r="E7" s="1"/>
      <c r="F7" s="1"/>
      <c r="G7" s="1"/>
      <c r="H7" s="1"/>
      <c r="I7" s="1"/>
      <c r="J7" s="1"/>
      <c r="K7" s="1"/>
      <c r="L7" s="44"/>
      <c r="M7" s="1"/>
      <c r="N7" s="1"/>
      <c r="O7" s="1"/>
      <c r="P7" s="1"/>
      <c r="Q7" s="1"/>
      <c r="R7" s="1"/>
      <c r="S7" s="1"/>
    </row>
    <row r="8" spans="1:19" ht="15.75" thickBot="1" x14ac:dyDescent="0.3">
      <c r="A8" s="2"/>
      <c r="B8" s="2"/>
      <c r="C8" s="2"/>
      <c r="D8" s="20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3"/>
      <c r="S8" s="1"/>
    </row>
    <row r="9" spans="1:19" x14ac:dyDescent="0.25">
      <c r="A9" s="150" t="s">
        <v>148</v>
      </c>
      <c r="B9" s="152" t="s">
        <v>11</v>
      </c>
      <c r="C9" s="152"/>
      <c r="D9" s="152"/>
      <c r="E9" s="152"/>
      <c r="F9" s="152"/>
      <c r="G9" s="152"/>
      <c r="H9" s="152"/>
      <c r="I9" s="1"/>
      <c r="J9" s="153" t="s">
        <v>149</v>
      </c>
      <c r="K9" s="136" t="s">
        <v>11</v>
      </c>
      <c r="L9" s="136"/>
      <c r="M9" s="136"/>
      <c r="N9" s="136"/>
      <c r="O9" s="136"/>
      <c r="P9" s="136"/>
      <c r="Q9" s="137"/>
      <c r="R9" s="4"/>
      <c r="S9" s="1"/>
    </row>
    <row r="10" spans="1:19" x14ac:dyDescent="0.25">
      <c r="A10" s="151"/>
      <c r="B10" s="30" t="s">
        <v>8</v>
      </c>
      <c r="C10" s="30" t="s">
        <v>9</v>
      </c>
      <c r="D10" s="30" t="s">
        <v>10</v>
      </c>
      <c r="E10" s="30" t="s">
        <v>154</v>
      </c>
      <c r="F10" s="30" t="s">
        <v>155</v>
      </c>
      <c r="G10" s="30" t="s">
        <v>147</v>
      </c>
      <c r="H10" s="30" t="s">
        <v>11</v>
      </c>
      <c r="I10" s="1"/>
      <c r="J10" s="154"/>
      <c r="K10" s="30" t="s">
        <v>8</v>
      </c>
      <c r="L10" s="30" t="s">
        <v>9</v>
      </c>
      <c r="M10" s="30" t="s">
        <v>10</v>
      </c>
      <c r="N10" s="30" t="s">
        <v>154</v>
      </c>
      <c r="O10" s="30" t="s">
        <v>155</v>
      </c>
      <c r="P10" s="30" t="s">
        <v>147</v>
      </c>
      <c r="Q10" s="54" t="s">
        <v>11</v>
      </c>
      <c r="R10" s="4"/>
      <c r="S10" s="1"/>
    </row>
    <row r="11" spans="1:19" x14ac:dyDescent="0.25">
      <c r="A11" s="15" t="s">
        <v>0</v>
      </c>
      <c r="B11" s="16">
        <f t="shared" ref="B11:G11" si="0">B12+B51+B69+B82+B95</f>
        <v>14418</v>
      </c>
      <c r="C11" s="16">
        <f t="shared" si="0"/>
        <v>20588</v>
      </c>
      <c r="D11" s="16">
        <f t="shared" si="0"/>
        <v>16311</v>
      </c>
      <c r="E11" s="16">
        <f t="shared" si="0"/>
        <v>666</v>
      </c>
      <c r="F11" s="16">
        <f t="shared" si="0"/>
        <v>415</v>
      </c>
      <c r="G11" s="16">
        <f t="shared" si="0"/>
        <v>40</v>
      </c>
      <c r="H11" s="12">
        <f>SUM(B11:G11)</f>
        <v>52438</v>
      </c>
      <c r="I11" s="1"/>
      <c r="J11" s="79" t="s">
        <v>85</v>
      </c>
      <c r="K11" s="74">
        <f t="shared" ref="K11:P11" si="1">SUM(K12:K23)</f>
        <v>1159</v>
      </c>
      <c r="L11" s="74">
        <f t="shared" si="1"/>
        <v>0</v>
      </c>
      <c r="M11" s="74">
        <f t="shared" si="1"/>
        <v>1095</v>
      </c>
      <c r="N11" s="74">
        <f t="shared" si="1"/>
        <v>2</v>
      </c>
      <c r="O11" s="74">
        <f t="shared" si="1"/>
        <v>9</v>
      </c>
      <c r="P11" s="74">
        <f t="shared" si="1"/>
        <v>0</v>
      </c>
      <c r="Q11" s="80">
        <f t="shared" ref="Q11:Q23" si="2">SUM(K11:P11)</f>
        <v>2265</v>
      </c>
      <c r="R11" s="4"/>
      <c r="S11" s="1"/>
    </row>
    <row r="12" spans="1:19" x14ac:dyDescent="0.25">
      <c r="A12" s="73" t="s">
        <v>1</v>
      </c>
      <c r="B12" s="74">
        <f t="shared" ref="B12:G12" si="3">SUM(B13:B50)</f>
        <v>9333</v>
      </c>
      <c r="C12" s="74">
        <f t="shared" si="3"/>
        <v>13076</v>
      </c>
      <c r="D12" s="74">
        <f t="shared" si="3"/>
        <v>9771</v>
      </c>
      <c r="E12" s="74">
        <f t="shared" si="3"/>
        <v>449</v>
      </c>
      <c r="F12" s="74">
        <f t="shared" si="3"/>
        <v>260</v>
      </c>
      <c r="G12" s="74">
        <f t="shared" si="3"/>
        <v>35</v>
      </c>
      <c r="H12" s="74">
        <f>SUM(B12:G12)</f>
        <v>32924</v>
      </c>
      <c r="I12" s="1"/>
      <c r="J12" s="55" t="s">
        <v>4</v>
      </c>
      <c r="K12" s="68">
        <v>0</v>
      </c>
      <c r="L12" s="68">
        <v>0</v>
      </c>
      <c r="M12" s="68">
        <v>55</v>
      </c>
      <c r="N12" s="68">
        <v>1</v>
      </c>
      <c r="O12" s="68">
        <v>0</v>
      </c>
      <c r="P12" s="68">
        <v>0</v>
      </c>
      <c r="Q12" s="40">
        <f t="shared" si="2"/>
        <v>56</v>
      </c>
      <c r="R12" s="4"/>
      <c r="S12" s="1"/>
    </row>
    <row r="13" spans="1:19" x14ac:dyDescent="0.25">
      <c r="A13" s="8" t="s">
        <v>17</v>
      </c>
      <c r="B13" s="17">
        <v>38</v>
      </c>
      <c r="C13" s="11">
        <v>8</v>
      </c>
      <c r="D13" s="11">
        <v>118</v>
      </c>
      <c r="E13" s="11">
        <v>2</v>
      </c>
      <c r="F13" s="11">
        <v>4</v>
      </c>
      <c r="G13" s="11">
        <v>1</v>
      </c>
      <c r="H13" s="12">
        <f>SUM(B13:G13)</f>
        <v>171</v>
      </c>
      <c r="I13" s="1"/>
      <c r="J13" s="55" t="s">
        <v>81</v>
      </c>
      <c r="K13" s="68">
        <v>0</v>
      </c>
      <c r="L13" s="68">
        <v>0</v>
      </c>
      <c r="M13" s="68">
        <v>6</v>
      </c>
      <c r="N13" s="68">
        <v>0</v>
      </c>
      <c r="O13" s="68">
        <v>0</v>
      </c>
      <c r="P13" s="68">
        <v>0</v>
      </c>
      <c r="Q13" s="40">
        <f t="shared" si="2"/>
        <v>6</v>
      </c>
      <c r="R13" s="4"/>
      <c r="S13" s="1"/>
    </row>
    <row r="14" spans="1:19" x14ac:dyDescent="0.25">
      <c r="A14" s="7" t="s">
        <v>18</v>
      </c>
      <c r="B14" s="17">
        <v>42</v>
      </c>
      <c r="C14" s="11">
        <v>2</v>
      </c>
      <c r="D14" s="11">
        <v>44</v>
      </c>
      <c r="E14" s="11">
        <v>1</v>
      </c>
      <c r="F14" s="11">
        <v>2</v>
      </c>
      <c r="G14" s="11">
        <v>0</v>
      </c>
      <c r="H14" s="12">
        <f t="shared" ref="H14:H48" si="4">SUM(B14:G14)</f>
        <v>91</v>
      </c>
      <c r="I14" s="1"/>
      <c r="J14" s="56" t="s">
        <v>5</v>
      </c>
      <c r="K14" s="68">
        <v>6</v>
      </c>
      <c r="L14" s="68">
        <v>0</v>
      </c>
      <c r="M14" s="68">
        <v>76</v>
      </c>
      <c r="N14" s="68">
        <v>1</v>
      </c>
      <c r="O14" s="68">
        <v>4</v>
      </c>
      <c r="P14" s="68">
        <v>0</v>
      </c>
      <c r="Q14" s="40">
        <f>SUM(K14:P14)</f>
        <v>87</v>
      </c>
      <c r="R14" s="4"/>
      <c r="S14" s="1"/>
    </row>
    <row r="15" spans="1:19" x14ac:dyDescent="0.25">
      <c r="A15" s="7" t="s">
        <v>19</v>
      </c>
      <c r="B15" s="17">
        <v>40</v>
      </c>
      <c r="C15" s="11">
        <v>125</v>
      </c>
      <c r="D15" s="13">
        <v>16</v>
      </c>
      <c r="E15" s="13">
        <v>8</v>
      </c>
      <c r="F15" s="13">
        <v>0</v>
      </c>
      <c r="G15" s="13">
        <v>0</v>
      </c>
      <c r="H15" s="12">
        <f>SUM(B15:G15)</f>
        <v>189</v>
      </c>
      <c r="I15" s="1"/>
      <c r="J15" s="56" t="s">
        <v>80</v>
      </c>
      <c r="K15" s="68">
        <v>72</v>
      </c>
      <c r="L15" s="68">
        <v>0</v>
      </c>
      <c r="M15" s="68">
        <v>52</v>
      </c>
      <c r="N15" s="68">
        <v>0</v>
      </c>
      <c r="O15" s="68">
        <v>5</v>
      </c>
      <c r="P15" s="68">
        <v>0</v>
      </c>
      <c r="Q15" s="40">
        <f t="shared" si="2"/>
        <v>129</v>
      </c>
      <c r="R15" s="4"/>
      <c r="S15" s="1"/>
    </row>
    <row r="16" spans="1:19" x14ac:dyDescent="0.25">
      <c r="A16" s="7" t="s">
        <v>27</v>
      </c>
      <c r="B16" s="10">
        <v>720</v>
      </c>
      <c r="C16" s="11">
        <v>1632</v>
      </c>
      <c r="D16" s="11">
        <v>1126</v>
      </c>
      <c r="E16" s="11">
        <v>76</v>
      </c>
      <c r="F16" s="11">
        <v>30</v>
      </c>
      <c r="G16" s="11">
        <v>7</v>
      </c>
      <c r="H16" s="12">
        <f t="shared" si="4"/>
        <v>3591</v>
      </c>
      <c r="I16" s="1"/>
      <c r="J16" s="57" t="s">
        <v>83</v>
      </c>
      <c r="K16" s="69">
        <v>14</v>
      </c>
      <c r="L16" s="69">
        <v>0</v>
      </c>
      <c r="M16" s="69">
        <v>0</v>
      </c>
      <c r="N16" s="69">
        <v>0</v>
      </c>
      <c r="O16" s="69">
        <v>0</v>
      </c>
      <c r="P16" s="69">
        <v>0</v>
      </c>
      <c r="Q16" s="40">
        <f t="shared" si="2"/>
        <v>14</v>
      </c>
      <c r="R16" s="4"/>
      <c r="S16" s="1"/>
    </row>
    <row r="17" spans="1:19" x14ac:dyDescent="0.25">
      <c r="A17" s="7" t="s">
        <v>186</v>
      </c>
      <c r="B17" s="10"/>
      <c r="C17" s="11">
        <v>0</v>
      </c>
      <c r="D17" s="11">
        <v>15</v>
      </c>
      <c r="E17" s="11">
        <v>0</v>
      </c>
      <c r="F17" s="11">
        <v>0</v>
      </c>
      <c r="G17" s="11">
        <v>0</v>
      </c>
      <c r="H17" s="12">
        <f t="shared" si="4"/>
        <v>15</v>
      </c>
      <c r="I17" s="1"/>
      <c r="J17" s="50" t="s">
        <v>162</v>
      </c>
      <c r="K17" s="69">
        <v>351</v>
      </c>
      <c r="L17" s="69">
        <v>0</v>
      </c>
      <c r="M17" s="69">
        <v>300</v>
      </c>
      <c r="N17" s="69">
        <v>0</v>
      </c>
      <c r="O17" s="69">
        <v>0</v>
      </c>
      <c r="P17" s="69">
        <v>0</v>
      </c>
      <c r="Q17" s="40">
        <f t="shared" si="2"/>
        <v>651</v>
      </c>
      <c r="R17" s="4"/>
      <c r="S17" s="1"/>
    </row>
    <row r="18" spans="1:19" x14ac:dyDescent="0.25">
      <c r="A18" s="7" t="s">
        <v>188</v>
      </c>
      <c r="B18" s="10">
        <v>19</v>
      </c>
      <c r="C18" s="11">
        <v>0</v>
      </c>
      <c r="D18" s="11">
        <v>16</v>
      </c>
      <c r="E18" s="11">
        <v>0</v>
      </c>
      <c r="F18" s="11">
        <v>1</v>
      </c>
      <c r="G18" s="11">
        <v>0</v>
      </c>
      <c r="H18" s="12">
        <f t="shared" si="4"/>
        <v>36</v>
      </c>
      <c r="I18" s="1"/>
      <c r="J18" s="50" t="s">
        <v>163</v>
      </c>
      <c r="K18" s="69">
        <v>355</v>
      </c>
      <c r="L18" s="69">
        <v>0</v>
      </c>
      <c r="M18" s="69">
        <v>300</v>
      </c>
      <c r="N18" s="69">
        <v>0</v>
      </c>
      <c r="O18" s="69">
        <v>0</v>
      </c>
      <c r="P18" s="69">
        <v>0</v>
      </c>
      <c r="Q18" s="40">
        <f t="shared" si="2"/>
        <v>655</v>
      </c>
      <c r="R18" s="4"/>
      <c r="S18" s="1"/>
    </row>
    <row r="19" spans="1:19" x14ac:dyDescent="0.25">
      <c r="A19" s="7" t="s">
        <v>28</v>
      </c>
      <c r="B19" s="17">
        <v>67</v>
      </c>
      <c r="C19" s="11">
        <v>23</v>
      </c>
      <c r="D19" s="11">
        <v>271</v>
      </c>
      <c r="E19" s="11">
        <v>4</v>
      </c>
      <c r="F19" s="11">
        <v>8</v>
      </c>
      <c r="G19" s="11">
        <v>0</v>
      </c>
      <c r="H19" s="12">
        <f t="shared" si="4"/>
        <v>373</v>
      </c>
      <c r="I19" s="1"/>
      <c r="J19" s="50" t="s">
        <v>164</v>
      </c>
      <c r="K19" s="69">
        <v>355</v>
      </c>
      <c r="L19" s="69">
        <v>0</v>
      </c>
      <c r="M19" s="69">
        <v>300</v>
      </c>
      <c r="N19" s="69">
        <v>0</v>
      </c>
      <c r="O19" s="69">
        <v>0</v>
      </c>
      <c r="P19" s="69">
        <v>0</v>
      </c>
      <c r="Q19" s="40">
        <f t="shared" si="2"/>
        <v>655</v>
      </c>
      <c r="R19" s="4"/>
      <c r="S19" s="1"/>
    </row>
    <row r="20" spans="1:19" x14ac:dyDescent="0.25">
      <c r="A20" s="7" t="s">
        <v>29</v>
      </c>
      <c r="B20" s="10">
        <v>3</v>
      </c>
      <c r="C20" s="11">
        <v>0</v>
      </c>
      <c r="D20" s="11">
        <v>56</v>
      </c>
      <c r="E20" s="11"/>
      <c r="F20" s="11">
        <v>0</v>
      </c>
      <c r="G20" s="11">
        <v>1</v>
      </c>
      <c r="H20" s="12">
        <f t="shared" si="4"/>
        <v>60</v>
      </c>
      <c r="I20" s="1"/>
      <c r="J20" s="50" t="s">
        <v>194</v>
      </c>
      <c r="K20" s="69">
        <v>2</v>
      </c>
      <c r="L20" s="69">
        <v>0</v>
      </c>
      <c r="M20" s="69">
        <v>2</v>
      </c>
      <c r="N20" s="69">
        <v>0</v>
      </c>
      <c r="O20" s="69">
        <v>0</v>
      </c>
      <c r="P20" s="69">
        <v>0</v>
      </c>
      <c r="Q20" s="40">
        <f t="shared" si="2"/>
        <v>4</v>
      </c>
      <c r="R20" s="4"/>
      <c r="S20" s="1"/>
    </row>
    <row r="21" spans="1:19" x14ac:dyDescent="0.25">
      <c r="A21" s="7" t="s">
        <v>20</v>
      </c>
      <c r="B21" s="17">
        <v>920</v>
      </c>
      <c r="C21" s="11">
        <v>1720</v>
      </c>
      <c r="D21" s="11">
        <v>1187</v>
      </c>
      <c r="E21" s="11">
        <v>53</v>
      </c>
      <c r="F21" s="11">
        <v>31</v>
      </c>
      <c r="G21" s="11">
        <v>5</v>
      </c>
      <c r="H21" s="12">
        <f t="shared" si="4"/>
        <v>3916</v>
      </c>
      <c r="I21" s="1"/>
      <c r="J21" s="50" t="s">
        <v>221</v>
      </c>
      <c r="K21" s="69">
        <v>4</v>
      </c>
      <c r="L21" s="69">
        <v>0</v>
      </c>
      <c r="M21" s="69">
        <v>4</v>
      </c>
      <c r="N21" s="69">
        <v>0</v>
      </c>
      <c r="O21" s="69">
        <v>0</v>
      </c>
      <c r="P21" s="69">
        <v>0</v>
      </c>
      <c r="Q21" s="40">
        <f t="shared" si="2"/>
        <v>8</v>
      </c>
      <c r="R21" s="4"/>
      <c r="S21" s="1"/>
    </row>
    <row r="22" spans="1:19" x14ac:dyDescent="0.25">
      <c r="A22" s="7" t="s">
        <v>25</v>
      </c>
      <c r="B22" s="17">
        <v>1</v>
      </c>
      <c r="C22" s="11">
        <v>3</v>
      </c>
      <c r="D22" s="11">
        <v>7</v>
      </c>
      <c r="E22" s="11">
        <v>0</v>
      </c>
      <c r="F22" s="11">
        <v>0</v>
      </c>
      <c r="G22" s="11">
        <v>0</v>
      </c>
      <c r="H22" s="12">
        <f t="shared" si="4"/>
        <v>11</v>
      </c>
      <c r="I22" s="1"/>
      <c r="J22" s="58" t="s">
        <v>6</v>
      </c>
      <c r="K22" s="68">
        <v>0</v>
      </c>
      <c r="L22" s="68">
        <v>0</v>
      </c>
      <c r="M22" s="68">
        <v>0</v>
      </c>
      <c r="N22" s="68">
        <v>0</v>
      </c>
      <c r="O22" s="68">
        <v>0</v>
      </c>
      <c r="P22" s="68">
        <v>0</v>
      </c>
      <c r="Q22" s="40">
        <f t="shared" si="2"/>
        <v>0</v>
      </c>
      <c r="R22" s="4"/>
      <c r="S22" s="1"/>
    </row>
    <row r="23" spans="1:19" ht="15.75" thickBot="1" x14ac:dyDescent="0.3">
      <c r="A23" s="7" t="s">
        <v>218</v>
      </c>
      <c r="B23" s="17">
        <v>0</v>
      </c>
      <c r="C23" s="11">
        <v>0</v>
      </c>
      <c r="D23" s="11">
        <v>6</v>
      </c>
      <c r="E23" s="11">
        <v>0</v>
      </c>
      <c r="F23" s="11">
        <v>0</v>
      </c>
      <c r="G23" s="11">
        <v>0</v>
      </c>
      <c r="H23" s="12">
        <f t="shared" si="4"/>
        <v>6</v>
      </c>
      <c r="I23" s="1"/>
      <c r="J23" s="59" t="s">
        <v>7</v>
      </c>
      <c r="K23" s="94">
        <v>0</v>
      </c>
      <c r="L23" s="94">
        <v>0</v>
      </c>
      <c r="M23" s="94">
        <v>0</v>
      </c>
      <c r="N23" s="94">
        <v>0</v>
      </c>
      <c r="O23" s="94">
        <v>0</v>
      </c>
      <c r="P23" s="94">
        <v>0</v>
      </c>
      <c r="Q23" s="46">
        <f t="shared" si="2"/>
        <v>0</v>
      </c>
      <c r="R23" s="4"/>
      <c r="S23" s="1"/>
    </row>
    <row r="24" spans="1:19" x14ac:dyDescent="0.25">
      <c r="A24" s="7" t="s">
        <v>21</v>
      </c>
      <c r="B24" s="17">
        <v>950</v>
      </c>
      <c r="C24" s="11">
        <v>1715</v>
      </c>
      <c r="D24" s="11">
        <v>1153</v>
      </c>
      <c r="E24" s="11">
        <v>83</v>
      </c>
      <c r="F24" s="11">
        <v>31</v>
      </c>
      <c r="G24" s="11">
        <v>5</v>
      </c>
      <c r="H24" s="12">
        <f t="shared" si="4"/>
        <v>3937</v>
      </c>
      <c r="I24" s="1"/>
      <c r="J24" s="1"/>
      <c r="K24" s="1"/>
      <c r="L24" s="1"/>
      <c r="M24" s="1"/>
      <c r="N24" s="1"/>
      <c r="O24" s="1"/>
      <c r="P24" s="1"/>
      <c r="Q24" s="1"/>
      <c r="R24" s="4"/>
      <c r="S24" s="1"/>
    </row>
    <row r="25" spans="1:19" ht="15.75" thickBot="1" x14ac:dyDescent="0.3">
      <c r="A25" s="7" t="s">
        <v>24</v>
      </c>
      <c r="B25" s="17">
        <v>33</v>
      </c>
      <c r="C25" s="11">
        <v>4</v>
      </c>
      <c r="D25" s="11">
        <v>42</v>
      </c>
      <c r="E25" s="11">
        <v>0</v>
      </c>
      <c r="F25" s="11">
        <v>3</v>
      </c>
      <c r="G25" s="11">
        <v>0</v>
      </c>
      <c r="H25" s="12">
        <f t="shared" si="4"/>
        <v>82</v>
      </c>
      <c r="I25" s="1"/>
      <c r="J25" s="1"/>
      <c r="K25" s="1"/>
      <c r="L25" s="1"/>
      <c r="M25" s="1"/>
      <c r="N25" s="1"/>
      <c r="O25" s="1"/>
      <c r="P25" s="1"/>
      <c r="Q25" s="1"/>
      <c r="R25" s="4"/>
      <c r="S25" s="1"/>
    </row>
    <row r="26" spans="1:19" x14ac:dyDescent="0.25">
      <c r="A26" s="7" t="s">
        <v>79</v>
      </c>
      <c r="B26" s="17">
        <v>709</v>
      </c>
      <c r="C26" s="11">
        <v>678</v>
      </c>
      <c r="D26" s="11">
        <v>461</v>
      </c>
      <c r="E26" s="11">
        <v>14</v>
      </c>
      <c r="F26" s="11">
        <v>14</v>
      </c>
      <c r="G26" s="11">
        <v>0</v>
      </c>
      <c r="H26" s="12">
        <f t="shared" si="4"/>
        <v>1876</v>
      </c>
      <c r="I26" s="1"/>
      <c r="J26" s="134" t="s">
        <v>169</v>
      </c>
      <c r="K26" s="136" t="s">
        <v>11</v>
      </c>
      <c r="L26" s="136"/>
      <c r="M26" s="136"/>
      <c r="N26" s="136"/>
      <c r="O26" s="136"/>
      <c r="P26" s="136"/>
      <c r="Q26" s="137"/>
      <c r="R26" s="4"/>
      <c r="S26" s="1"/>
    </row>
    <row r="27" spans="1:19" x14ac:dyDescent="0.25">
      <c r="A27" s="7" t="s">
        <v>75</v>
      </c>
      <c r="B27" s="17">
        <v>710</v>
      </c>
      <c r="C27" s="11">
        <v>678</v>
      </c>
      <c r="D27" s="11">
        <v>462</v>
      </c>
      <c r="E27" s="11">
        <v>13</v>
      </c>
      <c r="F27" s="11">
        <v>14</v>
      </c>
      <c r="G27" s="11">
        <v>0</v>
      </c>
      <c r="H27" s="12">
        <f t="shared" si="4"/>
        <v>1877</v>
      </c>
      <c r="I27" s="1"/>
      <c r="J27" s="135"/>
      <c r="K27" s="30" t="s">
        <v>8</v>
      </c>
      <c r="L27" s="30" t="s">
        <v>9</v>
      </c>
      <c r="M27" s="30" t="s">
        <v>176</v>
      </c>
      <c r="N27" s="30" t="s">
        <v>154</v>
      </c>
      <c r="O27" s="30" t="s">
        <v>155</v>
      </c>
      <c r="P27" s="60" t="s">
        <v>147</v>
      </c>
      <c r="Q27" s="54" t="s">
        <v>11</v>
      </c>
      <c r="R27" s="4"/>
      <c r="S27" s="1"/>
    </row>
    <row r="28" spans="1:19" x14ac:dyDescent="0.25">
      <c r="A28" s="7" t="s">
        <v>76</v>
      </c>
      <c r="B28" s="17">
        <v>632</v>
      </c>
      <c r="C28" s="11">
        <v>697</v>
      </c>
      <c r="D28" s="11">
        <v>581</v>
      </c>
      <c r="E28" s="11">
        <v>20</v>
      </c>
      <c r="F28" s="11">
        <v>14</v>
      </c>
      <c r="G28" s="11">
        <v>0</v>
      </c>
      <c r="H28" s="12">
        <f t="shared" si="4"/>
        <v>1944</v>
      </c>
      <c r="I28" s="1"/>
      <c r="J28" s="79" t="s">
        <v>146</v>
      </c>
      <c r="K28" s="74">
        <f t="shared" ref="K28:P28" si="5">SUM(K29:K37)</f>
        <v>132</v>
      </c>
      <c r="L28" s="74">
        <f t="shared" si="5"/>
        <v>272</v>
      </c>
      <c r="M28" s="74">
        <f t="shared" si="5"/>
        <v>207</v>
      </c>
      <c r="N28" s="74">
        <f t="shared" si="5"/>
        <v>0</v>
      </c>
      <c r="O28" s="74">
        <f t="shared" si="5"/>
        <v>0</v>
      </c>
      <c r="P28" s="74">
        <f t="shared" si="5"/>
        <v>0</v>
      </c>
      <c r="Q28" s="80">
        <f>SUM(K28:P28)</f>
        <v>611</v>
      </c>
      <c r="R28" s="4"/>
      <c r="S28" s="1"/>
    </row>
    <row r="29" spans="1:19" x14ac:dyDescent="0.25">
      <c r="A29" s="7" t="s">
        <v>74</v>
      </c>
      <c r="B29" s="17">
        <v>640</v>
      </c>
      <c r="C29" s="11">
        <v>696</v>
      </c>
      <c r="D29" s="11">
        <v>571</v>
      </c>
      <c r="E29" s="11">
        <v>18</v>
      </c>
      <c r="F29" s="11">
        <v>14</v>
      </c>
      <c r="G29" s="11">
        <v>0</v>
      </c>
      <c r="H29" s="12">
        <f t="shared" si="4"/>
        <v>1939</v>
      </c>
      <c r="I29" s="1"/>
      <c r="J29" s="45" t="s">
        <v>64</v>
      </c>
      <c r="K29" s="68">
        <v>102</v>
      </c>
      <c r="L29" s="68">
        <v>10</v>
      </c>
      <c r="M29" s="68">
        <v>99</v>
      </c>
      <c r="N29" s="68">
        <v>0</v>
      </c>
      <c r="O29" s="68">
        <v>0</v>
      </c>
      <c r="P29" s="69">
        <v>0</v>
      </c>
      <c r="Q29" s="40">
        <f>SUM(K29:P29)</f>
        <v>211</v>
      </c>
      <c r="R29" s="4"/>
      <c r="S29" s="1"/>
    </row>
    <row r="30" spans="1:19" x14ac:dyDescent="0.25">
      <c r="A30" s="7" t="s">
        <v>22</v>
      </c>
      <c r="B30" s="17">
        <v>617</v>
      </c>
      <c r="C30" s="11">
        <v>739</v>
      </c>
      <c r="D30" s="11">
        <v>711</v>
      </c>
      <c r="E30" s="11">
        <v>29</v>
      </c>
      <c r="F30" s="11">
        <v>16</v>
      </c>
      <c r="G30" s="11">
        <v>2</v>
      </c>
      <c r="H30" s="12">
        <f t="shared" si="4"/>
        <v>2114</v>
      </c>
      <c r="I30" s="1"/>
      <c r="J30" s="45" t="s">
        <v>170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9">
        <v>0</v>
      </c>
      <c r="Q30" s="40">
        <f>SUM(K30:P30)</f>
        <v>0</v>
      </c>
      <c r="R30" s="4"/>
      <c r="S30" s="1"/>
    </row>
    <row r="31" spans="1:19" x14ac:dyDescent="0.25">
      <c r="A31" s="7" t="s">
        <v>23</v>
      </c>
      <c r="B31" s="17">
        <v>617</v>
      </c>
      <c r="C31" s="11">
        <v>740</v>
      </c>
      <c r="D31" s="11">
        <v>711</v>
      </c>
      <c r="E31" s="11">
        <v>31</v>
      </c>
      <c r="F31" s="11">
        <v>16</v>
      </c>
      <c r="G31" s="11">
        <v>2</v>
      </c>
      <c r="H31" s="12">
        <f t="shared" si="4"/>
        <v>2117</v>
      </c>
      <c r="I31" s="1"/>
      <c r="J31" s="45" t="s">
        <v>171</v>
      </c>
      <c r="K31" s="68">
        <v>2</v>
      </c>
      <c r="L31" s="68">
        <v>0</v>
      </c>
      <c r="M31" s="68">
        <v>1</v>
      </c>
      <c r="N31" s="68">
        <v>0</v>
      </c>
      <c r="O31" s="68">
        <v>0</v>
      </c>
      <c r="P31" s="69">
        <v>0</v>
      </c>
      <c r="Q31" s="40">
        <f>SUM(K31:P31)</f>
        <v>3</v>
      </c>
      <c r="R31" s="4"/>
      <c r="S31" s="1"/>
    </row>
    <row r="32" spans="1:19" ht="14.25" customHeight="1" x14ac:dyDescent="0.25">
      <c r="A32" s="7" t="s">
        <v>202</v>
      </c>
      <c r="B32" s="17">
        <v>128</v>
      </c>
      <c r="C32" s="11">
        <v>0</v>
      </c>
      <c r="D32" s="11">
        <v>2</v>
      </c>
      <c r="E32" s="11">
        <v>0</v>
      </c>
      <c r="F32" s="11">
        <v>1</v>
      </c>
      <c r="G32" s="11">
        <v>0</v>
      </c>
      <c r="H32" s="12">
        <f t="shared" si="4"/>
        <v>131</v>
      </c>
      <c r="I32" s="1"/>
      <c r="J32" s="49" t="s">
        <v>65</v>
      </c>
      <c r="K32" s="68">
        <v>15</v>
      </c>
      <c r="L32" s="68">
        <v>252</v>
      </c>
      <c r="M32" s="68">
        <v>18</v>
      </c>
      <c r="N32" s="68">
        <v>0</v>
      </c>
      <c r="O32" s="68">
        <v>0</v>
      </c>
      <c r="P32" s="69">
        <v>0</v>
      </c>
      <c r="Q32" s="40">
        <f t="shared" ref="Q32:Q37" si="6">SUM(K32:P32)</f>
        <v>285</v>
      </c>
      <c r="R32" s="4"/>
      <c r="S32" s="1"/>
    </row>
    <row r="33" spans="1:19" ht="15.75" customHeight="1" x14ac:dyDescent="0.25">
      <c r="A33" s="7" t="s">
        <v>159</v>
      </c>
      <c r="B33" s="17">
        <v>255</v>
      </c>
      <c r="C33" s="11">
        <v>184</v>
      </c>
      <c r="D33" s="11">
        <v>65</v>
      </c>
      <c r="E33" s="11">
        <v>0</v>
      </c>
      <c r="F33" s="11">
        <v>1</v>
      </c>
      <c r="G33" s="11">
        <v>0</v>
      </c>
      <c r="H33" s="12">
        <f t="shared" si="4"/>
        <v>505</v>
      </c>
      <c r="I33" s="1"/>
      <c r="J33" s="50" t="s">
        <v>130</v>
      </c>
      <c r="K33" s="70">
        <v>0</v>
      </c>
      <c r="L33" s="70">
        <v>0</v>
      </c>
      <c r="M33" s="70">
        <v>76</v>
      </c>
      <c r="N33" s="70">
        <v>0</v>
      </c>
      <c r="O33" s="70">
        <v>0</v>
      </c>
      <c r="P33" s="69">
        <v>0</v>
      </c>
      <c r="Q33" s="40">
        <f t="shared" si="6"/>
        <v>76</v>
      </c>
      <c r="R33" s="4"/>
      <c r="S33" s="1"/>
    </row>
    <row r="34" spans="1:19" x14ac:dyDescent="0.25">
      <c r="A34" s="7" t="s">
        <v>26</v>
      </c>
      <c r="B34" s="17">
        <v>786</v>
      </c>
      <c r="C34" s="11">
        <v>1230</v>
      </c>
      <c r="D34" s="11">
        <v>136</v>
      </c>
      <c r="E34" s="11">
        <v>30</v>
      </c>
      <c r="F34" s="11">
        <v>5</v>
      </c>
      <c r="G34" s="11">
        <v>2</v>
      </c>
      <c r="H34" s="12">
        <f t="shared" si="4"/>
        <v>2189</v>
      </c>
      <c r="I34" s="1"/>
      <c r="J34" s="67" t="s">
        <v>131</v>
      </c>
      <c r="K34" s="65">
        <v>0</v>
      </c>
      <c r="L34" s="65">
        <v>0</v>
      </c>
      <c r="M34" s="65">
        <v>13</v>
      </c>
      <c r="N34" s="65">
        <v>0</v>
      </c>
      <c r="O34" s="65">
        <v>0</v>
      </c>
      <c r="P34" s="31">
        <v>0</v>
      </c>
      <c r="Q34" s="40">
        <f t="shared" si="6"/>
        <v>13</v>
      </c>
      <c r="R34" s="4"/>
      <c r="S34" s="1"/>
    </row>
    <row r="35" spans="1:19" x14ac:dyDescent="0.25">
      <c r="A35" s="7" t="s">
        <v>82</v>
      </c>
      <c r="B35" s="17">
        <v>486</v>
      </c>
      <c r="C35" s="11">
        <v>491</v>
      </c>
      <c r="D35" s="11">
        <v>390</v>
      </c>
      <c r="E35" s="11">
        <v>18</v>
      </c>
      <c r="F35" s="11">
        <v>12</v>
      </c>
      <c r="G35" s="11">
        <v>0</v>
      </c>
      <c r="H35" s="12">
        <f t="shared" si="4"/>
        <v>1397</v>
      </c>
      <c r="I35" s="1"/>
      <c r="J35" s="67" t="s">
        <v>160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31">
        <v>0</v>
      </c>
      <c r="Q35" s="40">
        <f t="shared" si="6"/>
        <v>0</v>
      </c>
      <c r="R35" s="4"/>
      <c r="S35" s="1"/>
    </row>
    <row r="36" spans="1:19" x14ac:dyDescent="0.25">
      <c r="A36" s="7" t="s">
        <v>30</v>
      </c>
      <c r="B36" s="17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2">
        <f t="shared" si="4"/>
        <v>0</v>
      </c>
      <c r="I36" s="1"/>
      <c r="J36" s="67" t="s">
        <v>211</v>
      </c>
      <c r="K36" s="65">
        <v>13</v>
      </c>
      <c r="L36" s="65">
        <v>10</v>
      </c>
      <c r="M36" s="65">
        <v>0</v>
      </c>
      <c r="N36" s="65">
        <v>0</v>
      </c>
      <c r="O36" s="65">
        <v>0</v>
      </c>
      <c r="P36" s="31">
        <v>0</v>
      </c>
      <c r="Q36" s="40">
        <f t="shared" si="6"/>
        <v>23</v>
      </c>
      <c r="R36" s="4"/>
      <c r="S36" s="1"/>
    </row>
    <row r="37" spans="1:19" ht="15.75" thickBot="1" x14ac:dyDescent="0.3">
      <c r="A37" s="7" t="s">
        <v>31</v>
      </c>
      <c r="B37" s="17">
        <v>25</v>
      </c>
      <c r="C37" s="11">
        <v>28</v>
      </c>
      <c r="D37" s="11">
        <v>4</v>
      </c>
      <c r="E37" s="11">
        <v>0</v>
      </c>
      <c r="F37" s="11">
        <v>0</v>
      </c>
      <c r="G37" s="11">
        <v>0</v>
      </c>
      <c r="H37" s="12">
        <f t="shared" si="4"/>
        <v>57</v>
      </c>
      <c r="I37" s="1"/>
      <c r="J37" s="51" t="s">
        <v>161</v>
      </c>
      <c r="K37" s="71">
        <v>0</v>
      </c>
      <c r="L37" s="71">
        <v>0</v>
      </c>
      <c r="M37" s="71">
        <v>0</v>
      </c>
      <c r="N37" s="71">
        <v>0</v>
      </c>
      <c r="O37" s="71">
        <v>0</v>
      </c>
      <c r="P37" s="72">
        <v>0</v>
      </c>
      <c r="Q37" s="46">
        <f t="shared" si="6"/>
        <v>0</v>
      </c>
      <c r="R37" s="4"/>
      <c r="S37" s="1"/>
    </row>
    <row r="38" spans="1:19" ht="15.75" thickBot="1" x14ac:dyDescent="0.3">
      <c r="A38" s="7" t="s">
        <v>66</v>
      </c>
      <c r="B38" s="17">
        <v>86</v>
      </c>
      <c r="C38" s="11">
        <v>74</v>
      </c>
      <c r="D38" s="11">
        <v>415</v>
      </c>
      <c r="E38" s="11">
        <v>10</v>
      </c>
      <c r="F38" s="11">
        <v>9</v>
      </c>
      <c r="G38" s="11">
        <v>2</v>
      </c>
      <c r="H38" s="12">
        <f t="shared" si="4"/>
        <v>596</v>
      </c>
      <c r="I38" s="1"/>
      <c r="J38" s="34"/>
      <c r="K38" s="34"/>
      <c r="L38" s="34"/>
      <c r="M38" s="34"/>
      <c r="N38" s="34"/>
      <c r="O38" s="34"/>
      <c r="P38" s="34"/>
      <c r="R38" s="4"/>
      <c r="S38" s="1"/>
    </row>
    <row r="39" spans="1:19" x14ac:dyDescent="0.25">
      <c r="A39" s="7" t="s">
        <v>67</v>
      </c>
      <c r="B39" s="17">
        <v>86</v>
      </c>
      <c r="C39" s="11">
        <v>76</v>
      </c>
      <c r="D39" s="11">
        <v>421</v>
      </c>
      <c r="E39" s="11">
        <v>11</v>
      </c>
      <c r="F39" s="11">
        <v>9</v>
      </c>
      <c r="G39" s="11">
        <v>3</v>
      </c>
      <c r="H39" s="12">
        <f t="shared" si="4"/>
        <v>606</v>
      </c>
      <c r="I39" s="1"/>
      <c r="J39" s="134" t="s">
        <v>136</v>
      </c>
      <c r="K39" s="136" t="s">
        <v>11</v>
      </c>
      <c r="L39" s="136"/>
      <c r="M39" s="136"/>
      <c r="N39" s="136"/>
      <c r="O39" s="136"/>
      <c r="P39" s="136"/>
      <c r="Q39" s="137"/>
      <c r="R39" s="4"/>
      <c r="S39" s="1"/>
    </row>
    <row r="40" spans="1:19" x14ac:dyDescent="0.25">
      <c r="A40" s="7" t="s">
        <v>77</v>
      </c>
      <c r="B40" s="17">
        <v>72</v>
      </c>
      <c r="C40" s="11">
        <v>13</v>
      </c>
      <c r="D40" s="11">
        <v>268</v>
      </c>
      <c r="E40" s="11">
        <v>2</v>
      </c>
      <c r="F40" s="11">
        <v>8</v>
      </c>
      <c r="G40" s="11">
        <v>2</v>
      </c>
      <c r="H40" s="12">
        <f t="shared" si="4"/>
        <v>365</v>
      </c>
      <c r="I40" s="1"/>
      <c r="J40" s="135"/>
      <c r="K40" s="30" t="s">
        <v>8</v>
      </c>
      <c r="L40" s="30" t="s">
        <v>9</v>
      </c>
      <c r="M40" s="30" t="s">
        <v>10</v>
      </c>
      <c r="N40" s="30" t="s">
        <v>154</v>
      </c>
      <c r="O40" s="30" t="s">
        <v>155</v>
      </c>
      <c r="P40" s="30" t="s">
        <v>147</v>
      </c>
      <c r="Q40" s="54" t="s">
        <v>11</v>
      </c>
      <c r="R40" s="4"/>
      <c r="S40" s="1"/>
    </row>
    <row r="41" spans="1:19" ht="15" customHeight="1" thickBot="1" x14ac:dyDescent="0.3">
      <c r="A41" s="7" t="s">
        <v>78</v>
      </c>
      <c r="B41" s="17">
        <v>70</v>
      </c>
      <c r="C41" s="11">
        <v>12</v>
      </c>
      <c r="D41" s="11">
        <v>268</v>
      </c>
      <c r="E41" s="11">
        <v>2</v>
      </c>
      <c r="F41" s="11">
        <v>8</v>
      </c>
      <c r="G41" s="11">
        <v>2</v>
      </c>
      <c r="H41" s="12">
        <f t="shared" si="4"/>
        <v>362</v>
      </c>
      <c r="I41" s="1"/>
      <c r="J41" s="95" t="s">
        <v>150</v>
      </c>
      <c r="K41" s="29">
        <f t="shared" ref="K41:P41" si="7">SUM(K42:K49)</f>
        <v>1022</v>
      </c>
      <c r="L41" s="29">
        <f t="shared" si="7"/>
        <v>227</v>
      </c>
      <c r="M41" s="29">
        <f t="shared" si="7"/>
        <v>0</v>
      </c>
      <c r="N41" s="29">
        <f t="shared" si="7"/>
        <v>0</v>
      </c>
      <c r="O41" s="29">
        <f t="shared" si="7"/>
        <v>0</v>
      </c>
      <c r="P41" s="29">
        <f t="shared" si="7"/>
        <v>0</v>
      </c>
      <c r="Q41" s="96">
        <f>SUM(K41:P41)</f>
        <v>1249</v>
      </c>
      <c r="R41" s="4"/>
      <c r="S41" s="1"/>
    </row>
    <row r="42" spans="1:19" x14ac:dyDescent="0.25">
      <c r="A42" s="7" t="s">
        <v>42</v>
      </c>
      <c r="B42" s="17">
        <v>5</v>
      </c>
      <c r="C42" s="11">
        <v>0</v>
      </c>
      <c r="D42" s="11">
        <v>5</v>
      </c>
      <c r="E42" s="11">
        <v>0</v>
      </c>
      <c r="F42" s="11">
        <v>0</v>
      </c>
      <c r="G42" s="11">
        <v>0</v>
      </c>
      <c r="H42" s="12">
        <f t="shared" si="4"/>
        <v>10</v>
      </c>
      <c r="I42" s="1"/>
      <c r="J42" s="97" t="s">
        <v>165</v>
      </c>
      <c r="K42" s="98">
        <v>0</v>
      </c>
      <c r="L42" s="98">
        <v>0</v>
      </c>
      <c r="M42" s="98">
        <v>0</v>
      </c>
      <c r="N42" s="98">
        <v>0</v>
      </c>
      <c r="O42" s="98">
        <v>0</v>
      </c>
      <c r="P42" s="98">
        <v>0</v>
      </c>
      <c r="Q42" s="99">
        <f t="shared" ref="Q42:Q49" si="8">SUM(K42:P42)</f>
        <v>0</v>
      </c>
      <c r="R42" s="4"/>
      <c r="S42" s="1"/>
    </row>
    <row r="43" spans="1:19" x14ac:dyDescent="0.25">
      <c r="A43" s="7" t="s">
        <v>43</v>
      </c>
      <c r="B43" s="17">
        <v>20</v>
      </c>
      <c r="C43" s="11">
        <v>2</v>
      </c>
      <c r="D43" s="11">
        <v>51</v>
      </c>
      <c r="E43" s="11">
        <v>3</v>
      </c>
      <c r="F43" s="11">
        <v>1</v>
      </c>
      <c r="G43" s="11">
        <v>0</v>
      </c>
      <c r="H43" s="12">
        <f t="shared" si="4"/>
        <v>77</v>
      </c>
      <c r="I43" s="1"/>
      <c r="J43" s="86" t="s">
        <v>166</v>
      </c>
      <c r="K43" s="89">
        <v>265</v>
      </c>
      <c r="L43" s="89">
        <v>75</v>
      </c>
      <c r="M43" s="89">
        <v>0</v>
      </c>
      <c r="N43" s="89">
        <v>0</v>
      </c>
      <c r="O43" s="89">
        <v>0</v>
      </c>
      <c r="P43" s="89">
        <v>0</v>
      </c>
      <c r="Q43" s="40">
        <f t="shared" si="8"/>
        <v>340</v>
      </c>
      <c r="R43" s="4"/>
      <c r="S43" s="1"/>
    </row>
    <row r="44" spans="1:19" x14ac:dyDescent="0.25">
      <c r="A44" s="7" t="s">
        <v>101</v>
      </c>
      <c r="B44" s="17">
        <v>8</v>
      </c>
      <c r="C44" s="11">
        <v>3</v>
      </c>
      <c r="D44" s="11">
        <v>8</v>
      </c>
      <c r="E44" s="11">
        <v>0</v>
      </c>
      <c r="F44" s="11">
        <v>0</v>
      </c>
      <c r="G44" s="11">
        <v>0</v>
      </c>
      <c r="H44" s="12">
        <f t="shared" si="4"/>
        <v>19</v>
      </c>
      <c r="I44" s="1"/>
      <c r="J44" s="86" t="s">
        <v>167</v>
      </c>
      <c r="K44" s="89">
        <v>34</v>
      </c>
      <c r="L44" s="89">
        <v>10</v>
      </c>
      <c r="M44" s="89">
        <v>0</v>
      </c>
      <c r="N44" s="89">
        <v>0</v>
      </c>
      <c r="O44" s="89">
        <v>0</v>
      </c>
      <c r="P44" s="89">
        <v>0</v>
      </c>
      <c r="Q44" s="40">
        <f t="shared" si="8"/>
        <v>44</v>
      </c>
      <c r="R44" s="4"/>
      <c r="S44" s="1"/>
    </row>
    <row r="45" spans="1:19" x14ac:dyDescent="0.25">
      <c r="A45" s="7" t="s">
        <v>95</v>
      </c>
      <c r="B45" s="37">
        <v>0</v>
      </c>
      <c r="C45" s="11">
        <v>112</v>
      </c>
      <c r="D45" s="11">
        <v>0</v>
      </c>
      <c r="E45" s="11">
        <v>2</v>
      </c>
      <c r="F45" s="11">
        <v>0</v>
      </c>
      <c r="G45" s="11">
        <v>0</v>
      </c>
      <c r="H45" s="12">
        <f t="shared" si="4"/>
        <v>114</v>
      </c>
      <c r="I45" s="1"/>
      <c r="J45" s="86" t="s">
        <v>168</v>
      </c>
      <c r="K45" s="89">
        <v>35</v>
      </c>
      <c r="L45" s="89">
        <v>0</v>
      </c>
      <c r="M45" s="89">
        <v>0</v>
      </c>
      <c r="N45" s="89">
        <v>0</v>
      </c>
      <c r="O45" s="89">
        <v>0</v>
      </c>
      <c r="P45" s="89">
        <v>0</v>
      </c>
      <c r="Q45" s="40">
        <f>SUM(K45:P45)</f>
        <v>35</v>
      </c>
      <c r="R45" s="4"/>
      <c r="S45" s="1"/>
    </row>
    <row r="46" spans="1:19" x14ac:dyDescent="0.25">
      <c r="A46" s="7" t="s">
        <v>96</v>
      </c>
      <c r="B46" s="37">
        <v>11</v>
      </c>
      <c r="C46" s="11">
        <v>0</v>
      </c>
      <c r="D46" s="11">
        <v>1</v>
      </c>
      <c r="E46" s="11">
        <v>0</v>
      </c>
      <c r="F46" s="11">
        <v>1</v>
      </c>
      <c r="G46" s="11">
        <v>0</v>
      </c>
      <c r="H46" s="12">
        <f t="shared" si="4"/>
        <v>13</v>
      </c>
      <c r="J46" s="86" t="s">
        <v>34</v>
      </c>
      <c r="K46" s="89">
        <v>36</v>
      </c>
      <c r="L46" s="89">
        <v>3</v>
      </c>
      <c r="M46" s="89">
        <v>0</v>
      </c>
      <c r="N46" s="89">
        <v>0</v>
      </c>
      <c r="O46" s="89">
        <v>0</v>
      </c>
      <c r="P46" s="89">
        <v>0</v>
      </c>
      <c r="Q46" s="40">
        <f t="shared" si="8"/>
        <v>39</v>
      </c>
      <c r="R46" s="4"/>
      <c r="S46" s="1"/>
    </row>
    <row r="47" spans="1:19" x14ac:dyDescent="0.25">
      <c r="A47" s="7" t="s">
        <v>97</v>
      </c>
      <c r="B47" s="37">
        <v>14</v>
      </c>
      <c r="C47" s="11">
        <v>15</v>
      </c>
      <c r="D47" s="11">
        <v>20</v>
      </c>
      <c r="E47" s="11">
        <v>1</v>
      </c>
      <c r="F47" s="11">
        <v>0</v>
      </c>
      <c r="G47" s="11">
        <v>0</v>
      </c>
      <c r="H47" s="12">
        <f t="shared" si="4"/>
        <v>50</v>
      </c>
      <c r="I47" s="1"/>
      <c r="J47" s="86" t="s">
        <v>179</v>
      </c>
      <c r="K47" s="89">
        <v>276</v>
      </c>
      <c r="L47" s="89">
        <v>34</v>
      </c>
      <c r="M47" s="89">
        <v>0</v>
      </c>
      <c r="N47" s="89">
        <v>0</v>
      </c>
      <c r="O47" s="89">
        <v>0</v>
      </c>
      <c r="P47" s="89">
        <v>0</v>
      </c>
      <c r="Q47" s="40">
        <f t="shared" si="8"/>
        <v>310</v>
      </c>
      <c r="R47" s="4"/>
      <c r="S47" s="1"/>
    </row>
    <row r="48" spans="1:19" x14ac:dyDescent="0.25">
      <c r="A48" s="36" t="s">
        <v>98</v>
      </c>
      <c r="B48" s="37">
        <v>14</v>
      </c>
      <c r="C48" s="11">
        <v>15</v>
      </c>
      <c r="D48" s="11">
        <v>20</v>
      </c>
      <c r="E48" s="11">
        <v>1</v>
      </c>
      <c r="F48" s="11">
        <v>0</v>
      </c>
      <c r="G48" s="11">
        <v>0</v>
      </c>
      <c r="H48" s="12">
        <f t="shared" si="4"/>
        <v>50</v>
      </c>
      <c r="I48" s="1"/>
      <c r="J48" s="86" t="s">
        <v>177</v>
      </c>
      <c r="K48" s="89">
        <v>334</v>
      </c>
      <c r="L48" s="89">
        <v>91</v>
      </c>
      <c r="M48" s="89">
        <v>0</v>
      </c>
      <c r="N48" s="89">
        <v>0</v>
      </c>
      <c r="O48" s="89">
        <v>0</v>
      </c>
      <c r="P48" s="89">
        <v>0</v>
      </c>
      <c r="Q48" s="40">
        <f t="shared" si="8"/>
        <v>425</v>
      </c>
      <c r="R48" s="4"/>
      <c r="S48" s="1"/>
    </row>
    <row r="49" spans="1:19" ht="15.75" thickBot="1" x14ac:dyDescent="0.3">
      <c r="A49" s="7" t="s">
        <v>86</v>
      </c>
      <c r="B49" s="17">
        <v>0</v>
      </c>
      <c r="C49" s="11">
        <v>637</v>
      </c>
      <c r="D49" s="11">
        <v>2</v>
      </c>
      <c r="E49" s="11">
        <v>3</v>
      </c>
      <c r="F49" s="11">
        <v>0</v>
      </c>
      <c r="G49" s="11">
        <v>0</v>
      </c>
      <c r="H49" s="14">
        <f>SUM(B49:G49)</f>
        <v>642</v>
      </c>
      <c r="I49" s="1"/>
      <c r="J49" s="87" t="s">
        <v>178</v>
      </c>
      <c r="K49" s="71">
        <v>42</v>
      </c>
      <c r="L49" s="71">
        <v>14</v>
      </c>
      <c r="M49" s="71">
        <v>0</v>
      </c>
      <c r="N49" s="71">
        <v>0</v>
      </c>
      <c r="O49" s="71">
        <v>0</v>
      </c>
      <c r="P49" s="71">
        <v>0</v>
      </c>
      <c r="Q49" s="46">
        <f t="shared" si="8"/>
        <v>56</v>
      </c>
      <c r="R49" s="4"/>
      <c r="S49" s="1"/>
    </row>
    <row r="50" spans="1:19" x14ac:dyDescent="0.25">
      <c r="A50" s="18" t="s">
        <v>87</v>
      </c>
      <c r="B50" s="38">
        <v>509</v>
      </c>
      <c r="C50" s="19">
        <v>724</v>
      </c>
      <c r="D50" s="19">
        <v>141</v>
      </c>
      <c r="E50" s="19">
        <v>14</v>
      </c>
      <c r="F50" s="21">
        <v>7</v>
      </c>
      <c r="G50" s="19">
        <v>1</v>
      </c>
      <c r="H50" s="14">
        <f>SUM(B50:G50)</f>
        <v>1396</v>
      </c>
      <c r="I50" s="1"/>
      <c r="J50" s="158"/>
      <c r="K50" s="158"/>
      <c r="L50" s="158"/>
      <c r="M50" s="158"/>
      <c r="N50" s="34"/>
      <c r="O50" s="34"/>
      <c r="P50" s="34"/>
      <c r="Q50" s="35"/>
      <c r="R50" s="4"/>
      <c r="S50" s="1"/>
    </row>
    <row r="51" spans="1:19" ht="15.75" thickBot="1" x14ac:dyDescent="0.3">
      <c r="A51" s="73" t="s">
        <v>139</v>
      </c>
      <c r="B51" s="75">
        <f t="shared" ref="B51:G51" si="9">SUM(B52:B68)</f>
        <v>2861</v>
      </c>
      <c r="C51" s="75">
        <f t="shared" si="9"/>
        <v>5644</v>
      </c>
      <c r="D51" s="77">
        <f t="shared" si="9"/>
        <v>3109</v>
      </c>
      <c r="E51" s="75">
        <f t="shared" si="9"/>
        <v>144</v>
      </c>
      <c r="F51" s="75">
        <f t="shared" si="9"/>
        <v>97</v>
      </c>
      <c r="G51" s="78">
        <f t="shared" si="9"/>
        <v>5</v>
      </c>
      <c r="H51" s="75">
        <f>SUM(B51:G51)</f>
        <v>11860</v>
      </c>
      <c r="I51" s="1"/>
      <c r="Q51" s="24"/>
      <c r="R51" s="4"/>
      <c r="S51" s="1"/>
    </row>
    <row r="52" spans="1:19" x14ac:dyDescent="0.25">
      <c r="A52" s="7" t="s">
        <v>90</v>
      </c>
      <c r="B52" s="13">
        <v>390</v>
      </c>
      <c r="C52" s="13">
        <v>139</v>
      </c>
      <c r="D52" s="25">
        <v>27</v>
      </c>
      <c r="E52" s="65">
        <v>6</v>
      </c>
      <c r="F52" s="65">
        <v>0</v>
      </c>
      <c r="G52" s="65">
        <v>0</v>
      </c>
      <c r="H52" s="26">
        <f t="shared" ref="H52:H113" si="10">SUM(B52:G52)</f>
        <v>562</v>
      </c>
      <c r="I52" s="1"/>
      <c r="J52" s="159" t="s">
        <v>152</v>
      </c>
      <c r="K52" s="160"/>
      <c r="L52" s="160"/>
      <c r="M52" s="160"/>
      <c r="N52" s="160"/>
      <c r="O52" s="160"/>
      <c r="P52" s="160"/>
      <c r="Q52" s="161"/>
      <c r="R52" s="4"/>
      <c r="S52" s="1"/>
    </row>
    <row r="53" spans="1:19" x14ac:dyDescent="0.25">
      <c r="A53" s="7" t="s">
        <v>91</v>
      </c>
      <c r="B53" s="13">
        <v>2</v>
      </c>
      <c r="C53" s="13">
        <v>0</v>
      </c>
      <c r="D53" s="25">
        <v>9</v>
      </c>
      <c r="E53" s="66">
        <v>0</v>
      </c>
      <c r="F53" s="66">
        <v>0</v>
      </c>
      <c r="G53" s="66">
        <v>0</v>
      </c>
      <c r="H53" s="26">
        <f t="shared" si="10"/>
        <v>11</v>
      </c>
      <c r="I53" s="1"/>
      <c r="J53" s="138" t="s">
        <v>72</v>
      </c>
      <c r="K53" s="139"/>
      <c r="L53" s="139"/>
      <c r="M53" s="139"/>
      <c r="N53" s="139"/>
      <c r="O53" s="139"/>
      <c r="P53" s="139"/>
      <c r="Q53" s="62" t="s">
        <v>11</v>
      </c>
      <c r="R53" s="4"/>
      <c r="S53" s="1"/>
    </row>
    <row r="54" spans="1:19" x14ac:dyDescent="0.25">
      <c r="A54" s="7" t="s">
        <v>32</v>
      </c>
      <c r="B54" s="13">
        <v>799</v>
      </c>
      <c r="C54" s="13">
        <v>2285</v>
      </c>
      <c r="D54" s="25">
        <v>1330</v>
      </c>
      <c r="E54" s="66">
        <v>71</v>
      </c>
      <c r="F54" s="66">
        <v>36</v>
      </c>
      <c r="G54" s="66">
        <v>2</v>
      </c>
      <c r="H54" s="26">
        <f t="shared" si="10"/>
        <v>4523</v>
      </c>
      <c r="I54" s="1"/>
      <c r="J54" s="138" t="s">
        <v>71</v>
      </c>
      <c r="K54" s="139"/>
      <c r="L54" s="139"/>
      <c r="M54" s="139"/>
      <c r="N54" s="139"/>
      <c r="O54" s="139"/>
      <c r="P54" s="139"/>
      <c r="Q54" s="47">
        <v>4</v>
      </c>
      <c r="R54" s="4"/>
      <c r="S54" s="1"/>
    </row>
    <row r="55" spans="1:19" x14ac:dyDescent="0.25">
      <c r="A55" s="7" t="s">
        <v>34</v>
      </c>
      <c r="B55" s="11">
        <v>3</v>
      </c>
      <c r="C55" s="13">
        <v>5</v>
      </c>
      <c r="D55" s="23">
        <v>1</v>
      </c>
      <c r="E55" s="66">
        <v>0</v>
      </c>
      <c r="F55" s="66">
        <v>0</v>
      </c>
      <c r="G55" s="66">
        <v>0</v>
      </c>
      <c r="H55" s="26">
        <f t="shared" si="10"/>
        <v>9</v>
      </c>
      <c r="I55" s="1"/>
      <c r="J55" s="138" t="s">
        <v>137</v>
      </c>
      <c r="K55" s="139"/>
      <c r="L55" s="139"/>
      <c r="M55" s="139"/>
      <c r="N55" s="139"/>
      <c r="O55" s="139"/>
      <c r="P55" s="139"/>
      <c r="Q55" s="47">
        <f>(H12)</f>
        <v>32924</v>
      </c>
      <c r="R55" s="4"/>
      <c r="S55" s="1"/>
    </row>
    <row r="56" spans="1:19" x14ac:dyDescent="0.25">
      <c r="A56" s="7" t="s">
        <v>181</v>
      </c>
      <c r="B56" s="13">
        <v>211</v>
      </c>
      <c r="C56" s="13">
        <v>815</v>
      </c>
      <c r="D56" s="25">
        <v>416</v>
      </c>
      <c r="E56" s="66">
        <v>15</v>
      </c>
      <c r="F56" s="66">
        <v>11</v>
      </c>
      <c r="G56" s="66">
        <v>1</v>
      </c>
      <c r="H56" s="26">
        <f t="shared" si="10"/>
        <v>1469</v>
      </c>
      <c r="I56" s="1"/>
      <c r="J56" s="138" t="s">
        <v>138</v>
      </c>
      <c r="K56" s="139"/>
      <c r="L56" s="139"/>
      <c r="M56" s="139"/>
      <c r="N56" s="139"/>
      <c r="O56" s="139"/>
      <c r="P56" s="139"/>
      <c r="Q56" s="48">
        <f>(H51)</f>
        <v>11860</v>
      </c>
      <c r="R56" s="4"/>
      <c r="S56" s="1"/>
    </row>
    <row r="57" spans="1:19" x14ac:dyDescent="0.25">
      <c r="A57" s="7" t="s">
        <v>184</v>
      </c>
      <c r="B57" s="11">
        <v>48</v>
      </c>
      <c r="C57" s="11">
        <v>3</v>
      </c>
      <c r="D57" s="23">
        <v>31</v>
      </c>
      <c r="E57" s="66">
        <v>2</v>
      </c>
      <c r="F57" s="66">
        <v>2</v>
      </c>
      <c r="G57" s="66">
        <v>0</v>
      </c>
      <c r="H57" s="26">
        <f t="shared" si="10"/>
        <v>86</v>
      </c>
      <c r="I57" s="1"/>
      <c r="J57" s="138" t="s">
        <v>140</v>
      </c>
      <c r="K57" s="139"/>
      <c r="L57" s="139"/>
      <c r="M57" s="139"/>
      <c r="N57" s="139"/>
      <c r="O57" s="139"/>
      <c r="P57" s="139"/>
      <c r="Q57" s="48">
        <f>(H69)</f>
        <v>923</v>
      </c>
      <c r="R57" s="4"/>
      <c r="S57" s="1"/>
    </row>
    <row r="58" spans="1:19" x14ac:dyDescent="0.25">
      <c r="A58" s="7" t="s">
        <v>88</v>
      </c>
      <c r="B58" s="11">
        <v>6</v>
      </c>
      <c r="C58" s="11">
        <v>10</v>
      </c>
      <c r="D58" s="23">
        <v>9</v>
      </c>
      <c r="E58" s="66">
        <v>0</v>
      </c>
      <c r="F58" s="66">
        <v>2</v>
      </c>
      <c r="G58" s="66">
        <v>0</v>
      </c>
      <c r="H58" s="26">
        <f t="shared" si="10"/>
        <v>27</v>
      </c>
      <c r="I58" s="1"/>
      <c r="J58" s="138" t="s">
        <v>144</v>
      </c>
      <c r="K58" s="139"/>
      <c r="L58" s="139"/>
      <c r="M58" s="139"/>
      <c r="N58" s="139"/>
      <c r="O58" s="139"/>
      <c r="P58" s="139"/>
      <c r="Q58" s="48">
        <f>H82</f>
        <v>1892</v>
      </c>
      <c r="R58" s="4"/>
      <c r="S58" s="1"/>
    </row>
    <row r="59" spans="1:19" x14ac:dyDescent="0.25">
      <c r="A59" s="7" t="s">
        <v>89</v>
      </c>
      <c r="B59" s="11">
        <v>0</v>
      </c>
      <c r="C59" s="11">
        <v>0</v>
      </c>
      <c r="D59" s="23">
        <v>0</v>
      </c>
      <c r="E59" s="66">
        <v>0</v>
      </c>
      <c r="F59" s="66">
        <v>0</v>
      </c>
      <c r="G59" s="66">
        <v>0</v>
      </c>
      <c r="H59" s="26">
        <f t="shared" si="10"/>
        <v>0</v>
      </c>
      <c r="I59" s="1"/>
      <c r="J59" s="138" t="s">
        <v>141</v>
      </c>
      <c r="K59" s="139"/>
      <c r="L59" s="139"/>
      <c r="M59" s="139"/>
      <c r="N59" s="139"/>
      <c r="O59" s="139"/>
      <c r="P59" s="139"/>
      <c r="Q59" s="48">
        <f>H95</f>
        <v>4839</v>
      </c>
      <c r="R59" s="4"/>
      <c r="S59" s="1"/>
    </row>
    <row r="60" spans="1:19" x14ac:dyDescent="0.25">
      <c r="A60" s="7" t="s">
        <v>183</v>
      </c>
      <c r="B60" s="11">
        <v>333</v>
      </c>
      <c r="C60" s="11">
        <v>875</v>
      </c>
      <c r="D60" s="23">
        <v>425</v>
      </c>
      <c r="E60" s="66">
        <v>16</v>
      </c>
      <c r="F60" s="66">
        <v>11</v>
      </c>
      <c r="G60" s="66">
        <v>2</v>
      </c>
      <c r="H60" s="26">
        <f t="shared" si="10"/>
        <v>1662</v>
      </c>
      <c r="I60" s="1"/>
      <c r="J60" s="138" t="s">
        <v>143</v>
      </c>
      <c r="K60" s="139"/>
      <c r="L60" s="139"/>
      <c r="M60" s="139"/>
      <c r="N60" s="139"/>
      <c r="O60" s="139"/>
      <c r="P60" s="139"/>
      <c r="Q60" s="63">
        <f>Q11</f>
        <v>2265</v>
      </c>
      <c r="R60" s="4"/>
      <c r="S60" s="1"/>
    </row>
    <row r="61" spans="1:19" x14ac:dyDescent="0.25">
      <c r="A61" s="7" t="s">
        <v>36</v>
      </c>
      <c r="B61" s="11">
        <v>29</v>
      </c>
      <c r="C61" s="11">
        <v>20</v>
      </c>
      <c r="D61" s="23">
        <v>23</v>
      </c>
      <c r="E61" s="66">
        <v>4</v>
      </c>
      <c r="F61" s="66">
        <v>2</v>
      </c>
      <c r="G61" s="66">
        <v>0</v>
      </c>
      <c r="H61" s="26">
        <f t="shared" si="10"/>
        <v>78</v>
      </c>
      <c r="I61" s="1"/>
      <c r="J61" s="138" t="s">
        <v>145</v>
      </c>
      <c r="K61" s="139"/>
      <c r="L61" s="139"/>
      <c r="M61" s="139"/>
      <c r="N61" s="139"/>
      <c r="O61" s="139"/>
      <c r="P61" s="139"/>
      <c r="Q61" s="41">
        <f>Q28</f>
        <v>611</v>
      </c>
      <c r="R61" s="4"/>
      <c r="S61" s="1"/>
    </row>
    <row r="62" spans="1:19" ht="15.75" thickBot="1" x14ac:dyDescent="0.3">
      <c r="A62" s="7" t="s">
        <v>119</v>
      </c>
      <c r="B62" s="11">
        <v>0</v>
      </c>
      <c r="C62" s="10">
        <v>0</v>
      </c>
      <c r="D62" s="23">
        <v>0</v>
      </c>
      <c r="E62" s="66">
        <v>0</v>
      </c>
      <c r="F62" s="66">
        <v>0</v>
      </c>
      <c r="G62" s="66">
        <v>0</v>
      </c>
      <c r="H62" s="26">
        <f>SUM(B62:G62)</f>
        <v>0</v>
      </c>
      <c r="I62" s="1"/>
      <c r="J62" s="144" t="s">
        <v>151</v>
      </c>
      <c r="K62" s="145"/>
      <c r="L62" s="145"/>
      <c r="M62" s="145"/>
      <c r="N62" s="145"/>
      <c r="O62" s="145"/>
      <c r="P62" s="145"/>
      <c r="Q62" s="64">
        <f>Q41</f>
        <v>1249</v>
      </c>
      <c r="R62" s="4"/>
      <c r="S62" s="1"/>
    </row>
    <row r="63" spans="1:19" ht="15.75" thickBot="1" x14ac:dyDescent="0.3">
      <c r="A63" s="7" t="s">
        <v>118</v>
      </c>
      <c r="B63" s="11">
        <v>15</v>
      </c>
      <c r="C63" s="11">
        <v>8</v>
      </c>
      <c r="D63" s="23">
        <v>3</v>
      </c>
      <c r="E63" s="66">
        <v>4</v>
      </c>
      <c r="F63" s="66">
        <v>1</v>
      </c>
      <c r="G63" s="66">
        <v>0</v>
      </c>
      <c r="H63" s="33">
        <f>SUM(B63:G63)</f>
        <v>31</v>
      </c>
      <c r="I63" s="1"/>
      <c r="M63" s="53"/>
      <c r="N63" s="53"/>
      <c r="O63" s="53"/>
      <c r="P63" s="39" t="s">
        <v>11</v>
      </c>
      <c r="Q63" s="61">
        <f>SUM(Q54:Q62)</f>
        <v>56567</v>
      </c>
      <c r="R63" s="4"/>
      <c r="S63" s="1"/>
    </row>
    <row r="64" spans="1:19" x14ac:dyDescent="0.25">
      <c r="A64" s="8" t="s">
        <v>37</v>
      </c>
      <c r="B64" s="31">
        <v>98</v>
      </c>
      <c r="C64" s="20">
        <v>169</v>
      </c>
      <c r="D64" s="42">
        <v>26</v>
      </c>
      <c r="E64" s="65">
        <v>2</v>
      </c>
      <c r="F64" s="65">
        <v>1</v>
      </c>
      <c r="G64" s="65">
        <v>0</v>
      </c>
      <c r="H64" s="26">
        <f t="shared" si="10"/>
        <v>296</v>
      </c>
      <c r="I64" s="1"/>
      <c r="P64" s="1"/>
      <c r="Q64" s="1"/>
      <c r="R64" s="4"/>
      <c r="S64" s="1"/>
    </row>
    <row r="65" spans="1:19" x14ac:dyDescent="0.25">
      <c r="A65" s="7" t="s">
        <v>38</v>
      </c>
      <c r="B65" s="11">
        <v>397</v>
      </c>
      <c r="C65" s="10">
        <v>566</v>
      </c>
      <c r="D65" s="23">
        <v>400</v>
      </c>
      <c r="E65" s="66">
        <v>12</v>
      </c>
      <c r="F65" s="66">
        <v>15</v>
      </c>
      <c r="G65" s="66">
        <v>0</v>
      </c>
      <c r="H65" s="26">
        <f t="shared" si="10"/>
        <v>1390</v>
      </c>
      <c r="I65" s="1"/>
      <c r="R65" s="4"/>
      <c r="S65" s="1"/>
    </row>
    <row r="66" spans="1:19" x14ac:dyDescent="0.25">
      <c r="A66" s="7" t="s">
        <v>73</v>
      </c>
      <c r="B66" s="11">
        <v>397</v>
      </c>
      <c r="C66" s="10">
        <v>566</v>
      </c>
      <c r="D66" s="23">
        <v>400</v>
      </c>
      <c r="E66" s="11">
        <v>12</v>
      </c>
      <c r="F66" s="11">
        <v>15</v>
      </c>
      <c r="G66" s="11">
        <v>0</v>
      </c>
      <c r="H66" s="26">
        <f t="shared" si="10"/>
        <v>1390</v>
      </c>
      <c r="I66" s="1"/>
      <c r="J66" s="1"/>
      <c r="K66" s="1"/>
      <c r="L66" s="1"/>
      <c r="M66" s="1"/>
      <c r="N66" s="1"/>
      <c r="O66" s="1"/>
      <c r="R66" s="4"/>
      <c r="S66" s="1"/>
    </row>
    <row r="67" spans="1:19" x14ac:dyDescent="0.25">
      <c r="A67" s="7" t="s">
        <v>39</v>
      </c>
      <c r="B67" s="11">
        <v>129</v>
      </c>
      <c r="C67" s="10">
        <v>174</v>
      </c>
      <c r="D67" s="23">
        <v>7</v>
      </c>
      <c r="E67" s="11">
        <v>0</v>
      </c>
      <c r="F67" s="11">
        <v>1</v>
      </c>
      <c r="G67" s="11">
        <v>0</v>
      </c>
      <c r="H67" s="26">
        <f t="shared" si="10"/>
        <v>311</v>
      </c>
      <c r="I67" s="1"/>
      <c r="R67" s="4"/>
      <c r="S67" s="1"/>
    </row>
    <row r="68" spans="1:19" x14ac:dyDescent="0.25">
      <c r="A68" s="18" t="s">
        <v>40</v>
      </c>
      <c r="B68" s="19">
        <v>4</v>
      </c>
      <c r="C68" s="21">
        <v>9</v>
      </c>
      <c r="D68" s="43">
        <v>2</v>
      </c>
      <c r="E68" s="19">
        <v>0</v>
      </c>
      <c r="F68" s="19">
        <v>0</v>
      </c>
      <c r="G68" s="19">
        <v>0</v>
      </c>
      <c r="H68" s="26">
        <f t="shared" si="10"/>
        <v>15</v>
      </c>
      <c r="I68" s="1"/>
      <c r="R68" s="4"/>
      <c r="S68" s="1"/>
    </row>
    <row r="69" spans="1:19" x14ac:dyDescent="0.25">
      <c r="A69" s="73" t="s">
        <v>54</v>
      </c>
      <c r="B69" s="74">
        <f t="shared" ref="B69:G69" si="11">SUM(B70:B81)</f>
        <v>598</v>
      </c>
      <c r="C69" s="74">
        <f t="shared" si="11"/>
        <v>126</v>
      </c>
      <c r="D69" s="74">
        <f t="shared" si="11"/>
        <v>182</v>
      </c>
      <c r="E69" s="74">
        <f t="shared" si="11"/>
        <v>17</v>
      </c>
      <c r="F69" s="74">
        <f t="shared" si="11"/>
        <v>0</v>
      </c>
      <c r="G69" s="76">
        <f t="shared" si="11"/>
        <v>0</v>
      </c>
      <c r="H69" s="75">
        <f t="shared" si="10"/>
        <v>923</v>
      </c>
      <c r="I69" s="1"/>
      <c r="R69" s="4"/>
      <c r="S69" s="1"/>
    </row>
    <row r="70" spans="1:19" x14ac:dyDescent="0.25">
      <c r="A70" s="52" t="s">
        <v>55</v>
      </c>
      <c r="B70" s="65">
        <v>97</v>
      </c>
      <c r="C70" s="10">
        <v>18</v>
      </c>
      <c r="D70" s="65">
        <v>153</v>
      </c>
      <c r="E70" s="65">
        <v>9</v>
      </c>
      <c r="F70" s="11">
        <v>0</v>
      </c>
      <c r="G70" s="65">
        <v>0</v>
      </c>
      <c r="H70" s="26">
        <f t="shared" si="10"/>
        <v>277</v>
      </c>
      <c r="I70" s="1"/>
      <c r="R70" s="4"/>
      <c r="S70" s="1"/>
    </row>
    <row r="71" spans="1:19" x14ac:dyDescent="0.25">
      <c r="A71" s="52" t="s">
        <v>56</v>
      </c>
      <c r="B71" s="66">
        <v>139</v>
      </c>
      <c r="C71" s="91">
        <v>42</v>
      </c>
      <c r="D71" s="66">
        <v>4</v>
      </c>
      <c r="E71" s="66">
        <v>1</v>
      </c>
      <c r="F71" s="11">
        <v>0</v>
      </c>
      <c r="G71" s="66">
        <v>0</v>
      </c>
      <c r="H71" s="26">
        <f t="shared" si="10"/>
        <v>186</v>
      </c>
      <c r="I71" s="1"/>
      <c r="R71" s="4"/>
      <c r="S71" s="1"/>
    </row>
    <row r="72" spans="1:19" x14ac:dyDescent="0.25">
      <c r="A72" s="52" t="s">
        <v>58</v>
      </c>
      <c r="B72" s="66">
        <v>6</v>
      </c>
      <c r="C72" s="10">
        <v>0</v>
      </c>
      <c r="D72" s="66">
        <v>0</v>
      </c>
      <c r="E72" s="66">
        <v>0</v>
      </c>
      <c r="F72" s="11">
        <v>0</v>
      </c>
      <c r="G72" s="66">
        <v>0</v>
      </c>
      <c r="H72" s="26">
        <f t="shared" si="10"/>
        <v>6</v>
      </c>
      <c r="I72" s="1"/>
      <c r="R72" s="4"/>
      <c r="S72" s="1"/>
    </row>
    <row r="73" spans="1:19" x14ac:dyDescent="0.25">
      <c r="A73" s="52" t="s">
        <v>68</v>
      </c>
      <c r="B73" s="66">
        <v>87</v>
      </c>
      <c r="C73" s="91">
        <v>16</v>
      </c>
      <c r="D73" s="66">
        <v>14</v>
      </c>
      <c r="E73" s="66">
        <v>2</v>
      </c>
      <c r="F73" s="92">
        <v>0</v>
      </c>
      <c r="G73" s="66">
        <v>0</v>
      </c>
      <c r="H73" s="26">
        <f t="shared" si="10"/>
        <v>119</v>
      </c>
      <c r="I73" s="1"/>
      <c r="R73" s="4"/>
      <c r="S73" s="1"/>
    </row>
    <row r="74" spans="1:19" x14ac:dyDescent="0.25">
      <c r="A74" s="52" t="s">
        <v>69</v>
      </c>
      <c r="B74" s="66">
        <v>39</v>
      </c>
      <c r="C74" s="91">
        <v>9</v>
      </c>
      <c r="D74" s="66">
        <v>1</v>
      </c>
      <c r="E74" s="66">
        <v>0</v>
      </c>
      <c r="F74" s="92">
        <v>0</v>
      </c>
      <c r="G74" s="66">
        <v>0</v>
      </c>
      <c r="H74" s="26">
        <f t="shared" si="10"/>
        <v>49</v>
      </c>
      <c r="I74" s="1"/>
      <c r="R74" s="4"/>
      <c r="S74" s="1"/>
    </row>
    <row r="75" spans="1:19" x14ac:dyDescent="0.25">
      <c r="A75" s="52" t="s">
        <v>57</v>
      </c>
      <c r="B75" s="66">
        <v>9</v>
      </c>
      <c r="C75" s="91">
        <v>2</v>
      </c>
      <c r="D75" s="66">
        <v>1</v>
      </c>
      <c r="E75" s="66">
        <v>0</v>
      </c>
      <c r="F75" s="91">
        <v>0</v>
      </c>
      <c r="G75" s="66">
        <v>0</v>
      </c>
      <c r="H75" s="26">
        <f t="shared" si="10"/>
        <v>12</v>
      </c>
      <c r="I75" s="1"/>
      <c r="R75" s="4"/>
      <c r="S75" s="1"/>
    </row>
    <row r="76" spans="1:19" x14ac:dyDescent="0.25">
      <c r="A76" s="52" t="s">
        <v>142</v>
      </c>
      <c r="B76" s="66">
        <v>66</v>
      </c>
      <c r="C76" s="91">
        <v>12</v>
      </c>
      <c r="D76" s="66">
        <v>2</v>
      </c>
      <c r="E76" s="66">
        <v>0</v>
      </c>
      <c r="F76" s="92">
        <v>0</v>
      </c>
      <c r="G76" s="66">
        <v>0</v>
      </c>
      <c r="H76" s="26">
        <f t="shared" si="10"/>
        <v>80</v>
      </c>
      <c r="I76" s="1"/>
      <c r="R76" s="4"/>
      <c r="S76" s="1"/>
    </row>
    <row r="77" spans="1:19" x14ac:dyDescent="0.25">
      <c r="A77" s="52" t="s">
        <v>59</v>
      </c>
      <c r="B77" s="66">
        <v>22</v>
      </c>
      <c r="C77" s="91">
        <v>0</v>
      </c>
      <c r="D77" s="66">
        <v>2</v>
      </c>
      <c r="E77" s="66">
        <v>5</v>
      </c>
      <c r="F77" s="92">
        <v>0</v>
      </c>
      <c r="G77" s="66">
        <v>0</v>
      </c>
      <c r="H77" s="26">
        <f t="shared" si="10"/>
        <v>29</v>
      </c>
      <c r="I77" s="1"/>
      <c r="R77" s="4"/>
      <c r="S77" s="1"/>
    </row>
    <row r="78" spans="1:19" x14ac:dyDescent="0.25">
      <c r="A78" s="52" t="s">
        <v>60</v>
      </c>
      <c r="B78" s="66">
        <v>37</v>
      </c>
      <c r="C78" s="91">
        <v>4</v>
      </c>
      <c r="D78" s="66">
        <v>2</v>
      </c>
      <c r="E78" s="66">
        <v>0</v>
      </c>
      <c r="F78" s="91">
        <v>0</v>
      </c>
      <c r="G78" s="66">
        <v>0</v>
      </c>
      <c r="H78" s="26">
        <f t="shared" si="10"/>
        <v>43</v>
      </c>
      <c r="I78" s="1"/>
      <c r="R78" s="4"/>
      <c r="S78" s="1"/>
    </row>
    <row r="79" spans="1:19" x14ac:dyDescent="0.25">
      <c r="A79" s="52" t="s">
        <v>106</v>
      </c>
      <c r="B79" s="66">
        <v>15</v>
      </c>
      <c r="C79" s="91">
        <v>4</v>
      </c>
      <c r="D79" s="66">
        <v>0</v>
      </c>
      <c r="E79" s="66">
        <v>0</v>
      </c>
      <c r="F79" s="91">
        <v>0</v>
      </c>
      <c r="G79" s="66">
        <v>0</v>
      </c>
      <c r="H79" s="26">
        <f t="shared" si="10"/>
        <v>19</v>
      </c>
      <c r="I79" s="1"/>
      <c r="R79" s="4"/>
      <c r="S79" s="1"/>
    </row>
    <row r="80" spans="1:19" x14ac:dyDescent="0.25">
      <c r="A80" s="52" t="s">
        <v>132</v>
      </c>
      <c r="B80" s="66">
        <v>39</v>
      </c>
      <c r="C80" s="91">
        <v>9</v>
      </c>
      <c r="D80" s="66">
        <v>1</v>
      </c>
      <c r="E80" s="66">
        <v>0</v>
      </c>
      <c r="F80" s="92">
        <v>0</v>
      </c>
      <c r="G80" s="66">
        <v>0</v>
      </c>
      <c r="H80" s="26">
        <f t="shared" si="10"/>
        <v>49</v>
      </c>
      <c r="I80" s="1"/>
      <c r="R80" s="4"/>
      <c r="S80" s="1"/>
    </row>
    <row r="81" spans="1:19" x14ac:dyDescent="0.25">
      <c r="A81" s="52" t="s">
        <v>133</v>
      </c>
      <c r="B81" s="93">
        <v>42</v>
      </c>
      <c r="C81" s="91">
        <v>10</v>
      </c>
      <c r="D81" s="93">
        <v>2</v>
      </c>
      <c r="E81" s="93">
        <v>0</v>
      </c>
      <c r="F81" s="92">
        <v>0</v>
      </c>
      <c r="G81" s="93">
        <v>0</v>
      </c>
      <c r="H81" s="26">
        <f t="shared" si="10"/>
        <v>54</v>
      </c>
      <c r="I81" s="1"/>
      <c r="R81" s="4"/>
      <c r="S81" s="1"/>
    </row>
    <row r="82" spans="1:19" x14ac:dyDescent="0.25">
      <c r="A82" s="73" t="s">
        <v>70</v>
      </c>
      <c r="B82" s="29">
        <f t="shared" ref="B82:G82" si="12">SUM(B83:B92)</f>
        <v>561</v>
      </c>
      <c r="C82" s="74">
        <f t="shared" si="12"/>
        <v>667</v>
      </c>
      <c r="D82" s="74">
        <f t="shared" si="12"/>
        <v>633</v>
      </c>
      <c r="E82" s="74">
        <f t="shared" si="12"/>
        <v>25</v>
      </c>
      <c r="F82" s="74">
        <f t="shared" si="12"/>
        <v>6</v>
      </c>
      <c r="G82" s="74">
        <f t="shared" si="12"/>
        <v>0</v>
      </c>
      <c r="H82" s="75">
        <f t="shared" si="10"/>
        <v>1892</v>
      </c>
      <c r="I82" s="1"/>
      <c r="R82" s="4"/>
      <c r="S82" s="1"/>
    </row>
    <row r="83" spans="1:19" x14ac:dyDescent="0.25">
      <c r="A83" s="22" t="s">
        <v>84</v>
      </c>
      <c r="B83" s="31">
        <v>9</v>
      </c>
      <c r="C83" s="10">
        <v>0</v>
      </c>
      <c r="D83" s="31">
        <v>109</v>
      </c>
      <c r="E83" s="31">
        <v>1</v>
      </c>
      <c r="F83" s="10">
        <v>2</v>
      </c>
      <c r="G83" s="31">
        <v>0</v>
      </c>
      <c r="H83" s="26">
        <f t="shared" si="10"/>
        <v>121</v>
      </c>
      <c r="I83" s="1"/>
      <c r="R83" s="4"/>
      <c r="S83" s="1"/>
    </row>
    <row r="84" spans="1:19" x14ac:dyDescent="0.25">
      <c r="A84" s="22" t="s">
        <v>114</v>
      </c>
      <c r="B84" s="11">
        <v>11</v>
      </c>
      <c r="C84" s="10">
        <v>0</v>
      </c>
      <c r="D84" s="11">
        <v>124</v>
      </c>
      <c r="E84" s="11">
        <v>4</v>
      </c>
      <c r="F84" s="10">
        <v>1</v>
      </c>
      <c r="G84" s="11">
        <v>0</v>
      </c>
      <c r="H84" s="26">
        <f t="shared" si="10"/>
        <v>140</v>
      </c>
      <c r="I84" s="1"/>
      <c r="R84" s="4"/>
      <c r="S84" s="1"/>
    </row>
    <row r="85" spans="1:19" ht="14.25" customHeight="1" x14ac:dyDescent="0.25">
      <c r="A85" s="22" t="s">
        <v>61</v>
      </c>
      <c r="B85" s="11">
        <v>7</v>
      </c>
      <c r="C85" s="10">
        <v>25</v>
      </c>
      <c r="D85" s="11">
        <v>1</v>
      </c>
      <c r="E85" s="11">
        <v>1</v>
      </c>
      <c r="F85" s="10">
        <v>0</v>
      </c>
      <c r="G85" s="11">
        <v>0</v>
      </c>
      <c r="H85" s="26">
        <f t="shared" si="10"/>
        <v>34</v>
      </c>
      <c r="I85" s="1"/>
      <c r="R85" s="4"/>
      <c r="S85" s="1"/>
    </row>
    <row r="86" spans="1:19" x14ac:dyDescent="0.25">
      <c r="A86" s="22" t="s">
        <v>62</v>
      </c>
      <c r="B86" s="11">
        <v>13</v>
      </c>
      <c r="C86" s="10">
        <v>2</v>
      </c>
      <c r="D86" s="11">
        <v>134</v>
      </c>
      <c r="E86" s="11">
        <v>0</v>
      </c>
      <c r="F86" s="10">
        <v>2</v>
      </c>
      <c r="G86" s="11">
        <v>0</v>
      </c>
      <c r="H86" s="26">
        <f t="shared" si="10"/>
        <v>151</v>
      </c>
      <c r="I86" s="1"/>
      <c r="K86" s="133"/>
      <c r="L86" s="133"/>
      <c r="M86" s="133"/>
      <c r="R86" s="4"/>
      <c r="S86" s="1"/>
    </row>
    <row r="87" spans="1:19" x14ac:dyDescent="0.25">
      <c r="A87" s="22" t="s">
        <v>93</v>
      </c>
      <c r="B87" s="11">
        <v>1</v>
      </c>
      <c r="C87" s="10">
        <v>0</v>
      </c>
      <c r="D87" s="11">
        <v>1</v>
      </c>
      <c r="E87" s="11">
        <v>0</v>
      </c>
      <c r="F87" s="10">
        <v>0</v>
      </c>
      <c r="G87" s="11">
        <v>0</v>
      </c>
      <c r="H87" s="26">
        <f t="shared" si="10"/>
        <v>2</v>
      </c>
      <c r="I87" s="1"/>
      <c r="R87" s="4"/>
      <c r="S87" s="1"/>
    </row>
    <row r="88" spans="1:19" x14ac:dyDescent="0.25">
      <c r="A88" s="22" t="s">
        <v>94</v>
      </c>
      <c r="B88" s="11"/>
      <c r="C88" s="10">
        <v>0</v>
      </c>
      <c r="D88" s="11">
        <v>0</v>
      </c>
      <c r="E88" s="11">
        <v>0</v>
      </c>
      <c r="F88" s="10">
        <v>0</v>
      </c>
      <c r="G88" s="11">
        <v>0</v>
      </c>
      <c r="H88" s="33">
        <f t="shared" si="10"/>
        <v>0</v>
      </c>
      <c r="I88" s="1"/>
      <c r="R88" s="4"/>
      <c r="S88" s="1"/>
    </row>
    <row r="89" spans="1:19" x14ac:dyDescent="0.25">
      <c r="A89" s="81" t="s">
        <v>108</v>
      </c>
      <c r="B89" s="82">
        <v>503</v>
      </c>
      <c r="C89" s="83">
        <v>622</v>
      </c>
      <c r="D89" s="82">
        <v>157</v>
      </c>
      <c r="E89" s="82">
        <v>17</v>
      </c>
      <c r="F89" s="85">
        <v>0</v>
      </c>
      <c r="G89" s="82">
        <v>0</v>
      </c>
      <c r="H89" s="84">
        <f>SUM(B89:G89)</f>
        <v>1299</v>
      </c>
      <c r="I89" s="1"/>
      <c r="R89" s="4"/>
      <c r="S89" s="1"/>
    </row>
    <row r="90" spans="1:19" x14ac:dyDescent="0.25">
      <c r="A90" s="32" t="s">
        <v>63</v>
      </c>
      <c r="B90" s="31">
        <v>0</v>
      </c>
      <c r="C90" s="20">
        <v>0</v>
      </c>
      <c r="D90" s="31">
        <v>1</v>
      </c>
      <c r="E90" s="31">
        <v>0</v>
      </c>
      <c r="F90" s="20">
        <v>0</v>
      </c>
      <c r="G90" s="31">
        <v>0</v>
      </c>
      <c r="H90" s="26">
        <f t="shared" si="10"/>
        <v>1</v>
      </c>
      <c r="I90" s="1"/>
      <c r="R90" s="4"/>
      <c r="S90" s="1"/>
    </row>
    <row r="91" spans="1:19" x14ac:dyDescent="0.25">
      <c r="A91" s="22" t="s">
        <v>153</v>
      </c>
      <c r="B91" s="11">
        <v>1</v>
      </c>
      <c r="C91" s="10">
        <v>0</v>
      </c>
      <c r="D91" s="11">
        <v>2</v>
      </c>
      <c r="E91" s="11">
        <v>0</v>
      </c>
      <c r="F91" s="10">
        <v>0</v>
      </c>
      <c r="G91" s="11">
        <v>0</v>
      </c>
      <c r="H91" s="26">
        <f t="shared" si="10"/>
        <v>3</v>
      </c>
      <c r="I91" s="1"/>
      <c r="R91" s="4"/>
      <c r="S91" s="1"/>
    </row>
    <row r="92" spans="1:19" x14ac:dyDescent="0.25">
      <c r="A92" s="22" t="s">
        <v>107</v>
      </c>
      <c r="B92" s="11">
        <v>16</v>
      </c>
      <c r="C92" s="10">
        <v>18</v>
      </c>
      <c r="D92" s="11">
        <v>104</v>
      </c>
      <c r="E92" s="11">
        <v>2</v>
      </c>
      <c r="F92" s="10">
        <v>1</v>
      </c>
      <c r="G92" s="11">
        <v>0</v>
      </c>
      <c r="H92" s="26">
        <f t="shared" si="10"/>
        <v>141</v>
      </c>
      <c r="I92" s="1"/>
      <c r="R92" s="4"/>
      <c r="S92" s="1"/>
    </row>
    <row r="93" spans="1:19" x14ac:dyDescent="0.25">
      <c r="A93" s="22" t="s">
        <v>210</v>
      </c>
      <c r="B93" s="11">
        <v>0</v>
      </c>
      <c r="C93" s="10">
        <v>0</v>
      </c>
      <c r="D93" s="11">
        <v>0</v>
      </c>
      <c r="E93" s="11">
        <v>0</v>
      </c>
      <c r="F93" s="10">
        <v>0</v>
      </c>
      <c r="G93" s="11">
        <v>0</v>
      </c>
      <c r="H93" s="26">
        <f t="shared" si="10"/>
        <v>0</v>
      </c>
      <c r="I93" s="1"/>
      <c r="R93" s="4"/>
      <c r="S93" s="1"/>
    </row>
    <row r="94" spans="1:19" x14ac:dyDescent="0.25">
      <c r="A94" s="22" t="s">
        <v>182</v>
      </c>
      <c r="B94" s="11">
        <v>4</v>
      </c>
      <c r="C94" s="10">
        <v>0</v>
      </c>
      <c r="D94" s="11">
        <v>5</v>
      </c>
      <c r="E94" s="11">
        <v>0</v>
      </c>
      <c r="F94" s="10">
        <v>0</v>
      </c>
      <c r="G94" s="11">
        <v>0</v>
      </c>
      <c r="H94" s="26">
        <f t="shared" si="10"/>
        <v>9</v>
      </c>
      <c r="I94" s="1"/>
      <c r="R94" s="4"/>
      <c r="S94" s="1"/>
    </row>
    <row r="95" spans="1:19" x14ac:dyDescent="0.25">
      <c r="A95" s="73" t="s">
        <v>3</v>
      </c>
      <c r="B95" s="74">
        <f t="shared" ref="B95:G95" si="13">SUM(B96:B153)</f>
        <v>1065</v>
      </c>
      <c r="C95" s="74">
        <f t="shared" si="13"/>
        <v>1075</v>
      </c>
      <c r="D95" s="74">
        <f t="shared" si="13"/>
        <v>2616</v>
      </c>
      <c r="E95" s="74">
        <f t="shared" si="13"/>
        <v>31</v>
      </c>
      <c r="F95" s="74">
        <f t="shared" si="13"/>
        <v>52</v>
      </c>
      <c r="G95" s="74">
        <f t="shared" si="13"/>
        <v>0</v>
      </c>
      <c r="H95" s="75">
        <f t="shared" si="10"/>
        <v>4839</v>
      </c>
      <c r="I95" s="1"/>
      <c r="R95" s="4"/>
      <c r="S95" s="1"/>
    </row>
    <row r="96" spans="1:19" x14ac:dyDescent="0.25">
      <c r="A96" s="7" t="s">
        <v>113</v>
      </c>
      <c r="B96" s="11">
        <v>104</v>
      </c>
      <c r="C96" s="11">
        <v>252</v>
      </c>
      <c r="D96" s="11">
        <v>354</v>
      </c>
      <c r="E96" s="11">
        <v>4</v>
      </c>
      <c r="F96" s="17">
        <v>8</v>
      </c>
      <c r="G96" s="11">
        <v>0</v>
      </c>
      <c r="H96" s="14">
        <f t="shared" si="10"/>
        <v>722</v>
      </c>
      <c r="I96" s="1"/>
      <c r="R96" s="4"/>
      <c r="S96" s="1"/>
    </row>
    <row r="97" spans="1:19" x14ac:dyDescent="0.25">
      <c r="A97" s="7" t="s">
        <v>112</v>
      </c>
      <c r="B97" s="11">
        <v>0</v>
      </c>
      <c r="C97" s="11">
        <v>0</v>
      </c>
      <c r="D97" s="11">
        <v>0</v>
      </c>
      <c r="E97" s="11">
        <v>0</v>
      </c>
      <c r="F97" s="17">
        <v>0</v>
      </c>
      <c r="G97" s="11">
        <v>0</v>
      </c>
      <c r="H97" s="27">
        <f t="shared" si="10"/>
        <v>0</v>
      </c>
      <c r="I97" s="1"/>
      <c r="R97" s="4"/>
      <c r="S97" s="1"/>
    </row>
    <row r="98" spans="1:19" x14ac:dyDescent="0.25">
      <c r="A98" s="7" t="s">
        <v>41</v>
      </c>
      <c r="B98" s="11">
        <v>0</v>
      </c>
      <c r="C98" s="11">
        <v>0</v>
      </c>
      <c r="D98" s="11">
        <v>0</v>
      </c>
      <c r="E98" s="11">
        <v>0</v>
      </c>
      <c r="F98" s="17">
        <v>0</v>
      </c>
      <c r="G98" s="11">
        <v>0</v>
      </c>
      <c r="H98" s="27">
        <f t="shared" si="10"/>
        <v>0</v>
      </c>
      <c r="I98" s="1"/>
      <c r="R98" s="4"/>
      <c r="S98" s="1"/>
    </row>
    <row r="99" spans="1:19" x14ac:dyDescent="0.25">
      <c r="A99" s="7" t="s">
        <v>192</v>
      </c>
      <c r="B99" s="11">
        <v>0</v>
      </c>
      <c r="C99" s="11">
        <v>0</v>
      </c>
      <c r="D99" s="11">
        <v>0</v>
      </c>
      <c r="E99" s="11">
        <v>0</v>
      </c>
      <c r="F99" s="17">
        <v>0</v>
      </c>
      <c r="G99" s="11">
        <v>0</v>
      </c>
      <c r="H99" s="27">
        <f t="shared" si="10"/>
        <v>0</v>
      </c>
      <c r="I99" s="1"/>
      <c r="R99" s="4"/>
      <c r="S99" s="1"/>
    </row>
    <row r="100" spans="1:19" x14ac:dyDescent="0.25">
      <c r="A100" s="7" t="s">
        <v>213</v>
      </c>
      <c r="B100" s="11">
        <v>5</v>
      </c>
      <c r="C100" s="11">
        <v>0</v>
      </c>
      <c r="D100" s="11">
        <v>0</v>
      </c>
      <c r="E100" s="11">
        <v>0</v>
      </c>
      <c r="F100" s="17">
        <v>0</v>
      </c>
      <c r="G100" s="11">
        <v>0</v>
      </c>
      <c r="H100" s="27">
        <f t="shared" si="10"/>
        <v>5</v>
      </c>
      <c r="I100" s="1"/>
      <c r="R100" s="4"/>
      <c r="S100" s="1"/>
    </row>
    <row r="101" spans="1:19" x14ac:dyDescent="0.25">
      <c r="A101" s="7" t="s">
        <v>214</v>
      </c>
      <c r="B101" s="11">
        <v>5</v>
      </c>
      <c r="C101" s="11">
        <v>0</v>
      </c>
      <c r="D101" s="11">
        <v>0</v>
      </c>
      <c r="E101" s="11">
        <v>0</v>
      </c>
      <c r="F101" s="17">
        <v>0</v>
      </c>
      <c r="G101" s="11">
        <v>0</v>
      </c>
      <c r="H101" s="27">
        <f t="shared" si="10"/>
        <v>5</v>
      </c>
      <c r="I101" s="1"/>
      <c r="R101" s="4"/>
      <c r="S101" s="1"/>
    </row>
    <row r="102" spans="1:19" x14ac:dyDescent="0.25">
      <c r="A102" s="7" t="s">
        <v>215</v>
      </c>
      <c r="B102" s="11">
        <v>4</v>
      </c>
      <c r="C102" s="11">
        <v>0</v>
      </c>
      <c r="D102" s="11">
        <v>5</v>
      </c>
      <c r="E102" s="11">
        <v>0</v>
      </c>
      <c r="F102" s="17">
        <v>0</v>
      </c>
      <c r="G102" s="11">
        <v>0</v>
      </c>
      <c r="H102" s="27">
        <f t="shared" si="10"/>
        <v>9</v>
      </c>
      <c r="I102" s="1"/>
      <c r="R102" s="4"/>
      <c r="S102" s="1"/>
    </row>
    <row r="103" spans="1:19" x14ac:dyDescent="0.25">
      <c r="A103" s="7" t="s">
        <v>219</v>
      </c>
      <c r="B103" s="11">
        <v>4</v>
      </c>
      <c r="C103" s="11">
        <v>0</v>
      </c>
      <c r="D103" s="11">
        <v>0</v>
      </c>
      <c r="E103" s="11">
        <v>0</v>
      </c>
      <c r="F103" s="17">
        <v>0</v>
      </c>
      <c r="G103" s="11">
        <v>0</v>
      </c>
      <c r="H103" s="27">
        <f t="shared" si="10"/>
        <v>4</v>
      </c>
      <c r="I103" s="1"/>
      <c r="R103" s="4"/>
      <c r="S103" s="1"/>
    </row>
    <row r="104" spans="1:19" x14ac:dyDescent="0.25">
      <c r="A104" s="7" t="s">
        <v>220</v>
      </c>
      <c r="B104" s="11">
        <v>3</v>
      </c>
      <c r="C104" s="11">
        <v>2</v>
      </c>
      <c r="D104" s="11">
        <v>3</v>
      </c>
      <c r="E104" s="11">
        <v>0</v>
      </c>
      <c r="F104" s="17">
        <v>0</v>
      </c>
      <c r="G104" s="11">
        <v>0</v>
      </c>
      <c r="H104" s="27">
        <f t="shared" si="10"/>
        <v>8</v>
      </c>
      <c r="I104" s="1"/>
      <c r="R104" s="4"/>
      <c r="S104" s="1"/>
    </row>
    <row r="105" spans="1:19" x14ac:dyDescent="0.25">
      <c r="A105" s="7" t="s">
        <v>216</v>
      </c>
      <c r="B105" s="11">
        <v>0</v>
      </c>
      <c r="C105" s="11">
        <v>0</v>
      </c>
      <c r="D105" s="11">
        <v>0</v>
      </c>
      <c r="E105" s="11">
        <v>0</v>
      </c>
      <c r="F105" s="17">
        <v>0</v>
      </c>
      <c r="G105" s="11">
        <v>0</v>
      </c>
      <c r="H105" s="27">
        <f t="shared" si="10"/>
        <v>0</v>
      </c>
      <c r="I105" s="1"/>
      <c r="R105" s="4"/>
      <c r="S105" s="1"/>
    </row>
    <row r="106" spans="1:19" x14ac:dyDescent="0.25">
      <c r="A106" s="7" t="s">
        <v>174</v>
      </c>
      <c r="B106" s="11">
        <v>0</v>
      </c>
      <c r="C106" s="11">
        <v>0</v>
      </c>
      <c r="D106" s="11">
        <v>0</v>
      </c>
      <c r="E106" s="11">
        <v>0</v>
      </c>
      <c r="F106" s="17">
        <v>0</v>
      </c>
      <c r="G106" s="11">
        <v>0</v>
      </c>
      <c r="H106" s="27">
        <f t="shared" si="10"/>
        <v>0</v>
      </c>
      <c r="I106" s="1"/>
      <c r="R106" s="4"/>
      <c r="S106" s="1"/>
    </row>
    <row r="107" spans="1:19" x14ac:dyDescent="0.25">
      <c r="A107" s="7" t="s">
        <v>175</v>
      </c>
      <c r="B107" s="11">
        <v>0</v>
      </c>
      <c r="C107" s="11">
        <v>0</v>
      </c>
      <c r="D107" s="11">
        <v>0</v>
      </c>
      <c r="E107" s="19">
        <v>0</v>
      </c>
      <c r="F107" s="17">
        <v>0</v>
      </c>
      <c r="G107" s="11">
        <v>0</v>
      </c>
      <c r="H107" s="27">
        <f t="shared" si="10"/>
        <v>0</v>
      </c>
      <c r="I107" s="1"/>
      <c r="R107" s="4"/>
      <c r="S107" s="1"/>
    </row>
    <row r="108" spans="1:19" x14ac:dyDescent="0.25">
      <c r="A108" s="143" t="s">
        <v>109</v>
      </c>
      <c r="B108" s="143"/>
      <c r="C108" s="143"/>
      <c r="D108" s="143"/>
      <c r="E108" s="143"/>
      <c r="F108" s="143"/>
      <c r="G108" s="143"/>
      <c r="H108" s="143"/>
      <c r="I108" s="1"/>
      <c r="R108" s="4"/>
      <c r="S108" s="1"/>
    </row>
    <row r="109" spans="1:19" x14ac:dyDescent="0.25">
      <c r="A109" s="7" t="s">
        <v>123</v>
      </c>
      <c r="B109" s="11">
        <v>89</v>
      </c>
      <c r="C109" s="11">
        <v>265</v>
      </c>
      <c r="D109" s="11">
        <v>335</v>
      </c>
      <c r="E109" s="11">
        <v>3</v>
      </c>
      <c r="F109" s="11">
        <v>9</v>
      </c>
      <c r="G109" s="11">
        <v>0</v>
      </c>
      <c r="H109" s="28">
        <f t="shared" si="10"/>
        <v>701</v>
      </c>
      <c r="I109" s="1"/>
      <c r="J109" s="133"/>
      <c r="K109" s="133"/>
      <c r="R109" s="4"/>
      <c r="S109" s="1"/>
    </row>
    <row r="110" spans="1:19" x14ac:dyDescent="0.25">
      <c r="A110" s="7" t="s">
        <v>122</v>
      </c>
      <c r="B110" s="11">
        <v>46</v>
      </c>
      <c r="C110" s="11">
        <v>196</v>
      </c>
      <c r="D110" s="10">
        <v>215</v>
      </c>
      <c r="E110" s="11">
        <v>1</v>
      </c>
      <c r="F110" s="11">
        <v>10</v>
      </c>
      <c r="G110" s="11">
        <v>0</v>
      </c>
      <c r="H110" s="14">
        <f t="shared" si="10"/>
        <v>468</v>
      </c>
      <c r="I110" s="1"/>
      <c r="J110" s="133"/>
      <c r="K110" s="133"/>
      <c r="R110" s="4"/>
      <c r="S110" s="1"/>
    </row>
    <row r="111" spans="1:19" x14ac:dyDescent="0.25">
      <c r="A111" s="7" t="s">
        <v>121</v>
      </c>
      <c r="B111" s="11">
        <v>24</v>
      </c>
      <c r="C111" s="11">
        <v>78</v>
      </c>
      <c r="D111" s="11">
        <v>48</v>
      </c>
      <c r="E111" s="11">
        <v>2</v>
      </c>
      <c r="F111" s="11">
        <v>5</v>
      </c>
      <c r="G111" s="11">
        <v>0</v>
      </c>
      <c r="H111" s="14">
        <f t="shared" si="10"/>
        <v>157</v>
      </c>
      <c r="I111" s="1"/>
      <c r="R111" s="4"/>
      <c r="S111" s="1"/>
    </row>
    <row r="112" spans="1:19" x14ac:dyDescent="0.25">
      <c r="A112" s="7" t="s">
        <v>120</v>
      </c>
      <c r="B112" s="11">
        <v>28</v>
      </c>
      <c r="C112" s="11">
        <v>40</v>
      </c>
      <c r="D112" s="11">
        <v>30</v>
      </c>
      <c r="E112" s="11">
        <v>2</v>
      </c>
      <c r="F112" s="11">
        <v>2</v>
      </c>
      <c r="G112" s="11">
        <v>0</v>
      </c>
      <c r="H112" s="14">
        <f t="shared" si="10"/>
        <v>102</v>
      </c>
      <c r="I112" s="1"/>
      <c r="R112" s="4"/>
      <c r="S112" s="1"/>
    </row>
    <row r="113" spans="1:19" x14ac:dyDescent="0.25">
      <c r="A113" s="7" t="s">
        <v>124</v>
      </c>
      <c r="B113" s="11">
        <v>23</v>
      </c>
      <c r="C113" s="11">
        <v>0</v>
      </c>
      <c r="D113" s="11">
        <v>16</v>
      </c>
      <c r="E113" s="11">
        <v>0</v>
      </c>
      <c r="F113" s="11">
        <v>0</v>
      </c>
      <c r="G113" s="11">
        <v>0</v>
      </c>
      <c r="H113" s="14">
        <f t="shared" si="10"/>
        <v>39</v>
      </c>
      <c r="I113" s="1"/>
      <c r="R113" s="4"/>
      <c r="S113" s="1"/>
    </row>
    <row r="114" spans="1:19" x14ac:dyDescent="0.25">
      <c r="A114" s="7" t="s">
        <v>48</v>
      </c>
      <c r="B114" s="11">
        <v>0</v>
      </c>
      <c r="C114" s="11">
        <v>0</v>
      </c>
      <c r="D114" s="11">
        <v>0</v>
      </c>
      <c r="E114" s="11">
        <v>0</v>
      </c>
      <c r="F114" s="11">
        <v>0</v>
      </c>
      <c r="G114" s="11">
        <v>0</v>
      </c>
      <c r="H114" s="14">
        <f>SUM(B114:G114)</f>
        <v>0</v>
      </c>
      <c r="I114" s="1"/>
      <c r="R114" s="4"/>
      <c r="S114" s="1"/>
    </row>
    <row r="115" spans="1:19" x14ac:dyDescent="0.25">
      <c r="A115" s="162" t="s">
        <v>110</v>
      </c>
      <c r="B115" s="163"/>
      <c r="C115" s="163"/>
      <c r="D115" s="163"/>
      <c r="E115" s="163"/>
      <c r="F115" s="163"/>
      <c r="G115" s="163"/>
      <c r="H115" s="142"/>
      <c r="I115" s="1"/>
      <c r="R115" s="4"/>
      <c r="S115" s="1"/>
    </row>
    <row r="116" spans="1:19" x14ac:dyDescent="0.25">
      <c r="A116" s="8" t="s">
        <v>111</v>
      </c>
      <c r="B116" s="42">
        <v>16</v>
      </c>
      <c r="C116" s="31">
        <v>4</v>
      </c>
      <c r="D116" s="20">
        <v>23</v>
      </c>
      <c r="E116" s="31">
        <v>0</v>
      </c>
      <c r="F116" s="20">
        <v>0</v>
      </c>
      <c r="G116" s="31">
        <v>0</v>
      </c>
      <c r="H116" s="14">
        <f t="shared" ref="H116:H155" si="14">SUM(B116:G116)</f>
        <v>43</v>
      </c>
      <c r="I116" s="1"/>
      <c r="R116" s="4"/>
      <c r="S116" s="1"/>
    </row>
    <row r="117" spans="1:19" x14ac:dyDescent="0.25">
      <c r="A117" s="7" t="s">
        <v>158</v>
      </c>
      <c r="B117" s="23">
        <v>49</v>
      </c>
      <c r="C117" s="11">
        <v>12</v>
      </c>
      <c r="D117" s="10">
        <v>137</v>
      </c>
      <c r="E117" s="11">
        <v>1</v>
      </c>
      <c r="F117" s="10">
        <v>0</v>
      </c>
      <c r="G117" s="11">
        <v>0</v>
      </c>
      <c r="H117" s="14">
        <f t="shared" si="14"/>
        <v>199</v>
      </c>
      <c r="I117" s="1"/>
      <c r="R117" s="4"/>
      <c r="S117" s="1"/>
    </row>
    <row r="118" spans="1:19" x14ac:dyDescent="0.25">
      <c r="A118" s="7" t="s">
        <v>156</v>
      </c>
      <c r="B118" s="23">
        <v>50</v>
      </c>
      <c r="C118" s="11">
        <v>0</v>
      </c>
      <c r="D118" s="10">
        <v>92</v>
      </c>
      <c r="E118" s="11">
        <v>0</v>
      </c>
      <c r="F118" s="10">
        <v>0</v>
      </c>
      <c r="G118" s="11">
        <v>0</v>
      </c>
      <c r="H118" s="14">
        <f t="shared" si="14"/>
        <v>142</v>
      </c>
      <c r="I118" s="1"/>
      <c r="R118" s="4"/>
      <c r="S118" s="1"/>
    </row>
    <row r="119" spans="1:19" x14ac:dyDescent="0.25">
      <c r="A119" s="7" t="s">
        <v>187</v>
      </c>
      <c r="B119" s="23">
        <v>0</v>
      </c>
      <c r="C119" s="11">
        <v>0</v>
      </c>
      <c r="D119" s="10">
        <v>0</v>
      </c>
      <c r="E119" s="11">
        <v>0</v>
      </c>
      <c r="F119" s="10">
        <v>0</v>
      </c>
      <c r="G119" s="11">
        <v>0</v>
      </c>
      <c r="H119" s="14">
        <f t="shared" si="14"/>
        <v>0</v>
      </c>
      <c r="I119" s="1"/>
      <c r="R119" s="4"/>
      <c r="S119" s="1"/>
    </row>
    <row r="120" spans="1:19" x14ac:dyDescent="0.25">
      <c r="A120" s="7" t="s">
        <v>157</v>
      </c>
      <c r="B120" s="23">
        <v>57</v>
      </c>
      <c r="C120" s="11">
        <v>0</v>
      </c>
      <c r="D120" s="10">
        <v>137</v>
      </c>
      <c r="E120" s="11">
        <v>0</v>
      </c>
      <c r="F120" s="10">
        <v>0</v>
      </c>
      <c r="G120" s="11">
        <v>0</v>
      </c>
      <c r="H120" s="14">
        <f t="shared" si="14"/>
        <v>194</v>
      </c>
      <c r="I120" s="1"/>
      <c r="R120" s="4"/>
      <c r="S120" s="1"/>
    </row>
    <row r="121" spans="1:19" x14ac:dyDescent="0.25">
      <c r="A121" s="7" t="s">
        <v>125</v>
      </c>
      <c r="B121" s="23">
        <v>50</v>
      </c>
      <c r="C121" s="11">
        <v>11</v>
      </c>
      <c r="D121" s="10">
        <v>45</v>
      </c>
      <c r="E121" s="11">
        <v>0</v>
      </c>
      <c r="F121" s="10">
        <v>0</v>
      </c>
      <c r="G121" s="11">
        <v>0</v>
      </c>
      <c r="H121" s="14">
        <f t="shared" si="14"/>
        <v>106</v>
      </c>
      <c r="I121" s="1"/>
      <c r="R121" s="4"/>
      <c r="S121" s="1"/>
    </row>
    <row r="122" spans="1:19" x14ac:dyDescent="0.25">
      <c r="A122" s="7" t="s">
        <v>126</v>
      </c>
      <c r="B122" s="23">
        <v>0</v>
      </c>
      <c r="C122" s="11">
        <v>0</v>
      </c>
      <c r="D122" s="10">
        <v>0</v>
      </c>
      <c r="E122" s="11">
        <v>0</v>
      </c>
      <c r="F122" s="10">
        <v>0</v>
      </c>
      <c r="G122" s="11">
        <v>0</v>
      </c>
      <c r="H122" s="14">
        <f t="shared" si="14"/>
        <v>0</v>
      </c>
      <c r="I122" s="1"/>
      <c r="R122" s="4"/>
      <c r="S122" s="1"/>
    </row>
    <row r="123" spans="1:19" x14ac:dyDescent="0.25">
      <c r="A123" s="7" t="s">
        <v>103</v>
      </c>
      <c r="B123" s="23">
        <v>20</v>
      </c>
      <c r="C123" s="11">
        <v>0</v>
      </c>
      <c r="D123" s="10">
        <v>56</v>
      </c>
      <c r="E123" s="11">
        <v>3</v>
      </c>
      <c r="F123" s="10">
        <v>1</v>
      </c>
      <c r="G123" s="11">
        <v>0</v>
      </c>
      <c r="H123" s="14">
        <f t="shared" si="14"/>
        <v>80</v>
      </c>
      <c r="I123" s="1"/>
      <c r="R123" s="4"/>
      <c r="S123" s="1"/>
    </row>
    <row r="124" spans="1:19" x14ac:dyDescent="0.25">
      <c r="A124" s="7" t="s">
        <v>127</v>
      </c>
      <c r="B124" s="23">
        <v>52</v>
      </c>
      <c r="C124" s="11">
        <v>12</v>
      </c>
      <c r="D124" s="10">
        <v>29</v>
      </c>
      <c r="E124" s="11">
        <v>0</v>
      </c>
      <c r="F124" s="10">
        <v>0</v>
      </c>
      <c r="G124" s="11">
        <v>0</v>
      </c>
      <c r="H124" s="14">
        <f t="shared" si="14"/>
        <v>93</v>
      </c>
      <c r="I124" s="1"/>
      <c r="R124" s="4"/>
      <c r="S124" s="1"/>
    </row>
    <row r="125" spans="1:19" x14ac:dyDescent="0.25">
      <c r="A125" s="7" t="s">
        <v>128</v>
      </c>
      <c r="B125" s="23">
        <v>33</v>
      </c>
      <c r="C125" s="11">
        <v>9</v>
      </c>
      <c r="D125" s="10">
        <v>34</v>
      </c>
      <c r="E125" s="11">
        <v>0</v>
      </c>
      <c r="F125" s="10">
        <v>0</v>
      </c>
      <c r="G125" s="11">
        <v>0</v>
      </c>
      <c r="H125" s="14">
        <f t="shared" si="14"/>
        <v>76</v>
      </c>
      <c r="I125" s="1"/>
      <c r="R125" s="4"/>
      <c r="S125" s="1"/>
    </row>
    <row r="126" spans="1:19" x14ac:dyDescent="0.25">
      <c r="A126" s="7" t="s">
        <v>129</v>
      </c>
      <c r="B126" s="23">
        <v>39</v>
      </c>
      <c r="C126" s="11">
        <v>6</v>
      </c>
      <c r="D126" s="10">
        <v>36</v>
      </c>
      <c r="E126" s="11">
        <v>0</v>
      </c>
      <c r="F126" s="10">
        <v>0</v>
      </c>
      <c r="G126" s="11">
        <v>0</v>
      </c>
      <c r="H126" s="14">
        <f t="shared" si="14"/>
        <v>81</v>
      </c>
      <c r="I126" s="1"/>
      <c r="R126" s="4"/>
      <c r="S126" s="1"/>
    </row>
    <row r="127" spans="1:19" x14ac:dyDescent="0.25">
      <c r="A127" s="7" t="s">
        <v>44</v>
      </c>
      <c r="B127" s="23">
        <v>29</v>
      </c>
      <c r="C127" s="11">
        <v>5</v>
      </c>
      <c r="D127" s="10">
        <v>96</v>
      </c>
      <c r="E127" s="11">
        <v>1</v>
      </c>
      <c r="F127" s="10">
        <v>4</v>
      </c>
      <c r="G127" s="11">
        <v>0</v>
      </c>
      <c r="H127" s="14">
        <f t="shared" si="14"/>
        <v>135</v>
      </c>
      <c r="I127" s="1"/>
      <c r="R127" s="4"/>
      <c r="S127" s="1"/>
    </row>
    <row r="128" spans="1:19" x14ac:dyDescent="0.25">
      <c r="A128" s="7" t="s">
        <v>92</v>
      </c>
      <c r="B128" s="23">
        <v>9</v>
      </c>
      <c r="C128" s="11">
        <v>0</v>
      </c>
      <c r="D128" s="10">
        <v>59</v>
      </c>
      <c r="E128" s="11">
        <v>1</v>
      </c>
      <c r="F128" s="10">
        <v>4</v>
      </c>
      <c r="G128" s="11">
        <v>0</v>
      </c>
      <c r="H128" s="14">
        <f t="shared" si="14"/>
        <v>73</v>
      </c>
      <c r="I128" s="1"/>
      <c r="R128" s="4"/>
      <c r="S128" s="1"/>
    </row>
    <row r="129" spans="1:19" x14ac:dyDescent="0.25">
      <c r="A129" s="7" t="s">
        <v>45</v>
      </c>
      <c r="B129" s="23">
        <v>23</v>
      </c>
      <c r="C129" s="11">
        <v>14</v>
      </c>
      <c r="D129" s="10">
        <v>28</v>
      </c>
      <c r="E129" s="11">
        <v>2</v>
      </c>
      <c r="F129" s="10">
        <v>0</v>
      </c>
      <c r="G129" s="11">
        <v>0</v>
      </c>
      <c r="H129" s="14">
        <f t="shared" si="14"/>
        <v>67</v>
      </c>
      <c r="I129" s="1"/>
      <c r="R129" s="4"/>
      <c r="S129" s="1"/>
    </row>
    <row r="130" spans="1:19" x14ac:dyDescent="0.25">
      <c r="A130" s="7" t="s">
        <v>99</v>
      </c>
      <c r="B130" s="23">
        <v>0</v>
      </c>
      <c r="C130" s="11">
        <v>0</v>
      </c>
      <c r="D130" s="10">
        <v>6</v>
      </c>
      <c r="E130" s="11">
        <v>0</v>
      </c>
      <c r="F130" s="10">
        <v>0</v>
      </c>
      <c r="G130" s="11">
        <v>0</v>
      </c>
      <c r="H130" s="14">
        <f t="shared" si="14"/>
        <v>6</v>
      </c>
      <c r="I130" s="1"/>
      <c r="R130" s="4"/>
      <c r="S130" s="1"/>
    </row>
    <row r="131" spans="1:19" ht="15.75" customHeight="1" x14ac:dyDescent="0.25">
      <c r="A131" s="7" t="s">
        <v>100</v>
      </c>
      <c r="B131" s="23">
        <v>8</v>
      </c>
      <c r="C131" s="11">
        <v>0</v>
      </c>
      <c r="D131" s="10">
        <v>40</v>
      </c>
      <c r="E131" s="11">
        <v>0</v>
      </c>
      <c r="F131" s="10">
        <v>0</v>
      </c>
      <c r="G131" s="11">
        <v>0</v>
      </c>
      <c r="H131" s="14">
        <f t="shared" si="14"/>
        <v>48</v>
      </c>
      <c r="I131" s="1"/>
      <c r="R131" s="4"/>
      <c r="S131" s="1"/>
    </row>
    <row r="132" spans="1:19" x14ac:dyDescent="0.25">
      <c r="A132" s="7" t="s">
        <v>46</v>
      </c>
      <c r="B132" s="23">
        <v>9</v>
      </c>
      <c r="C132" s="11">
        <v>2</v>
      </c>
      <c r="D132" s="10">
        <v>16</v>
      </c>
      <c r="E132" s="11">
        <v>0</v>
      </c>
      <c r="F132" s="10">
        <v>0</v>
      </c>
      <c r="G132" s="11">
        <v>0</v>
      </c>
      <c r="H132" s="14">
        <f t="shared" si="14"/>
        <v>27</v>
      </c>
      <c r="I132" s="1"/>
      <c r="R132" s="4"/>
      <c r="S132" s="1"/>
    </row>
    <row r="133" spans="1:19" x14ac:dyDescent="0.25">
      <c r="A133" s="7" t="s">
        <v>47</v>
      </c>
      <c r="B133" s="23">
        <v>4</v>
      </c>
      <c r="C133" s="11">
        <v>0</v>
      </c>
      <c r="D133" s="10">
        <v>3</v>
      </c>
      <c r="E133" s="11">
        <v>0</v>
      </c>
      <c r="F133" s="10">
        <v>0</v>
      </c>
      <c r="G133" s="11">
        <v>0</v>
      </c>
      <c r="H133" s="14">
        <f t="shared" si="14"/>
        <v>7</v>
      </c>
      <c r="I133" s="1"/>
      <c r="R133" s="4"/>
      <c r="S133" s="1"/>
    </row>
    <row r="134" spans="1:19" x14ac:dyDescent="0.25">
      <c r="A134" s="7" t="s">
        <v>53</v>
      </c>
      <c r="B134" s="23">
        <v>0</v>
      </c>
      <c r="C134" s="11">
        <v>0</v>
      </c>
      <c r="D134" s="10">
        <v>3</v>
      </c>
      <c r="E134" s="11">
        <v>0</v>
      </c>
      <c r="F134" s="10">
        <v>0</v>
      </c>
      <c r="G134" s="11">
        <v>0</v>
      </c>
      <c r="H134" s="14">
        <f t="shared" si="14"/>
        <v>3</v>
      </c>
      <c r="I134" s="1"/>
      <c r="R134" s="4"/>
      <c r="S134" s="1"/>
    </row>
    <row r="135" spans="1:19" x14ac:dyDescent="0.25">
      <c r="A135" s="7" t="s">
        <v>134</v>
      </c>
      <c r="B135" s="23">
        <v>58</v>
      </c>
      <c r="C135" s="11">
        <v>12</v>
      </c>
      <c r="D135" s="10">
        <v>160</v>
      </c>
      <c r="E135" s="11">
        <v>2</v>
      </c>
      <c r="F135" s="10">
        <v>1</v>
      </c>
      <c r="G135" s="11">
        <v>0</v>
      </c>
      <c r="H135" s="14">
        <f t="shared" si="14"/>
        <v>233</v>
      </c>
      <c r="I135" s="1"/>
      <c r="R135" s="4"/>
      <c r="S135" s="1"/>
    </row>
    <row r="136" spans="1:19" x14ac:dyDescent="0.25">
      <c r="A136" s="7" t="s">
        <v>135</v>
      </c>
      <c r="B136" s="23">
        <v>59</v>
      </c>
      <c r="C136" s="11">
        <v>35</v>
      </c>
      <c r="D136" s="10">
        <v>233</v>
      </c>
      <c r="E136" s="11">
        <v>4</v>
      </c>
      <c r="F136" s="10">
        <v>3</v>
      </c>
      <c r="G136" s="11">
        <v>0</v>
      </c>
      <c r="H136" s="14">
        <f t="shared" si="14"/>
        <v>334</v>
      </c>
      <c r="I136" s="1"/>
      <c r="R136" s="4"/>
      <c r="S136" s="1"/>
    </row>
    <row r="137" spans="1:19" x14ac:dyDescent="0.25">
      <c r="A137" s="7" t="s">
        <v>49</v>
      </c>
      <c r="B137" s="23">
        <v>60</v>
      </c>
      <c r="C137" s="11">
        <v>25</v>
      </c>
      <c r="D137" s="10">
        <v>236</v>
      </c>
      <c r="E137" s="11">
        <v>4</v>
      </c>
      <c r="F137" s="10">
        <v>3</v>
      </c>
      <c r="G137" s="11">
        <v>0</v>
      </c>
      <c r="H137" s="27">
        <f t="shared" si="14"/>
        <v>328</v>
      </c>
      <c r="I137" s="1"/>
      <c r="R137" s="4"/>
      <c r="S137" s="1"/>
    </row>
    <row r="138" spans="1:19" x14ac:dyDescent="0.25">
      <c r="A138" s="7" t="s">
        <v>189</v>
      </c>
      <c r="B138" s="23">
        <v>24</v>
      </c>
      <c r="C138" s="11"/>
      <c r="D138" s="10">
        <v>21</v>
      </c>
      <c r="E138" s="11">
        <v>0</v>
      </c>
      <c r="F138" s="10">
        <v>1</v>
      </c>
      <c r="G138" s="11">
        <v>0</v>
      </c>
      <c r="H138" s="27">
        <f t="shared" si="14"/>
        <v>46</v>
      </c>
      <c r="I138" s="1"/>
      <c r="R138" s="4"/>
      <c r="S138" s="1"/>
    </row>
    <row r="139" spans="1:19" x14ac:dyDescent="0.25">
      <c r="A139" s="7" t="s">
        <v>50</v>
      </c>
      <c r="B139" s="23">
        <v>24</v>
      </c>
      <c r="C139" s="11">
        <v>79</v>
      </c>
      <c r="D139" s="10">
        <v>5</v>
      </c>
      <c r="E139" s="11">
        <v>0</v>
      </c>
      <c r="F139" s="10">
        <v>0</v>
      </c>
      <c r="G139" s="11">
        <v>0</v>
      </c>
      <c r="H139" s="14">
        <f t="shared" si="14"/>
        <v>108</v>
      </c>
      <c r="I139" s="1"/>
      <c r="R139" s="4"/>
      <c r="S139" s="1"/>
    </row>
    <row r="140" spans="1:19" x14ac:dyDescent="0.25">
      <c r="A140" s="7" t="s">
        <v>104</v>
      </c>
      <c r="B140" s="23">
        <v>0</v>
      </c>
      <c r="C140" s="11">
        <v>0</v>
      </c>
      <c r="D140" s="10">
        <v>0</v>
      </c>
      <c r="E140" s="11">
        <v>0</v>
      </c>
      <c r="F140" s="10">
        <v>0</v>
      </c>
      <c r="G140" s="11">
        <v>0</v>
      </c>
      <c r="H140" s="14">
        <f t="shared" si="14"/>
        <v>0</v>
      </c>
      <c r="I140" s="1"/>
      <c r="R140" s="6"/>
      <c r="S140" s="1"/>
    </row>
    <row r="141" spans="1:19" x14ac:dyDescent="0.25">
      <c r="A141" s="7" t="s">
        <v>51</v>
      </c>
      <c r="B141" s="23">
        <v>0</v>
      </c>
      <c r="C141" s="11">
        <v>0</v>
      </c>
      <c r="D141" s="10">
        <v>0</v>
      </c>
      <c r="E141" s="11">
        <v>0</v>
      </c>
      <c r="F141" s="10">
        <v>0</v>
      </c>
      <c r="G141" s="11">
        <v>0</v>
      </c>
      <c r="H141" s="14">
        <f t="shared" si="14"/>
        <v>0</v>
      </c>
    </row>
    <row r="142" spans="1:19" x14ac:dyDescent="0.25">
      <c r="A142" s="7" t="s">
        <v>52</v>
      </c>
      <c r="B142" s="23">
        <v>0</v>
      </c>
      <c r="C142" s="11">
        <v>4</v>
      </c>
      <c r="D142" s="10">
        <v>8</v>
      </c>
      <c r="E142" s="11">
        <v>0</v>
      </c>
      <c r="F142" s="10">
        <v>0</v>
      </c>
      <c r="G142" s="11">
        <v>0</v>
      </c>
      <c r="H142" s="14">
        <f t="shared" si="14"/>
        <v>12</v>
      </c>
    </row>
    <row r="143" spans="1:19" x14ac:dyDescent="0.25">
      <c r="A143" s="7" t="s">
        <v>115</v>
      </c>
      <c r="B143" s="23">
        <v>0</v>
      </c>
      <c r="C143" s="11">
        <v>2</v>
      </c>
      <c r="D143" s="10">
        <v>0</v>
      </c>
      <c r="E143" s="11">
        <v>0</v>
      </c>
      <c r="F143" s="10">
        <v>0</v>
      </c>
      <c r="G143" s="11">
        <v>0</v>
      </c>
      <c r="H143" s="14">
        <f t="shared" si="14"/>
        <v>2</v>
      </c>
    </row>
    <row r="144" spans="1:19" x14ac:dyDescent="0.25">
      <c r="A144" s="7" t="s">
        <v>116</v>
      </c>
      <c r="B144" s="23">
        <v>4</v>
      </c>
      <c r="C144" s="11">
        <v>4</v>
      </c>
      <c r="D144" s="10">
        <v>10</v>
      </c>
      <c r="E144" s="11">
        <v>0</v>
      </c>
      <c r="F144" s="10">
        <v>0</v>
      </c>
      <c r="G144" s="11">
        <v>0</v>
      </c>
      <c r="H144" s="14">
        <f t="shared" si="14"/>
        <v>18</v>
      </c>
    </row>
    <row r="145" spans="1:13" x14ac:dyDescent="0.25">
      <c r="A145" s="7" t="s">
        <v>102</v>
      </c>
      <c r="B145" s="23">
        <v>14</v>
      </c>
      <c r="C145" s="11">
        <v>0</v>
      </c>
      <c r="D145" s="10">
        <v>18</v>
      </c>
      <c r="E145" s="11">
        <v>0</v>
      </c>
      <c r="F145" s="10">
        <v>0</v>
      </c>
      <c r="G145" s="11">
        <v>0</v>
      </c>
      <c r="H145" s="14">
        <f t="shared" si="14"/>
        <v>32</v>
      </c>
    </row>
    <row r="146" spans="1:13" x14ac:dyDescent="0.25">
      <c r="A146" s="7" t="s">
        <v>203</v>
      </c>
      <c r="B146" s="23">
        <v>6</v>
      </c>
      <c r="C146" s="11">
        <v>0</v>
      </c>
      <c r="D146" s="10">
        <v>22</v>
      </c>
      <c r="E146" s="11">
        <v>1</v>
      </c>
      <c r="F146" s="10">
        <v>0</v>
      </c>
      <c r="G146" s="11">
        <v>0</v>
      </c>
      <c r="H146" s="14">
        <f t="shared" si="14"/>
        <v>29</v>
      </c>
    </row>
    <row r="147" spans="1:13" x14ac:dyDescent="0.25">
      <c r="A147" s="7" t="s">
        <v>197</v>
      </c>
      <c r="B147" s="23">
        <v>0</v>
      </c>
      <c r="C147" s="11">
        <v>0</v>
      </c>
      <c r="D147" s="10">
        <v>3</v>
      </c>
      <c r="E147" s="11">
        <v>0</v>
      </c>
      <c r="F147" s="10">
        <v>0</v>
      </c>
      <c r="G147" s="11">
        <v>0</v>
      </c>
      <c r="H147" s="14">
        <f t="shared" si="14"/>
        <v>3</v>
      </c>
    </row>
    <row r="148" spans="1:13" x14ac:dyDescent="0.25">
      <c r="A148" s="7" t="s">
        <v>217</v>
      </c>
      <c r="B148" s="23">
        <v>3</v>
      </c>
      <c r="C148" s="11">
        <v>0</v>
      </c>
      <c r="D148" s="10">
        <v>3</v>
      </c>
      <c r="E148" s="11">
        <v>0</v>
      </c>
      <c r="F148" s="10">
        <v>0</v>
      </c>
      <c r="G148" s="11">
        <v>0</v>
      </c>
      <c r="H148" s="14">
        <f t="shared" si="14"/>
        <v>6</v>
      </c>
    </row>
    <row r="149" spans="1:13" x14ac:dyDescent="0.25">
      <c r="A149" s="7" t="s">
        <v>198</v>
      </c>
      <c r="B149" s="23">
        <v>3</v>
      </c>
      <c r="C149" s="11">
        <v>0</v>
      </c>
      <c r="D149" s="10">
        <v>3</v>
      </c>
      <c r="E149" s="11">
        <v>0</v>
      </c>
      <c r="F149" s="10">
        <v>0</v>
      </c>
      <c r="G149" s="11">
        <v>0</v>
      </c>
      <c r="H149" s="14">
        <f t="shared" si="14"/>
        <v>6</v>
      </c>
    </row>
    <row r="150" spans="1:13" x14ac:dyDescent="0.25">
      <c r="A150" s="7" t="s">
        <v>199</v>
      </c>
      <c r="B150" s="23">
        <v>3</v>
      </c>
      <c r="C150" s="11">
        <v>0</v>
      </c>
      <c r="D150" s="10">
        <v>3</v>
      </c>
      <c r="E150" s="11">
        <v>0</v>
      </c>
      <c r="F150" s="10">
        <v>0</v>
      </c>
      <c r="G150" s="11">
        <v>0</v>
      </c>
      <c r="H150" s="14">
        <f t="shared" si="14"/>
        <v>6</v>
      </c>
    </row>
    <row r="151" spans="1:13" x14ac:dyDescent="0.25">
      <c r="A151" s="7" t="s">
        <v>200</v>
      </c>
      <c r="B151" s="23">
        <v>0</v>
      </c>
      <c r="C151" s="11">
        <v>0</v>
      </c>
      <c r="D151" s="10">
        <v>16</v>
      </c>
      <c r="E151" s="11">
        <v>0</v>
      </c>
      <c r="F151" s="10">
        <v>0</v>
      </c>
      <c r="G151" s="11">
        <v>0</v>
      </c>
      <c r="H151" s="14">
        <f t="shared" si="14"/>
        <v>16</v>
      </c>
    </row>
    <row r="152" spans="1:13" x14ac:dyDescent="0.25">
      <c r="A152" s="7" t="s">
        <v>223</v>
      </c>
      <c r="B152" s="23">
        <v>0</v>
      </c>
      <c r="C152" s="11">
        <v>0</v>
      </c>
      <c r="D152" s="10">
        <v>0</v>
      </c>
      <c r="E152" s="11">
        <v>0</v>
      </c>
      <c r="F152" s="10">
        <v>0</v>
      </c>
      <c r="G152" s="11">
        <v>0</v>
      </c>
      <c r="H152" s="14">
        <f t="shared" si="14"/>
        <v>0</v>
      </c>
    </row>
    <row r="153" spans="1:13" x14ac:dyDescent="0.25">
      <c r="A153" s="7" t="s">
        <v>105</v>
      </c>
      <c r="B153" s="23">
        <v>24</v>
      </c>
      <c r="C153" s="11">
        <v>6</v>
      </c>
      <c r="D153" s="10">
        <v>29</v>
      </c>
      <c r="E153" s="11">
        <v>0</v>
      </c>
      <c r="F153" s="10">
        <v>1</v>
      </c>
      <c r="G153" s="11">
        <v>0</v>
      </c>
      <c r="H153" s="14">
        <f t="shared" si="14"/>
        <v>60</v>
      </c>
    </row>
    <row r="154" spans="1:13" x14ac:dyDescent="0.25">
      <c r="A154" s="7" t="s">
        <v>206</v>
      </c>
      <c r="B154" s="10">
        <v>0</v>
      </c>
      <c r="C154" s="11">
        <v>0</v>
      </c>
      <c r="D154" s="10">
        <v>0</v>
      </c>
      <c r="E154" s="11">
        <v>0</v>
      </c>
      <c r="F154" s="10">
        <v>0</v>
      </c>
      <c r="G154" s="11">
        <v>0</v>
      </c>
      <c r="H154" s="14">
        <f t="shared" si="14"/>
        <v>0</v>
      </c>
    </row>
    <row r="155" spans="1:13" x14ac:dyDescent="0.25">
      <c r="A155" s="107" t="s">
        <v>207</v>
      </c>
      <c r="B155" s="120">
        <v>0</v>
      </c>
      <c r="C155" s="93">
        <v>0</v>
      </c>
      <c r="D155" s="120">
        <v>0</v>
      </c>
      <c r="E155" s="93">
        <v>0</v>
      </c>
      <c r="F155" s="120">
        <v>0</v>
      </c>
      <c r="G155" s="93">
        <v>0</v>
      </c>
      <c r="H155" s="14">
        <f t="shared" si="14"/>
        <v>0</v>
      </c>
    </row>
    <row r="158" spans="1:13" x14ac:dyDescent="0.25">
      <c r="J158" s="133"/>
      <c r="K158" s="133"/>
      <c r="L158" s="133"/>
      <c r="M158" s="133"/>
    </row>
    <row r="159" spans="1:13" x14ac:dyDescent="0.25">
      <c r="J159" s="133"/>
    </row>
    <row r="166" spans="10:17" x14ac:dyDescent="0.25">
      <c r="P166" s="5"/>
      <c r="Q166" s="5"/>
    </row>
    <row r="168" spans="10:17" x14ac:dyDescent="0.25">
      <c r="J168" s="5"/>
      <c r="K168" s="5"/>
      <c r="L168" s="5"/>
      <c r="M168" s="5"/>
      <c r="N168" s="1"/>
      <c r="O168" s="1"/>
    </row>
  </sheetData>
  <mergeCells count="30">
    <mergeCell ref="K109:K110"/>
    <mergeCell ref="J52:Q52"/>
    <mergeCell ref="A3:R3"/>
    <mergeCell ref="B4:J4"/>
    <mergeCell ref="L4:R4"/>
    <mergeCell ref="A9:A10"/>
    <mergeCell ref="B9:H9"/>
    <mergeCell ref="J9:J10"/>
    <mergeCell ref="K9:Q9"/>
    <mergeCell ref="J26:J27"/>
    <mergeCell ref="K26:Q26"/>
    <mergeCell ref="J39:J40"/>
    <mergeCell ref="K39:Q39"/>
    <mergeCell ref="J50:M50"/>
    <mergeCell ref="A115:H115"/>
    <mergeCell ref="J158:J159"/>
    <mergeCell ref="K158:M158"/>
    <mergeCell ref="A108:H108"/>
    <mergeCell ref="J53:P53"/>
    <mergeCell ref="J54:P54"/>
    <mergeCell ref="J55:P55"/>
    <mergeCell ref="J56:P56"/>
    <mergeCell ref="J57:P57"/>
    <mergeCell ref="J58:P58"/>
    <mergeCell ref="J59:P59"/>
    <mergeCell ref="J60:P60"/>
    <mergeCell ref="J61:P61"/>
    <mergeCell ref="J62:P62"/>
    <mergeCell ref="K86:M86"/>
    <mergeCell ref="J109:J110"/>
  </mergeCells>
  <pageMargins left="1" right="1" top="1" bottom="1" header="0.5" footer="0.5"/>
  <pageSetup paperSize="9" scale="50" fitToHeight="0" orientation="landscape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05BA1-F473-449C-B0BE-E2AB48D8E1AF}">
  <sheetPr>
    <pageSetUpPr fitToPage="1"/>
  </sheetPr>
  <dimension ref="A3:S159"/>
  <sheetViews>
    <sheetView topLeftCell="A34" zoomScale="80" zoomScaleNormal="80" workbookViewId="0">
      <selection activeCell="A50" sqref="A50:XFD50"/>
    </sheetView>
  </sheetViews>
  <sheetFormatPr baseColWidth="10" defaultRowHeight="15" x14ac:dyDescent="0.25"/>
  <cols>
    <col min="1" max="1" width="49.85546875" customWidth="1"/>
    <col min="2" max="6" width="9.85546875" customWidth="1"/>
    <col min="7" max="7" width="13.5703125" customWidth="1"/>
    <col min="8" max="8" width="9.28515625" customWidth="1"/>
    <col min="9" max="9" width="9.42578125" customWidth="1"/>
    <col min="10" max="10" width="43.7109375" customWidth="1"/>
    <col min="11" max="15" width="9.28515625" customWidth="1"/>
    <col min="16" max="16" width="10.42578125" customWidth="1"/>
    <col min="17" max="17" width="10" customWidth="1"/>
    <col min="18" max="18" width="2.85546875" customWidth="1"/>
  </cols>
  <sheetData>
    <row r="3" spans="1:19" ht="26.25" x14ac:dyDescent="0.25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"/>
    </row>
    <row r="4" spans="1:19" ht="15.75" x14ac:dyDescent="0.25">
      <c r="A4" s="1" t="s">
        <v>12</v>
      </c>
      <c r="B4" s="155" t="s">
        <v>16</v>
      </c>
      <c r="C4" s="156"/>
      <c r="D4" s="156"/>
      <c r="E4" s="156"/>
      <c r="F4" s="156"/>
      <c r="G4" s="156"/>
      <c r="H4" s="156"/>
      <c r="I4" s="156"/>
      <c r="J4" s="157"/>
      <c r="K4" s="9" t="s">
        <v>14</v>
      </c>
      <c r="L4" s="147" t="s">
        <v>196</v>
      </c>
      <c r="M4" s="148"/>
      <c r="N4" s="148"/>
      <c r="O4" s="148"/>
      <c r="P4" s="148"/>
      <c r="Q4" s="148"/>
      <c r="R4" s="149"/>
      <c r="S4" s="1"/>
    </row>
    <row r="5" spans="1:19" x14ac:dyDescent="0.25">
      <c r="A5" s="1"/>
      <c r="B5" s="1"/>
      <c r="C5" s="1"/>
      <c r="D5" s="10"/>
      <c r="E5" s="1"/>
      <c r="F5" s="1"/>
      <c r="G5" s="1"/>
      <c r="H5" s="1"/>
      <c r="I5" s="1"/>
      <c r="J5" s="1"/>
      <c r="K5" s="9"/>
      <c r="L5" s="10"/>
      <c r="M5" s="10"/>
      <c r="N5" s="10"/>
      <c r="O5" s="10"/>
      <c r="P5" s="10"/>
      <c r="Q5" s="10"/>
      <c r="R5" s="10"/>
      <c r="S5" s="1"/>
    </row>
    <row r="6" spans="1:19" x14ac:dyDescent="0.25">
      <c r="A6" s="1" t="s">
        <v>15</v>
      </c>
      <c r="B6" s="30">
        <v>3</v>
      </c>
      <c r="C6" s="1"/>
      <c r="D6" s="10"/>
      <c r="E6" s="1"/>
      <c r="F6" s="1"/>
      <c r="G6" s="1"/>
      <c r="H6" s="1"/>
      <c r="I6" s="1"/>
      <c r="J6" s="1"/>
      <c r="K6" s="9" t="s">
        <v>13</v>
      </c>
      <c r="L6" s="30">
        <v>2025</v>
      </c>
      <c r="M6" s="1"/>
      <c r="N6" s="1"/>
      <c r="O6" s="1"/>
      <c r="P6" s="1"/>
      <c r="Q6" s="1"/>
      <c r="R6" s="1"/>
      <c r="S6" s="1"/>
    </row>
    <row r="7" spans="1:19" x14ac:dyDescent="0.25">
      <c r="A7" s="1"/>
      <c r="B7" s="1"/>
      <c r="C7" s="1"/>
      <c r="D7" s="10"/>
      <c r="E7" s="1"/>
      <c r="F7" s="1"/>
      <c r="G7" s="1"/>
      <c r="H7" s="1"/>
      <c r="I7" s="1"/>
      <c r="J7" s="1"/>
      <c r="K7" s="1"/>
      <c r="L7" s="44"/>
      <c r="M7" s="1"/>
      <c r="N7" s="1"/>
      <c r="O7" s="1"/>
      <c r="P7" s="1"/>
      <c r="Q7" s="1"/>
      <c r="R7" s="1"/>
      <c r="S7" s="1"/>
    </row>
    <row r="8" spans="1:19" ht="15.75" thickBot="1" x14ac:dyDescent="0.3">
      <c r="A8" s="2"/>
      <c r="B8" s="2"/>
      <c r="C8" s="2"/>
      <c r="D8" s="20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3"/>
      <c r="S8" s="1"/>
    </row>
    <row r="9" spans="1:19" x14ac:dyDescent="0.25">
      <c r="A9" s="150" t="s">
        <v>148</v>
      </c>
      <c r="B9" s="152" t="s">
        <v>11</v>
      </c>
      <c r="C9" s="152"/>
      <c r="D9" s="152"/>
      <c r="E9" s="152"/>
      <c r="F9" s="152"/>
      <c r="G9" s="152"/>
      <c r="H9" s="152"/>
      <c r="I9" s="1"/>
      <c r="J9" s="153" t="s">
        <v>149</v>
      </c>
      <c r="K9" s="136" t="s">
        <v>11</v>
      </c>
      <c r="L9" s="136"/>
      <c r="M9" s="136"/>
      <c r="N9" s="136"/>
      <c r="O9" s="136"/>
      <c r="P9" s="136"/>
      <c r="Q9" s="137"/>
      <c r="R9" s="4"/>
      <c r="S9" s="1"/>
    </row>
    <row r="10" spans="1:19" x14ac:dyDescent="0.25">
      <c r="A10" s="151"/>
      <c r="B10" s="30" t="s">
        <v>8</v>
      </c>
      <c r="C10" s="30" t="s">
        <v>9</v>
      </c>
      <c r="D10" s="30" t="s">
        <v>10</v>
      </c>
      <c r="E10" s="30" t="s">
        <v>154</v>
      </c>
      <c r="F10" s="30" t="s">
        <v>155</v>
      </c>
      <c r="G10" s="30" t="s">
        <v>147</v>
      </c>
      <c r="H10" s="30" t="s">
        <v>11</v>
      </c>
      <c r="I10" s="1"/>
      <c r="J10" s="154"/>
      <c r="K10" s="30" t="s">
        <v>8</v>
      </c>
      <c r="L10" s="30" t="s">
        <v>9</v>
      </c>
      <c r="M10" s="30" t="s">
        <v>10</v>
      </c>
      <c r="N10" s="30" t="s">
        <v>154</v>
      </c>
      <c r="O10" s="30" t="s">
        <v>155</v>
      </c>
      <c r="P10" s="30" t="s">
        <v>147</v>
      </c>
      <c r="Q10" s="54" t="s">
        <v>11</v>
      </c>
      <c r="R10" s="4"/>
      <c r="S10" s="1"/>
    </row>
    <row r="11" spans="1:19" x14ac:dyDescent="0.25">
      <c r="A11" s="15" t="s">
        <v>0</v>
      </c>
      <c r="B11" s="16">
        <f t="shared" ref="B11:G11" si="0">B12+B51+B69+B82+B95</f>
        <v>12516</v>
      </c>
      <c r="C11" s="16">
        <f t="shared" si="0"/>
        <v>19075</v>
      </c>
      <c r="D11" s="16">
        <f t="shared" si="0"/>
        <v>17648</v>
      </c>
      <c r="E11" s="16">
        <f t="shared" si="0"/>
        <v>779</v>
      </c>
      <c r="F11" s="16">
        <f t="shared" si="0"/>
        <v>504</v>
      </c>
      <c r="G11" s="16">
        <f t="shared" si="0"/>
        <v>71</v>
      </c>
      <c r="H11" s="12">
        <f>SUM(B11:G11)</f>
        <v>50593</v>
      </c>
      <c r="I11" s="1"/>
      <c r="J11" s="79" t="s">
        <v>85</v>
      </c>
      <c r="K11" s="74">
        <f t="shared" ref="K11:P11" si="1">SUM(K12:K23)</f>
        <v>1600</v>
      </c>
      <c r="L11" s="74">
        <f t="shared" si="1"/>
        <v>0</v>
      </c>
      <c r="M11" s="74">
        <f t="shared" si="1"/>
        <v>2061</v>
      </c>
      <c r="N11" s="74">
        <f t="shared" si="1"/>
        <v>4</v>
      </c>
      <c r="O11" s="74">
        <f t="shared" si="1"/>
        <v>1</v>
      </c>
      <c r="P11" s="74">
        <f t="shared" si="1"/>
        <v>0</v>
      </c>
      <c r="Q11" s="80">
        <f t="shared" ref="Q11:Q23" si="2">SUM(K11:P11)</f>
        <v>3666</v>
      </c>
      <c r="R11" s="4"/>
      <c r="S11" s="1"/>
    </row>
    <row r="12" spans="1:19" x14ac:dyDescent="0.25">
      <c r="A12" s="73" t="s">
        <v>1</v>
      </c>
      <c r="B12" s="74">
        <f t="shared" ref="B12:G12" si="3">SUM(B13:B50)</f>
        <v>7738</v>
      </c>
      <c r="C12" s="74">
        <f t="shared" si="3"/>
        <v>11970</v>
      </c>
      <c r="D12" s="74">
        <f t="shared" si="3"/>
        <v>10010</v>
      </c>
      <c r="E12" s="74">
        <f t="shared" si="3"/>
        <v>521</v>
      </c>
      <c r="F12" s="74">
        <f t="shared" si="3"/>
        <v>326</v>
      </c>
      <c r="G12" s="74">
        <f t="shared" si="3"/>
        <v>61</v>
      </c>
      <c r="H12" s="74">
        <f>SUM(B12:G12)</f>
        <v>30626</v>
      </c>
      <c r="I12" s="1"/>
      <c r="J12" s="55" t="s">
        <v>4</v>
      </c>
      <c r="K12" s="68">
        <v>0</v>
      </c>
      <c r="L12" s="68">
        <v>0</v>
      </c>
      <c r="M12" s="68">
        <v>39</v>
      </c>
      <c r="N12" s="68">
        <v>2</v>
      </c>
      <c r="O12" s="68">
        <v>0</v>
      </c>
      <c r="P12" s="68">
        <v>0</v>
      </c>
      <c r="Q12" s="40">
        <f t="shared" si="2"/>
        <v>41</v>
      </c>
      <c r="R12" s="4"/>
      <c r="S12" s="1"/>
    </row>
    <row r="13" spans="1:19" x14ac:dyDescent="0.25">
      <c r="A13" s="8" t="s">
        <v>17</v>
      </c>
      <c r="B13" s="17">
        <v>27</v>
      </c>
      <c r="C13" s="11">
        <v>5</v>
      </c>
      <c r="D13" s="11">
        <v>77</v>
      </c>
      <c r="E13" s="11">
        <v>3</v>
      </c>
      <c r="F13" s="11">
        <v>8</v>
      </c>
      <c r="G13" s="11">
        <v>2</v>
      </c>
      <c r="H13" s="12">
        <f>SUM(B13:G13)</f>
        <v>122</v>
      </c>
      <c r="I13" s="1"/>
      <c r="J13" s="55" t="s">
        <v>81</v>
      </c>
      <c r="K13" s="68">
        <v>0</v>
      </c>
      <c r="L13" s="68">
        <v>0</v>
      </c>
      <c r="M13" s="68">
        <v>8</v>
      </c>
      <c r="N13" s="68">
        <v>0</v>
      </c>
      <c r="O13" s="68">
        <v>0</v>
      </c>
      <c r="P13" s="68">
        <v>0</v>
      </c>
      <c r="Q13" s="40">
        <f t="shared" si="2"/>
        <v>8</v>
      </c>
      <c r="R13" s="4"/>
      <c r="S13" s="1"/>
    </row>
    <row r="14" spans="1:19" x14ac:dyDescent="0.25">
      <c r="A14" s="7" t="s">
        <v>18</v>
      </c>
      <c r="B14" s="17">
        <v>31</v>
      </c>
      <c r="C14" s="11">
        <v>5</v>
      </c>
      <c r="D14" s="11">
        <v>38</v>
      </c>
      <c r="E14" s="11">
        <v>1</v>
      </c>
      <c r="F14" s="11">
        <v>2</v>
      </c>
      <c r="G14" s="11">
        <v>0</v>
      </c>
      <c r="H14" s="12">
        <f t="shared" ref="H14:H48" si="4">SUM(B14:G14)</f>
        <v>77</v>
      </c>
      <c r="I14" s="1"/>
      <c r="J14" s="56" t="s">
        <v>5</v>
      </c>
      <c r="K14" s="68">
        <v>8</v>
      </c>
      <c r="L14" s="68">
        <v>0</v>
      </c>
      <c r="M14" s="68">
        <v>96</v>
      </c>
      <c r="N14" s="68">
        <v>2</v>
      </c>
      <c r="O14" s="68">
        <v>1</v>
      </c>
      <c r="P14" s="68">
        <v>0</v>
      </c>
      <c r="Q14" s="40">
        <f>SUM(K14:P14)</f>
        <v>107</v>
      </c>
      <c r="R14" s="4"/>
      <c r="S14" s="1"/>
    </row>
    <row r="15" spans="1:19" x14ac:dyDescent="0.25">
      <c r="A15" s="7" t="s">
        <v>19</v>
      </c>
      <c r="B15" s="17">
        <v>25</v>
      </c>
      <c r="C15" s="11">
        <v>102</v>
      </c>
      <c r="D15" s="13">
        <v>20</v>
      </c>
      <c r="E15" s="13">
        <v>2</v>
      </c>
      <c r="F15" s="13">
        <v>2</v>
      </c>
      <c r="G15" s="13">
        <v>0</v>
      </c>
      <c r="H15" s="12">
        <f>SUM(B15:G15)</f>
        <v>151</v>
      </c>
      <c r="I15" s="1"/>
      <c r="J15" s="56" t="s">
        <v>80</v>
      </c>
      <c r="K15" s="68">
        <v>80</v>
      </c>
      <c r="L15" s="68">
        <v>0</v>
      </c>
      <c r="M15" s="68">
        <v>66</v>
      </c>
      <c r="N15" s="68">
        <v>0</v>
      </c>
      <c r="O15" s="68">
        <v>0</v>
      </c>
      <c r="P15" s="68">
        <v>0</v>
      </c>
      <c r="Q15" s="40">
        <f t="shared" si="2"/>
        <v>146</v>
      </c>
      <c r="R15" s="4"/>
      <c r="S15" s="1"/>
    </row>
    <row r="16" spans="1:19" x14ac:dyDescent="0.25">
      <c r="A16" s="7" t="s">
        <v>27</v>
      </c>
      <c r="B16" s="10">
        <v>803</v>
      </c>
      <c r="C16" s="11">
        <v>1618</v>
      </c>
      <c r="D16" s="11">
        <v>1124</v>
      </c>
      <c r="E16" s="11">
        <v>89</v>
      </c>
      <c r="F16" s="11">
        <v>36</v>
      </c>
      <c r="G16" s="11">
        <v>6</v>
      </c>
      <c r="H16" s="12">
        <f t="shared" si="4"/>
        <v>3676</v>
      </c>
      <c r="I16" s="1"/>
      <c r="J16" s="57" t="s">
        <v>83</v>
      </c>
      <c r="K16" s="69">
        <v>8</v>
      </c>
      <c r="L16" s="69">
        <v>0</v>
      </c>
      <c r="M16" s="69">
        <v>0</v>
      </c>
      <c r="N16" s="69">
        <v>0</v>
      </c>
      <c r="O16" s="69">
        <v>0</v>
      </c>
      <c r="P16" s="69">
        <v>0</v>
      </c>
      <c r="Q16" s="40">
        <f t="shared" si="2"/>
        <v>8</v>
      </c>
      <c r="R16" s="4"/>
      <c r="S16" s="1"/>
    </row>
    <row r="17" spans="1:19" x14ac:dyDescent="0.25">
      <c r="A17" s="7" t="s">
        <v>186</v>
      </c>
      <c r="B17" s="10">
        <v>0</v>
      </c>
      <c r="C17" s="11">
        <v>0</v>
      </c>
      <c r="D17" s="11">
        <v>12</v>
      </c>
      <c r="E17" s="11">
        <v>0</v>
      </c>
      <c r="F17" s="11">
        <v>2</v>
      </c>
      <c r="G17" s="11">
        <v>0</v>
      </c>
      <c r="H17" s="12">
        <f t="shared" si="4"/>
        <v>14</v>
      </c>
      <c r="I17" s="1"/>
      <c r="J17" s="50" t="s">
        <v>162</v>
      </c>
      <c r="K17" s="69">
        <v>500</v>
      </c>
      <c r="L17" s="69">
        <v>0</v>
      </c>
      <c r="M17" s="69">
        <v>616</v>
      </c>
      <c r="N17" s="69">
        <v>0</v>
      </c>
      <c r="O17" s="69">
        <v>0</v>
      </c>
      <c r="P17" s="69">
        <v>0</v>
      </c>
      <c r="Q17" s="40">
        <f t="shared" si="2"/>
        <v>1116</v>
      </c>
      <c r="R17" s="4"/>
      <c r="S17" s="1"/>
    </row>
    <row r="18" spans="1:19" x14ac:dyDescent="0.25">
      <c r="A18" s="7" t="s">
        <v>188</v>
      </c>
      <c r="B18" s="10">
        <v>0</v>
      </c>
      <c r="C18" s="11">
        <v>0</v>
      </c>
      <c r="D18" s="11">
        <v>2</v>
      </c>
      <c r="E18" s="11">
        <v>0</v>
      </c>
      <c r="F18" s="11">
        <v>1</v>
      </c>
      <c r="G18" s="11">
        <v>0</v>
      </c>
      <c r="H18" s="12">
        <f t="shared" si="4"/>
        <v>3</v>
      </c>
      <c r="I18" s="1"/>
      <c r="J18" s="50" t="s">
        <v>163</v>
      </c>
      <c r="K18" s="69">
        <v>500</v>
      </c>
      <c r="L18" s="69">
        <v>0</v>
      </c>
      <c r="M18" s="69">
        <v>618</v>
      </c>
      <c r="N18" s="69">
        <v>0</v>
      </c>
      <c r="O18" s="69">
        <v>0</v>
      </c>
      <c r="P18" s="69">
        <v>0</v>
      </c>
      <c r="Q18" s="40">
        <f t="shared" si="2"/>
        <v>1118</v>
      </c>
      <c r="R18" s="4"/>
      <c r="S18" s="1"/>
    </row>
    <row r="19" spans="1:19" x14ac:dyDescent="0.25">
      <c r="A19" s="7" t="s">
        <v>28</v>
      </c>
      <c r="B19" s="17">
        <v>63</v>
      </c>
      <c r="C19" s="11">
        <v>23</v>
      </c>
      <c r="D19" s="11">
        <v>258</v>
      </c>
      <c r="E19" s="11">
        <v>9</v>
      </c>
      <c r="F19" s="11">
        <v>8</v>
      </c>
      <c r="G19" s="11">
        <v>1</v>
      </c>
      <c r="H19" s="12">
        <f t="shared" si="4"/>
        <v>362</v>
      </c>
      <c r="I19" s="1"/>
      <c r="J19" s="50" t="s">
        <v>164</v>
      </c>
      <c r="K19" s="69">
        <v>500</v>
      </c>
      <c r="L19" s="69">
        <v>0</v>
      </c>
      <c r="M19" s="69">
        <v>618</v>
      </c>
      <c r="N19" s="69">
        <v>0</v>
      </c>
      <c r="O19" s="69">
        <v>0</v>
      </c>
      <c r="P19" s="69">
        <v>0</v>
      </c>
      <c r="Q19" s="40">
        <f t="shared" si="2"/>
        <v>1118</v>
      </c>
      <c r="R19" s="4"/>
      <c r="S19" s="1"/>
    </row>
    <row r="20" spans="1:19" x14ac:dyDescent="0.25">
      <c r="A20" s="7" t="s">
        <v>29</v>
      </c>
      <c r="B20" s="10">
        <v>5</v>
      </c>
      <c r="C20" s="11">
        <v>0</v>
      </c>
      <c r="D20" s="11">
        <v>35</v>
      </c>
      <c r="E20" s="11">
        <v>0</v>
      </c>
      <c r="F20" s="11">
        <v>0</v>
      </c>
      <c r="G20" s="11">
        <v>1</v>
      </c>
      <c r="H20" s="12">
        <f t="shared" si="4"/>
        <v>41</v>
      </c>
      <c r="I20" s="1"/>
      <c r="J20" s="50" t="s">
        <v>194</v>
      </c>
      <c r="K20" s="69">
        <v>4</v>
      </c>
      <c r="L20" s="69">
        <v>0</v>
      </c>
      <c r="M20" s="69">
        <v>0</v>
      </c>
      <c r="N20" s="69">
        <v>0</v>
      </c>
      <c r="O20" s="69">
        <v>0</v>
      </c>
      <c r="P20" s="69">
        <v>0</v>
      </c>
      <c r="Q20" s="40">
        <f t="shared" si="2"/>
        <v>4</v>
      </c>
      <c r="R20" s="4"/>
      <c r="S20" s="1"/>
    </row>
    <row r="21" spans="1:19" x14ac:dyDescent="0.25">
      <c r="A21" s="7" t="s">
        <v>20</v>
      </c>
      <c r="B21" s="17">
        <v>942</v>
      </c>
      <c r="C21" s="11">
        <v>1687</v>
      </c>
      <c r="D21" s="11">
        <v>1188</v>
      </c>
      <c r="E21" s="11">
        <v>84</v>
      </c>
      <c r="F21" s="11">
        <v>40</v>
      </c>
      <c r="G21" s="11">
        <v>6</v>
      </c>
      <c r="H21" s="12">
        <f t="shared" si="4"/>
        <v>3947</v>
      </c>
      <c r="I21" s="1"/>
      <c r="J21" s="50" t="s">
        <v>221</v>
      </c>
      <c r="K21" s="69">
        <v>0</v>
      </c>
      <c r="L21" s="69">
        <v>0</v>
      </c>
      <c r="M21" s="69">
        <v>0</v>
      </c>
      <c r="N21" s="69">
        <v>0</v>
      </c>
      <c r="O21" s="69">
        <v>0</v>
      </c>
      <c r="P21" s="69">
        <v>0</v>
      </c>
      <c r="Q21" s="40">
        <f t="shared" si="2"/>
        <v>0</v>
      </c>
      <c r="R21" s="4"/>
      <c r="S21" s="1"/>
    </row>
    <row r="22" spans="1:19" x14ac:dyDescent="0.25">
      <c r="A22" s="7" t="s">
        <v>25</v>
      </c>
      <c r="B22" s="17">
        <v>0</v>
      </c>
      <c r="C22" s="11">
        <v>0</v>
      </c>
      <c r="D22" s="11">
        <v>2</v>
      </c>
      <c r="E22" s="11">
        <v>0</v>
      </c>
      <c r="F22" s="11">
        <v>0</v>
      </c>
      <c r="G22" s="11">
        <v>0</v>
      </c>
      <c r="H22" s="12">
        <f t="shared" si="4"/>
        <v>2</v>
      </c>
      <c r="I22" s="1"/>
      <c r="J22" s="58" t="s">
        <v>6</v>
      </c>
      <c r="K22" s="68">
        <v>0</v>
      </c>
      <c r="L22" s="68">
        <v>0</v>
      </c>
      <c r="M22" s="68">
        <v>0</v>
      </c>
      <c r="N22" s="68">
        <v>0</v>
      </c>
      <c r="O22" s="68">
        <v>0</v>
      </c>
      <c r="P22" s="68">
        <v>0</v>
      </c>
      <c r="Q22" s="40">
        <f t="shared" si="2"/>
        <v>0</v>
      </c>
      <c r="R22" s="4"/>
      <c r="S22" s="1"/>
    </row>
    <row r="23" spans="1:19" ht="15.75" thickBot="1" x14ac:dyDescent="0.3">
      <c r="A23" s="7" t="s">
        <v>218</v>
      </c>
      <c r="B23" s="17">
        <v>0</v>
      </c>
      <c r="C23" s="11">
        <v>0</v>
      </c>
      <c r="D23" s="11">
        <v>8</v>
      </c>
      <c r="E23" s="11">
        <v>0</v>
      </c>
      <c r="F23" s="11">
        <v>0</v>
      </c>
      <c r="G23" s="11">
        <v>0</v>
      </c>
      <c r="H23" s="12">
        <f t="shared" si="4"/>
        <v>8</v>
      </c>
      <c r="I23" s="1"/>
      <c r="J23" s="59" t="s">
        <v>7</v>
      </c>
      <c r="K23" s="94">
        <v>0</v>
      </c>
      <c r="L23" s="94">
        <v>0</v>
      </c>
      <c r="M23" s="94">
        <v>0</v>
      </c>
      <c r="N23" s="94">
        <v>0</v>
      </c>
      <c r="O23" s="94">
        <v>0</v>
      </c>
      <c r="P23" s="94">
        <v>0</v>
      </c>
      <c r="Q23" s="46">
        <f t="shared" si="2"/>
        <v>0</v>
      </c>
      <c r="R23" s="4"/>
      <c r="S23" s="1"/>
    </row>
    <row r="24" spans="1:19" x14ac:dyDescent="0.25">
      <c r="A24" s="7" t="s">
        <v>21</v>
      </c>
      <c r="B24" s="17">
        <v>933</v>
      </c>
      <c r="C24" s="11">
        <v>1687</v>
      </c>
      <c r="D24" s="11">
        <v>1142</v>
      </c>
      <c r="E24" s="11">
        <v>76</v>
      </c>
      <c r="F24" s="11">
        <v>40</v>
      </c>
      <c r="G24" s="11">
        <v>6</v>
      </c>
      <c r="H24" s="12">
        <f t="shared" si="4"/>
        <v>3884</v>
      </c>
      <c r="I24" s="1"/>
      <c r="J24" s="1"/>
      <c r="K24" s="1"/>
      <c r="L24" s="1"/>
      <c r="M24" s="1"/>
      <c r="N24" s="1"/>
      <c r="O24" s="1"/>
      <c r="P24" s="1"/>
      <c r="Q24" s="1"/>
      <c r="R24" s="4"/>
      <c r="S24" s="1"/>
    </row>
    <row r="25" spans="1:19" ht="15.75" thickBot="1" x14ac:dyDescent="0.3">
      <c r="A25" s="7" t="s">
        <v>24</v>
      </c>
      <c r="B25" s="17">
        <v>37</v>
      </c>
      <c r="C25" s="11">
        <v>4</v>
      </c>
      <c r="D25" s="11">
        <v>61</v>
      </c>
      <c r="E25" s="11">
        <v>1</v>
      </c>
      <c r="F25" s="11">
        <v>4</v>
      </c>
      <c r="G25" s="11">
        <v>0</v>
      </c>
      <c r="H25" s="12">
        <f t="shared" si="4"/>
        <v>107</v>
      </c>
      <c r="I25" s="1"/>
      <c r="J25" s="1"/>
      <c r="K25" s="1"/>
      <c r="L25" s="1"/>
      <c r="M25" s="1"/>
      <c r="N25" s="1"/>
      <c r="O25" s="1"/>
      <c r="P25" s="1"/>
      <c r="Q25" s="1"/>
      <c r="R25" s="4"/>
      <c r="S25" s="1"/>
    </row>
    <row r="26" spans="1:19" x14ac:dyDescent="0.25">
      <c r="A26" s="7" t="s">
        <v>79</v>
      </c>
      <c r="B26" s="17">
        <v>12</v>
      </c>
      <c r="C26" s="11">
        <v>642</v>
      </c>
      <c r="D26" s="11">
        <v>541</v>
      </c>
      <c r="E26" s="11">
        <v>15</v>
      </c>
      <c r="F26" s="11">
        <v>15</v>
      </c>
      <c r="G26" s="11">
        <v>1</v>
      </c>
      <c r="H26" s="12">
        <f t="shared" si="4"/>
        <v>1226</v>
      </c>
      <c r="I26" s="1"/>
      <c r="J26" s="134" t="s">
        <v>169</v>
      </c>
      <c r="K26" s="136" t="s">
        <v>11</v>
      </c>
      <c r="L26" s="136"/>
      <c r="M26" s="136"/>
      <c r="N26" s="136"/>
      <c r="O26" s="136"/>
      <c r="P26" s="136"/>
      <c r="Q26" s="137"/>
      <c r="R26" s="4"/>
      <c r="S26" s="1"/>
    </row>
    <row r="27" spans="1:19" x14ac:dyDescent="0.25">
      <c r="A27" s="7" t="s">
        <v>75</v>
      </c>
      <c r="B27" s="17">
        <v>11</v>
      </c>
      <c r="C27" s="11">
        <v>642</v>
      </c>
      <c r="D27" s="11">
        <v>541</v>
      </c>
      <c r="E27" s="11">
        <v>14</v>
      </c>
      <c r="F27" s="11">
        <v>15</v>
      </c>
      <c r="G27" s="11">
        <v>1</v>
      </c>
      <c r="H27" s="12">
        <f t="shared" si="4"/>
        <v>1224</v>
      </c>
      <c r="I27" s="1"/>
      <c r="J27" s="135"/>
      <c r="K27" s="30" t="s">
        <v>8</v>
      </c>
      <c r="L27" s="30" t="s">
        <v>9</v>
      </c>
      <c r="M27" s="30" t="s">
        <v>176</v>
      </c>
      <c r="N27" s="30" t="s">
        <v>154</v>
      </c>
      <c r="O27" s="30" t="s">
        <v>155</v>
      </c>
      <c r="P27" s="60" t="s">
        <v>147</v>
      </c>
      <c r="Q27" s="54" t="s">
        <v>11</v>
      </c>
      <c r="R27" s="4"/>
      <c r="S27" s="1"/>
    </row>
    <row r="28" spans="1:19" x14ac:dyDescent="0.25">
      <c r="A28" s="7" t="s">
        <v>76</v>
      </c>
      <c r="B28" s="17">
        <v>658</v>
      </c>
      <c r="C28" s="11">
        <v>681</v>
      </c>
      <c r="D28" s="11">
        <v>607</v>
      </c>
      <c r="E28" s="11">
        <v>17</v>
      </c>
      <c r="F28" s="11">
        <v>17</v>
      </c>
      <c r="G28" s="11">
        <v>1</v>
      </c>
      <c r="H28" s="12">
        <f t="shared" si="4"/>
        <v>1981</v>
      </c>
      <c r="I28" s="1"/>
      <c r="J28" s="79" t="s">
        <v>146</v>
      </c>
      <c r="K28" s="74">
        <f t="shared" ref="K28:P28" si="5">SUM(K29:K37)</f>
        <v>62</v>
      </c>
      <c r="L28" s="74">
        <f t="shared" si="5"/>
        <v>298</v>
      </c>
      <c r="M28" s="74">
        <f t="shared" si="5"/>
        <v>214</v>
      </c>
      <c r="N28" s="74">
        <f t="shared" si="5"/>
        <v>0</v>
      </c>
      <c r="O28" s="74">
        <f t="shared" si="5"/>
        <v>0</v>
      </c>
      <c r="P28" s="74">
        <f t="shared" si="5"/>
        <v>0</v>
      </c>
      <c r="Q28" s="80">
        <f>SUM(K28:P28)</f>
        <v>574</v>
      </c>
      <c r="R28" s="4"/>
      <c r="S28" s="1"/>
    </row>
    <row r="29" spans="1:19" x14ac:dyDescent="0.25">
      <c r="A29" s="7" t="s">
        <v>74</v>
      </c>
      <c r="B29" s="17">
        <v>675</v>
      </c>
      <c r="C29" s="11">
        <v>681</v>
      </c>
      <c r="D29" s="11">
        <v>609</v>
      </c>
      <c r="E29" s="11">
        <v>4</v>
      </c>
      <c r="F29" s="11">
        <v>17</v>
      </c>
      <c r="G29" s="11">
        <v>2</v>
      </c>
      <c r="H29" s="12">
        <f t="shared" si="4"/>
        <v>1988</v>
      </c>
      <c r="I29" s="1"/>
      <c r="J29" s="45" t="s">
        <v>64</v>
      </c>
      <c r="K29" s="68">
        <v>19</v>
      </c>
      <c r="L29" s="68">
        <v>2</v>
      </c>
      <c r="M29" s="68">
        <v>103</v>
      </c>
      <c r="N29" s="68">
        <v>0</v>
      </c>
      <c r="O29" s="68">
        <v>0</v>
      </c>
      <c r="P29" s="69">
        <v>0</v>
      </c>
      <c r="Q29" s="40">
        <f>SUM(K29:P29)</f>
        <v>124</v>
      </c>
      <c r="R29" s="4"/>
      <c r="S29" s="1"/>
    </row>
    <row r="30" spans="1:19" x14ac:dyDescent="0.25">
      <c r="A30" s="7" t="s">
        <v>22</v>
      </c>
      <c r="B30" s="17">
        <v>677</v>
      </c>
      <c r="C30" s="11">
        <v>700</v>
      </c>
      <c r="D30" s="11">
        <v>746</v>
      </c>
      <c r="E30" s="11">
        <v>35</v>
      </c>
      <c r="F30" s="11">
        <v>23</v>
      </c>
      <c r="G30" s="11">
        <v>4</v>
      </c>
      <c r="H30" s="12">
        <f t="shared" si="4"/>
        <v>2185</v>
      </c>
      <c r="I30" s="1"/>
      <c r="J30" s="45" t="s">
        <v>170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9">
        <v>0</v>
      </c>
      <c r="Q30" s="40">
        <f>SUM(K30:P30)</f>
        <v>0</v>
      </c>
      <c r="R30" s="4"/>
      <c r="S30" s="1"/>
    </row>
    <row r="31" spans="1:19" x14ac:dyDescent="0.25">
      <c r="A31" s="7" t="s">
        <v>23</v>
      </c>
      <c r="B31" s="17">
        <v>676</v>
      </c>
      <c r="C31" s="11">
        <v>700</v>
      </c>
      <c r="D31" s="11">
        <v>747</v>
      </c>
      <c r="E31" s="11">
        <v>36</v>
      </c>
      <c r="F31" s="11">
        <v>23</v>
      </c>
      <c r="G31" s="11">
        <v>4</v>
      </c>
      <c r="H31" s="12">
        <f t="shared" si="4"/>
        <v>2186</v>
      </c>
      <c r="I31" s="1"/>
      <c r="J31" s="45" t="s">
        <v>171</v>
      </c>
      <c r="K31" s="68">
        <v>0</v>
      </c>
      <c r="L31" s="68">
        <v>0</v>
      </c>
      <c r="M31" s="68">
        <v>12</v>
      </c>
      <c r="N31" s="68">
        <v>0</v>
      </c>
      <c r="O31" s="68">
        <v>0</v>
      </c>
      <c r="P31" s="69">
        <v>0</v>
      </c>
      <c r="Q31" s="40">
        <f>SUM(K31:P31)</f>
        <v>12</v>
      </c>
      <c r="R31" s="4"/>
      <c r="S31" s="1"/>
    </row>
    <row r="32" spans="1:19" ht="14.25" customHeight="1" x14ac:dyDescent="0.25">
      <c r="A32" s="7" t="s">
        <v>202</v>
      </c>
      <c r="B32" s="17">
        <v>0</v>
      </c>
      <c r="C32" s="11">
        <v>0</v>
      </c>
      <c r="D32" s="11">
        <v>4</v>
      </c>
      <c r="E32" s="11">
        <v>0</v>
      </c>
      <c r="F32" s="11">
        <v>0</v>
      </c>
      <c r="G32" s="11">
        <v>0</v>
      </c>
      <c r="H32" s="12">
        <f t="shared" si="4"/>
        <v>4</v>
      </c>
      <c r="I32" s="1"/>
      <c r="J32" s="49" t="s">
        <v>65</v>
      </c>
      <c r="K32" s="68">
        <v>35</v>
      </c>
      <c r="L32" s="68">
        <v>292</v>
      </c>
      <c r="M32" s="68">
        <v>11</v>
      </c>
      <c r="N32" s="68">
        <v>0</v>
      </c>
      <c r="O32" s="68">
        <v>0</v>
      </c>
      <c r="P32" s="69">
        <v>0</v>
      </c>
      <c r="Q32" s="40">
        <f t="shared" ref="Q32:Q37" si="6">SUM(K32:P32)</f>
        <v>338</v>
      </c>
      <c r="R32" s="4"/>
      <c r="S32" s="1"/>
    </row>
    <row r="33" spans="1:19" ht="15.75" customHeight="1" x14ac:dyDescent="0.25">
      <c r="A33" s="7" t="s">
        <v>159</v>
      </c>
      <c r="B33" s="17">
        <v>243</v>
      </c>
      <c r="C33" s="11">
        <v>172</v>
      </c>
      <c r="D33" s="11">
        <v>77</v>
      </c>
      <c r="E33" s="11">
        <v>4</v>
      </c>
      <c r="F33" s="11">
        <v>1</v>
      </c>
      <c r="G33" s="11">
        <v>0</v>
      </c>
      <c r="H33" s="12">
        <f t="shared" si="4"/>
        <v>497</v>
      </c>
      <c r="I33" s="1"/>
      <c r="J33" s="50" t="s">
        <v>130</v>
      </c>
      <c r="K33" s="70">
        <v>0</v>
      </c>
      <c r="L33" s="70">
        <v>0</v>
      </c>
      <c r="M33" s="70">
        <v>66</v>
      </c>
      <c r="N33" s="70">
        <v>0</v>
      </c>
      <c r="O33" s="70">
        <v>0</v>
      </c>
      <c r="P33" s="69">
        <v>0</v>
      </c>
      <c r="Q33" s="40">
        <f t="shared" si="6"/>
        <v>66</v>
      </c>
      <c r="R33" s="4"/>
      <c r="S33" s="1"/>
    </row>
    <row r="34" spans="1:19" x14ac:dyDescent="0.25">
      <c r="A34" s="7" t="s">
        <v>26</v>
      </c>
      <c r="B34" s="17">
        <v>361</v>
      </c>
      <c r="C34" s="11">
        <v>527</v>
      </c>
      <c r="D34" s="11">
        <v>115</v>
      </c>
      <c r="E34" s="11">
        <v>13</v>
      </c>
      <c r="F34" s="11">
        <v>2</v>
      </c>
      <c r="G34" s="11">
        <v>1</v>
      </c>
      <c r="H34" s="12">
        <f t="shared" si="4"/>
        <v>1019</v>
      </c>
      <c r="I34" s="1"/>
      <c r="J34" s="67" t="s">
        <v>131</v>
      </c>
      <c r="K34" s="65">
        <v>0</v>
      </c>
      <c r="L34" s="65">
        <v>0</v>
      </c>
      <c r="M34" s="65">
        <v>21</v>
      </c>
      <c r="N34" s="65">
        <v>0</v>
      </c>
      <c r="O34" s="65">
        <v>0</v>
      </c>
      <c r="P34" s="31">
        <v>0</v>
      </c>
      <c r="Q34" s="40">
        <f t="shared" si="6"/>
        <v>21</v>
      </c>
      <c r="R34" s="4"/>
      <c r="S34" s="1"/>
    </row>
    <row r="35" spans="1:19" x14ac:dyDescent="0.25">
      <c r="A35" s="7" t="s">
        <v>82</v>
      </c>
      <c r="B35" s="17">
        <v>504</v>
      </c>
      <c r="C35" s="11">
        <v>475</v>
      </c>
      <c r="D35" s="11">
        <v>463</v>
      </c>
      <c r="E35" s="11">
        <v>11</v>
      </c>
      <c r="F35" s="11">
        <v>14</v>
      </c>
      <c r="G35" s="11">
        <v>1</v>
      </c>
      <c r="H35" s="12">
        <f t="shared" si="4"/>
        <v>1468</v>
      </c>
      <c r="I35" s="1"/>
      <c r="J35" s="67" t="s">
        <v>160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31">
        <v>0</v>
      </c>
      <c r="Q35" s="40">
        <f t="shared" si="6"/>
        <v>0</v>
      </c>
      <c r="R35" s="4"/>
      <c r="S35" s="1"/>
    </row>
    <row r="36" spans="1:19" x14ac:dyDescent="0.25">
      <c r="A36" s="7" t="s">
        <v>30</v>
      </c>
      <c r="B36" s="17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2">
        <f t="shared" si="4"/>
        <v>0</v>
      </c>
      <c r="I36" s="1"/>
      <c r="J36" s="67" t="s">
        <v>211</v>
      </c>
      <c r="K36" s="65">
        <v>8</v>
      </c>
      <c r="L36" s="65">
        <v>4</v>
      </c>
      <c r="M36" s="65">
        <v>1</v>
      </c>
      <c r="N36" s="65">
        <v>0</v>
      </c>
      <c r="O36" s="65">
        <v>0</v>
      </c>
      <c r="P36" s="31">
        <v>0</v>
      </c>
      <c r="Q36" s="40">
        <f t="shared" si="6"/>
        <v>13</v>
      </c>
      <c r="R36" s="4"/>
      <c r="S36" s="1"/>
    </row>
    <row r="37" spans="1:19" ht="15.75" thickBot="1" x14ac:dyDescent="0.3">
      <c r="A37" s="7" t="s">
        <v>31</v>
      </c>
      <c r="B37" s="17">
        <v>12</v>
      </c>
      <c r="C37" s="11">
        <v>29</v>
      </c>
      <c r="D37" s="11">
        <v>1</v>
      </c>
      <c r="E37" s="11">
        <v>0</v>
      </c>
      <c r="F37" s="11">
        <v>0</v>
      </c>
      <c r="G37" s="11">
        <v>0</v>
      </c>
      <c r="H37" s="12">
        <f t="shared" si="4"/>
        <v>42</v>
      </c>
      <c r="I37" s="1"/>
      <c r="J37" s="51" t="s">
        <v>161</v>
      </c>
      <c r="K37" s="71">
        <v>0</v>
      </c>
      <c r="L37" s="71">
        <v>0</v>
      </c>
      <c r="M37" s="71">
        <v>0</v>
      </c>
      <c r="N37" s="71">
        <v>0</v>
      </c>
      <c r="O37" s="71">
        <v>0</v>
      </c>
      <c r="P37" s="72">
        <v>0</v>
      </c>
      <c r="Q37" s="46">
        <f t="shared" si="6"/>
        <v>0</v>
      </c>
      <c r="R37" s="4"/>
      <c r="S37" s="1"/>
    </row>
    <row r="38" spans="1:19" ht="15.75" thickBot="1" x14ac:dyDescent="0.3">
      <c r="A38" s="7" t="s">
        <v>66</v>
      </c>
      <c r="B38" s="17">
        <v>93</v>
      </c>
      <c r="C38" s="11">
        <v>70</v>
      </c>
      <c r="D38" s="11">
        <v>403</v>
      </c>
      <c r="E38" s="11">
        <v>27</v>
      </c>
      <c r="F38" s="11">
        <v>14</v>
      </c>
      <c r="G38" s="11">
        <v>6</v>
      </c>
      <c r="H38" s="12">
        <f t="shared" si="4"/>
        <v>613</v>
      </c>
      <c r="I38" s="1"/>
      <c r="J38" s="34"/>
      <c r="K38" s="34"/>
      <c r="L38" s="34"/>
      <c r="M38" s="34"/>
      <c r="N38" s="34"/>
      <c r="O38" s="34"/>
      <c r="P38" s="34"/>
      <c r="R38" s="4"/>
      <c r="S38" s="1"/>
    </row>
    <row r="39" spans="1:19" x14ac:dyDescent="0.25">
      <c r="A39" s="7" t="s">
        <v>67</v>
      </c>
      <c r="B39" s="17">
        <v>94</v>
      </c>
      <c r="C39" s="11">
        <v>70</v>
      </c>
      <c r="D39" s="11">
        <v>403</v>
      </c>
      <c r="E39" s="11">
        <v>29</v>
      </c>
      <c r="F39" s="11">
        <v>14</v>
      </c>
      <c r="G39" s="11">
        <v>7</v>
      </c>
      <c r="H39" s="12">
        <f t="shared" si="4"/>
        <v>617</v>
      </c>
      <c r="I39" s="1"/>
      <c r="J39" s="134" t="s">
        <v>136</v>
      </c>
      <c r="K39" s="136" t="s">
        <v>11</v>
      </c>
      <c r="L39" s="136"/>
      <c r="M39" s="136"/>
      <c r="N39" s="136"/>
      <c r="O39" s="136"/>
      <c r="P39" s="136"/>
      <c r="Q39" s="137"/>
      <c r="R39" s="4"/>
      <c r="S39" s="1"/>
    </row>
    <row r="40" spans="1:19" x14ac:dyDescent="0.25">
      <c r="A40" s="7" t="s">
        <v>77</v>
      </c>
      <c r="B40" s="17">
        <v>69</v>
      </c>
      <c r="C40" s="11">
        <v>7</v>
      </c>
      <c r="D40" s="11">
        <v>275</v>
      </c>
      <c r="E40" s="11">
        <v>12</v>
      </c>
      <c r="F40" s="11">
        <v>10</v>
      </c>
      <c r="G40" s="11">
        <v>5</v>
      </c>
      <c r="H40" s="12">
        <f t="shared" si="4"/>
        <v>378</v>
      </c>
      <c r="I40" s="1"/>
      <c r="J40" s="135"/>
      <c r="K40" s="30" t="s">
        <v>8</v>
      </c>
      <c r="L40" s="30" t="s">
        <v>9</v>
      </c>
      <c r="M40" s="30" t="s">
        <v>10</v>
      </c>
      <c r="N40" s="30" t="s">
        <v>154</v>
      </c>
      <c r="O40" s="30" t="s">
        <v>155</v>
      </c>
      <c r="P40" s="30" t="s">
        <v>147</v>
      </c>
      <c r="Q40" s="54" t="s">
        <v>11</v>
      </c>
      <c r="R40" s="4"/>
      <c r="S40" s="1"/>
    </row>
    <row r="41" spans="1:19" ht="15" customHeight="1" thickBot="1" x14ac:dyDescent="0.3">
      <c r="A41" s="7" t="s">
        <v>78</v>
      </c>
      <c r="B41" s="17">
        <v>72</v>
      </c>
      <c r="C41" s="11">
        <v>7</v>
      </c>
      <c r="D41" s="11">
        <v>275</v>
      </c>
      <c r="E41" s="11">
        <v>13</v>
      </c>
      <c r="F41" s="11">
        <v>10</v>
      </c>
      <c r="G41" s="11">
        <v>5</v>
      </c>
      <c r="H41" s="12">
        <f t="shared" si="4"/>
        <v>382</v>
      </c>
      <c r="I41" s="1"/>
      <c r="J41" s="95" t="s">
        <v>150</v>
      </c>
      <c r="K41" s="29">
        <f t="shared" ref="K41:P41" si="7">SUM(K42:K49)</f>
        <v>820</v>
      </c>
      <c r="L41" s="29">
        <f t="shared" si="7"/>
        <v>250</v>
      </c>
      <c r="M41" s="29">
        <f t="shared" si="7"/>
        <v>17</v>
      </c>
      <c r="N41" s="29">
        <f t="shared" si="7"/>
        <v>11</v>
      </c>
      <c r="O41" s="29">
        <f t="shared" si="7"/>
        <v>0</v>
      </c>
      <c r="P41" s="29">
        <f t="shared" si="7"/>
        <v>0</v>
      </c>
      <c r="Q41" s="96">
        <f>SUM(K41:P41)</f>
        <v>1098</v>
      </c>
      <c r="R41" s="4"/>
      <c r="S41" s="1"/>
    </row>
    <row r="42" spans="1:19" x14ac:dyDescent="0.25">
      <c r="A42" s="7" t="s">
        <v>42</v>
      </c>
      <c r="B42" s="17">
        <v>12</v>
      </c>
      <c r="C42" s="11">
        <v>1</v>
      </c>
      <c r="D42" s="11">
        <v>6</v>
      </c>
      <c r="E42" s="11">
        <v>0</v>
      </c>
      <c r="F42" s="11">
        <v>0</v>
      </c>
      <c r="G42" s="11">
        <v>0</v>
      </c>
      <c r="H42" s="12">
        <f t="shared" si="4"/>
        <v>19</v>
      </c>
      <c r="I42" s="1"/>
      <c r="J42" s="97" t="s">
        <v>165</v>
      </c>
      <c r="K42" s="98">
        <v>0</v>
      </c>
      <c r="L42" s="98">
        <v>0</v>
      </c>
      <c r="M42" s="98">
        <v>0</v>
      </c>
      <c r="N42" s="98">
        <v>0</v>
      </c>
      <c r="O42" s="98">
        <v>0</v>
      </c>
      <c r="P42" s="98">
        <v>0</v>
      </c>
      <c r="Q42" s="99">
        <f t="shared" ref="Q42:Q49" si="8">SUM(K42:P42)</f>
        <v>0</v>
      </c>
      <c r="R42" s="4"/>
      <c r="S42" s="1"/>
    </row>
    <row r="43" spans="1:19" x14ac:dyDescent="0.25">
      <c r="A43" s="7" t="s">
        <v>43</v>
      </c>
      <c r="B43" s="17">
        <v>28</v>
      </c>
      <c r="C43" s="11">
        <v>2</v>
      </c>
      <c r="D43" s="11">
        <v>24</v>
      </c>
      <c r="E43" s="11">
        <v>2</v>
      </c>
      <c r="F43" s="11">
        <v>0</v>
      </c>
      <c r="G43" s="11">
        <v>0</v>
      </c>
      <c r="H43" s="12">
        <f t="shared" si="4"/>
        <v>56</v>
      </c>
      <c r="I43" s="1"/>
      <c r="J43" s="86" t="s">
        <v>166</v>
      </c>
      <c r="K43" s="89">
        <v>232</v>
      </c>
      <c r="L43" s="89">
        <v>65</v>
      </c>
      <c r="M43" s="89">
        <v>3</v>
      </c>
      <c r="N43" s="89">
        <v>2</v>
      </c>
      <c r="O43" s="89">
        <v>0</v>
      </c>
      <c r="P43" s="89">
        <v>0</v>
      </c>
      <c r="Q43" s="40">
        <f t="shared" si="8"/>
        <v>302</v>
      </c>
      <c r="R43" s="4"/>
      <c r="S43" s="1"/>
    </row>
    <row r="44" spans="1:19" x14ac:dyDescent="0.25">
      <c r="A44" s="7" t="s">
        <v>101</v>
      </c>
      <c r="B44" s="17">
        <v>19</v>
      </c>
      <c r="C44" s="11">
        <v>0</v>
      </c>
      <c r="D44" s="11">
        <v>6</v>
      </c>
      <c r="E44" s="11">
        <v>1</v>
      </c>
      <c r="F44" s="11">
        <v>0</v>
      </c>
      <c r="G44" s="11">
        <v>0</v>
      </c>
      <c r="H44" s="12">
        <f t="shared" si="4"/>
        <v>26</v>
      </c>
      <c r="I44" s="1"/>
      <c r="J44" s="86" t="s">
        <v>167</v>
      </c>
      <c r="K44" s="89">
        <v>8</v>
      </c>
      <c r="L44" s="89">
        <v>9</v>
      </c>
      <c r="M44" s="89">
        <v>0</v>
      </c>
      <c r="N44" s="89">
        <v>0</v>
      </c>
      <c r="O44" s="89">
        <v>0</v>
      </c>
      <c r="P44" s="89">
        <v>0</v>
      </c>
      <c r="Q44" s="40">
        <f t="shared" si="8"/>
        <v>17</v>
      </c>
      <c r="R44" s="4"/>
      <c r="S44" s="1"/>
    </row>
    <row r="45" spans="1:19" x14ac:dyDescent="0.25">
      <c r="A45" s="7" t="s">
        <v>95</v>
      </c>
      <c r="B45" s="37">
        <v>29</v>
      </c>
      <c r="C45" s="11">
        <v>105</v>
      </c>
      <c r="D45" s="11">
        <v>22</v>
      </c>
      <c r="E45" s="11">
        <v>3</v>
      </c>
      <c r="F45" s="11">
        <v>3</v>
      </c>
      <c r="G45" s="11">
        <v>0</v>
      </c>
      <c r="H45" s="12">
        <f t="shared" si="4"/>
        <v>162</v>
      </c>
      <c r="I45" s="1"/>
      <c r="J45" s="86" t="s">
        <v>168</v>
      </c>
      <c r="K45" s="89">
        <v>16</v>
      </c>
      <c r="L45" s="89">
        <v>11</v>
      </c>
      <c r="M45" s="89">
        <v>0</v>
      </c>
      <c r="N45" s="89">
        <v>0</v>
      </c>
      <c r="O45" s="89">
        <v>0</v>
      </c>
      <c r="P45" s="89">
        <v>0</v>
      </c>
      <c r="Q45" s="40">
        <f>SUM(K45:P45)</f>
        <v>27</v>
      </c>
      <c r="R45" s="4"/>
      <c r="S45" s="1"/>
    </row>
    <row r="46" spans="1:19" x14ac:dyDescent="0.25">
      <c r="A46" s="7" t="s">
        <v>96</v>
      </c>
      <c r="B46" s="37">
        <v>12</v>
      </c>
      <c r="C46" s="11">
        <v>0</v>
      </c>
      <c r="D46" s="11">
        <v>2</v>
      </c>
      <c r="E46" s="11">
        <v>0</v>
      </c>
      <c r="F46" s="11">
        <v>0</v>
      </c>
      <c r="G46" s="11">
        <v>0</v>
      </c>
      <c r="H46" s="12">
        <f t="shared" si="4"/>
        <v>14</v>
      </c>
      <c r="J46" s="86" t="s">
        <v>34</v>
      </c>
      <c r="K46" s="89">
        <v>35</v>
      </c>
      <c r="L46" s="89">
        <v>6</v>
      </c>
      <c r="M46" s="89">
        <v>0</v>
      </c>
      <c r="N46" s="89">
        <v>0</v>
      </c>
      <c r="O46" s="89">
        <v>0</v>
      </c>
      <c r="P46" s="89">
        <v>0</v>
      </c>
      <c r="Q46" s="40">
        <f t="shared" si="8"/>
        <v>41</v>
      </c>
      <c r="R46" s="4"/>
      <c r="S46" s="1"/>
    </row>
    <row r="47" spans="1:19" x14ac:dyDescent="0.25">
      <c r="A47" s="7" t="s">
        <v>97</v>
      </c>
      <c r="B47" s="37">
        <v>32</v>
      </c>
      <c r="C47" s="11">
        <v>0</v>
      </c>
      <c r="D47" s="11">
        <v>21</v>
      </c>
      <c r="E47" s="11">
        <v>0</v>
      </c>
      <c r="F47" s="11">
        <v>0</v>
      </c>
      <c r="G47" s="11">
        <v>0</v>
      </c>
      <c r="H47" s="12">
        <f t="shared" si="4"/>
        <v>53</v>
      </c>
      <c r="I47" s="1"/>
      <c r="J47" s="86" t="s">
        <v>179</v>
      </c>
      <c r="K47" s="89">
        <v>207</v>
      </c>
      <c r="L47" s="89">
        <v>57</v>
      </c>
      <c r="M47" s="89">
        <v>3</v>
      </c>
      <c r="N47" s="89">
        <v>2</v>
      </c>
      <c r="O47" s="89">
        <v>0</v>
      </c>
      <c r="P47" s="89">
        <v>0</v>
      </c>
      <c r="Q47" s="40">
        <f t="shared" si="8"/>
        <v>269</v>
      </c>
      <c r="R47" s="4"/>
      <c r="S47" s="1"/>
    </row>
    <row r="48" spans="1:19" x14ac:dyDescent="0.25">
      <c r="A48" s="36" t="s">
        <v>98</v>
      </c>
      <c r="B48" s="37">
        <v>32</v>
      </c>
      <c r="C48" s="11">
        <v>0</v>
      </c>
      <c r="D48" s="11">
        <v>21</v>
      </c>
      <c r="E48" s="11">
        <v>0</v>
      </c>
      <c r="F48" s="11">
        <v>0</v>
      </c>
      <c r="G48" s="11">
        <v>0</v>
      </c>
      <c r="H48" s="12">
        <f t="shared" si="4"/>
        <v>53</v>
      </c>
      <c r="I48" s="1"/>
      <c r="J48" s="86" t="s">
        <v>177</v>
      </c>
      <c r="K48" s="89">
        <v>310</v>
      </c>
      <c r="L48" s="89">
        <v>87</v>
      </c>
      <c r="M48" s="89">
        <v>11</v>
      </c>
      <c r="N48" s="89">
        <v>7</v>
      </c>
      <c r="O48" s="89">
        <v>0</v>
      </c>
      <c r="P48" s="89">
        <v>0</v>
      </c>
      <c r="Q48" s="40">
        <f t="shared" si="8"/>
        <v>415</v>
      </c>
      <c r="R48" s="4"/>
      <c r="S48" s="1"/>
    </row>
    <row r="49" spans="1:19" ht="15.75" thickBot="1" x14ac:dyDescent="0.3">
      <c r="A49" s="7" t="s">
        <v>86</v>
      </c>
      <c r="B49" s="17">
        <v>0</v>
      </c>
      <c r="C49" s="11">
        <v>597</v>
      </c>
      <c r="D49" s="11">
        <v>1</v>
      </c>
      <c r="E49" s="11">
        <v>2</v>
      </c>
      <c r="F49" s="11">
        <v>0</v>
      </c>
      <c r="G49" s="11">
        <v>0</v>
      </c>
      <c r="H49" s="14">
        <f>SUM(B49:G49)</f>
        <v>600</v>
      </c>
      <c r="I49" s="1"/>
      <c r="J49" s="87" t="s">
        <v>178</v>
      </c>
      <c r="K49" s="71">
        <v>12</v>
      </c>
      <c r="L49" s="71">
        <v>15</v>
      </c>
      <c r="M49" s="71">
        <v>0</v>
      </c>
      <c r="N49" s="71">
        <v>0</v>
      </c>
      <c r="O49" s="71">
        <v>0</v>
      </c>
      <c r="P49" s="71">
        <v>0</v>
      </c>
      <c r="Q49" s="46">
        <f t="shared" si="8"/>
        <v>27</v>
      </c>
      <c r="R49" s="4"/>
      <c r="S49" s="1"/>
    </row>
    <row r="50" spans="1:19" x14ac:dyDescent="0.25">
      <c r="A50" s="18" t="s">
        <v>87</v>
      </c>
      <c r="B50" s="38">
        <v>551</v>
      </c>
      <c r="C50" s="19">
        <v>731</v>
      </c>
      <c r="D50" s="19">
        <v>133</v>
      </c>
      <c r="E50" s="19">
        <v>18</v>
      </c>
      <c r="F50" s="21">
        <v>5</v>
      </c>
      <c r="G50" s="19">
        <v>1</v>
      </c>
      <c r="H50" s="14">
        <f>SUM(B50:G50)</f>
        <v>1439</v>
      </c>
      <c r="I50" s="1"/>
      <c r="J50" s="158"/>
      <c r="K50" s="158"/>
      <c r="L50" s="158"/>
      <c r="M50" s="158"/>
      <c r="N50" s="34"/>
      <c r="O50" s="34"/>
      <c r="P50" s="34"/>
      <c r="Q50" s="35"/>
      <c r="R50" s="4"/>
      <c r="S50" s="1"/>
    </row>
    <row r="51" spans="1:19" ht="15.75" thickBot="1" x14ac:dyDescent="0.3">
      <c r="A51" s="73" t="s">
        <v>139</v>
      </c>
      <c r="B51" s="75">
        <f t="shared" ref="B51:G51" si="9">SUM(B52:B68)</f>
        <v>2638</v>
      </c>
      <c r="C51" s="75">
        <f t="shared" si="9"/>
        <v>5365</v>
      </c>
      <c r="D51" s="77">
        <f t="shared" si="9"/>
        <v>3590</v>
      </c>
      <c r="E51" s="75">
        <f t="shared" si="9"/>
        <v>162</v>
      </c>
      <c r="F51" s="75">
        <f t="shared" si="9"/>
        <v>119</v>
      </c>
      <c r="G51" s="78">
        <f t="shared" si="9"/>
        <v>8</v>
      </c>
      <c r="H51" s="75">
        <f>SUM(B51:G51)</f>
        <v>11882</v>
      </c>
      <c r="I51" s="1"/>
      <c r="Q51" s="24"/>
      <c r="R51" s="4"/>
      <c r="S51" s="1"/>
    </row>
    <row r="52" spans="1:19" x14ac:dyDescent="0.25">
      <c r="A52" s="7" t="s">
        <v>90</v>
      </c>
      <c r="B52" s="13">
        <v>377</v>
      </c>
      <c r="C52" s="13">
        <v>181</v>
      </c>
      <c r="D52" s="25">
        <v>29</v>
      </c>
      <c r="E52" s="65">
        <v>4</v>
      </c>
      <c r="F52" s="65">
        <v>0</v>
      </c>
      <c r="G52" s="65">
        <v>0</v>
      </c>
      <c r="H52" s="26">
        <f t="shared" ref="H52:H113" si="10">SUM(B52:G52)</f>
        <v>591</v>
      </c>
      <c r="I52" s="1"/>
      <c r="J52" s="159" t="s">
        <v>152</v>
      </c>
      <c r="K52" s="160"/>
      <c r="L52" s="160"/>
      <c r="M52" s="160"/>
      <c r="N52" s="160"/>
      <c r="O52" s="160"/>
      <c r="P52" s="160"/>
      <c r="Q52" s="161"/>
      <c r="R52" s="4"/>
      <c r="S52" s="1"/>
    </row>
    <row r="53" spans="1:19" x14ac:dyDescent="0.25">
      <c r="A53" s="7" t="s">
        <v>91</v>
      </c>
      <c r="B53" s="13">
        <v>8</v>
      </c>
      <c r="C53" s="13">
        <v>0</v>
      </c>
      <c r="D53" s="25">
        <v>20</v>
      </c>
      <c r="E53" s="66">
        <v>1</v>
      </c>
      <c r="F53" s="66">
        <v>0</v>
      </c>
      <c r="G53" s="66">
        <v>0</v>
      </c>
      <c r="H53" s="26">
        <f t="shared" si="10"/>
        <v>29</v>
      </c>
      <c r="I53" s="1"/>
      <c r="J53" s="138" t="s">
        <v>72</v>
      </c>
      <c r="K53" s="139"/>
      <c r="L53" s="139"/>
      <c r="M53" s="139"/>
      <c r="N53" s="139"/>
      <c r="O53" s="139"/>
      <c r="P53" s="139"/>
      <c r="Q53" s="62" t="s">
        <v>11</v>
      </c>
      <c r="R53" s="4"/>
      <c r="S53" s="1"/>
    </row>
    <row r="54" spans="1:19" x14ac:dyDescent="0.25">
      <c r="A54" s="7" t="s">
        <v>32</v>
      </c>
      <c r="B54" s="13">
        <v>787</v>
      </c>
      <c r="C54" s="13">
        <v>2286</v>
      </c>
      <c r="D54" s="25">
        <v>1415</v>
      </c>
      <c r="E54" s="66">
        <v>74</v>
      </c>
      <c r="F54" s="66">
        <v>50</v>
      </c>
      <c r="G54" s="66">
        <v>3</v>
      </c>
      <c r="H54" s="26">
        <f t="shared" si="10"/>
        <v>4615</v>
      </c>
      <c r="I54" s="1"/>
      <c r="J54" s="138" t="s">
        <v>71</v>
      </c>
      <c r="K54" s="139"/>
      <c r="L54" s="139"/>
      <c r="M54" s="139"/>
      <c r="N54" s="139"/>
      <c r="O54" s="139"/>
      <c r="P54" s="139"/>
      <c r="Q54" s="47">
        <v>3</v>
      </c>
      <c r="R54" s="4"/>
      <c r="S54" s="1"/>
    </row>
    <row r="55" spans="1:19" x14ac:dyDescent="0.25">
      <c r="A55" s="7" t="s">
        <v>34</v>
      </c>
      <c r="B55" s="11">
        <v>5</v>
      </c>
      <c r="C55" s="13">
        <v>4</v>
      </c>
      <c r="D55" s="23">
        <v>6</v>
      </c>
      <c r="E55" s="66">
        <v>0</v>
      </c>
      <c r="F55" s="66">
        <v>0</v>
      </c>
      <c r="G55" s="66">
        <v>0</v>
      </c>
      <c r="H55" s="26">
        <f t="shared" si="10"/>
        <v>15</v>
      </c>
      <c r="I55" s="1"/>
      <c r="J55" s="138" t="s">
        <v>137</v>
      </c>
      <c r="K55" s="139"/>
      <c r="L55" s="139"/>
      <c r="M55" s="139"/>
      <c r="N55" s="139"/>
      <c r="O55" s="139"/>
      <c r="P55" s="139"/>
      <c r="Q55" s="47">
        <f>(H12)</f>
        <v>30626</v>
      </c>
      <c r="R55" s="4"/>
      <c r="S55" s="1"/>
    </row>
    <row r="56" spans="1:19" x14ac:dyDescent="0.25">
      <c r="A56" s="7" t="s">
        <v>181</v>
      </c>
      <c r="B56" s="13">
        <v>126</v>
      </c>
      <c r="C56" s="13">
        <v>765</v>
      </c>
      <c r="D56" s="25">
        <v>514</v>
      </c>
      <c r="E56" s="66">
        <v>16</v>
      </c>
      <c r="F56" s="66">
        <v>15</v>
      </c>
      <c r="G56" s="66">
        <v>0</v>
      </c>
      <c r="H56" s="26">
        <f t="shared" si="10"/>
        <v>1436</v>
      </c>
      <c r="I56" s="1"/>
      <c r="J56" s="138" t="s">
        <v>138</v>
      </c>
      <c r="K56" s="139"/>
      <c r="L56" s="139"/>
      <c r="M56" s="139"/>
      <c r="N56" s="139"/>
      <c r="O56" s="139"/>
      <c r="P56" s="139"/>
      <c r="Q56" s="48">
        <f>(H51)</f>
        <v>11882</v>
      </c>
      <c r="R56" s="4"/>
      <c r="S56" s="1"/>
    </row>
    <row r="57" spans="1:19" x14ac:dyDescent="0.25">
      <c r="A57" s="7" t="s">
        <v>184</v>
      </c>
      <c r="B57" s="11">
        <v>47</v>
      </c>
      <c r="C57" s="11">
        <v>8</v>
      </c>
      <c r="D57" s="23">
        <v>23</v>
      </c>
      <c r="E57" s="66">
        <v>2</v>
      </c>
      <c r="F57" s="66">
        <v>0</v>
      </c>
      <c r="G57" s="66">
        <v>0</v>
      </c>
      <c r="H57" s="26">
        <f t="shared" si="10"/>
        <v>80</v>
      </c>
      <c r="I57" s="1"/>
      <c r="J57" s="138" t="s">
        <v>140</v>
      </c>
      <c r="K57" s="139"/>
      <c r="L57" s="139"/>
      <c r="M57" s="139"/>
      <c r="N57" s="139"/>
      <c r="O57" s="139"/>
      <c r="P57" s="139"/>
      <c r="Q57" s="48">
        <f>(H69)</f>
        <v>969</v>
      </c>
      <c r="R57" s="4"/>
      <c r="S57" s="1"/>
    </row>
    <row r="58" spans="1:19" x14ac:dyDescent="0.25">
      <c r="A58" s="7" t="s">
        <v>88</v>
      </c>
      <c r="B58" s="11">
        <v>7</v>
      </c>
      <c r="C58" s="11">
        <v>13</v>
      </c>
      <c r="D58" s="23">
        <v>14</v>
      </c>
      <c r="E58" s="66">
        <v>0</v>
      </c>
      <c r="F58" s="66">
        <v>0</v>
      </c>
      <c r="G58" s="66">
        <v>0</v>
      </c>
      <c r="H58" s="26">
        <f t="shared" si="10"/>
        <v>34</v>
      </c>
      <c r="I58" s="1"/>
      <c r="J58" s="138" t="s">
        <v>144</v>
      </c>
      <c r="K58" s="139"/>
      <c r="L58" s="139"/>
      <c r="M58" s="139"/>
      <c r="N58" s="139"/>
      <c r="O58" s="139"/>
      <c r="P58" s="139"/>
      <c r="Q58" s="48">
        <f>H82</f>
        <v>1917</v>
      </c>
      <c r="R58" s="4"/>
      <c r="S58" s="1"/>
    </row>
    <row r="59" spans="1:19" x14ac:dyDescent="0.25">
      <c r="A59" s="7" t="s">
        <v>89</v>
      </c>
      <c r="B59" s="11">
        <v>0</v>
      </c>
      <c r="C59" s="11">
        <v>0</v>
      </c>
      <c r="D59" s="23">
        <v>0</v>
      </c>
      <c r="E59" s="66">
        <v>0</v>
      </c>
      <c r="F59" s="66">
        <v>0</v>
      </c>
      <c r="G59" s="66">
        <v>0</v>
      </c>
      <c r="H59" s="26">
        <f t="shared" si="10"/>
        <v>0</v>
      </c>
      <c r="I59" s="1"/>
      <c r="J59" s="138" t="s">
        <v>141</v>
      </c>
      <c r="K59" s="139"/>
      <c r="L59" s="139"/>
      <c r="M59" s="139"/>
      <c r="N59" s="139"/>
      <c r="O59" s="139"/>
      <c r="P59" s="139"/>
      <c r="Q59" s="48">
        <f>H95</f>
        <v>5199</v>
      </c>
      <c r="R59" s="4"/>
      <c r="S59" s="1"/>
    </row>
    <row r="60" spans="1:19" x14ac:dyDescent="0.25">
      <c r="A60" s="7" t="s">
        <v>183</v>
      </c>
      <c r="B60" s="11">
        <v>315</v>
      </c>
      <c r="C60" s="11">
        <v>773</v>
      </c>
      <c r="D60" s="23">
        <v>500</v>
      </c>
      <c r="E60" s="66">
        <v>22</v>
      </c>
      <c r="F60" s="66">
        <v>14</v>
      </c>
      <c r="G60" s="66">
        <v>1</v>
      </c>
      <c r="H60" s="26">
        <f t="shared" si="10"/>
        <v>1625</v>
      </c>
      <c r="I60" s="1"/>
      <c r="J60" s="138" t="s">
        <v>143</v>
      </c>
      <c r="K60" s="139"/>
      <c r="L60" s="139"/>
      <c r="M60" s="139"/>
      <c r="N60" s="139"/>
      <c r="O60" s="139"/>
      <c r="P60" s="139"/>
      <c r="Q60" s="63">
        <f>Q11</f>
        <v>3666</v>
      </c>
      <c r="R60" s="4"/>
      <c r="S60" s="1"/>
    </row>
    <row r="61" spans="1:19" x14ac:dyDescent="0.25">
      <c r="A61" s="7" t="s">
        <v>36</v>
      </c>
      <c r="B61" s="11">
        <v>28</v>
      </c>
      <c r="C61" s="11">
        <v>15</v>
      </c>
      <c r="D61" s="23">
        <v>23</v>
      </c>
      <c r="E61" s="66">
        <v>1</v>
      </c>
      <c r="F61" s="66">
        <v>0</v>
      </c>
      <c r="G61" s="66">
        <v>0</v>
      </c>
      <c r="H61" s="26">
        <f t="shared" si="10"/>
        <v>67</v>
      </c>
      <c r="I61" s="1"/>
      <c r="J61" s="138" t="s">
        <v>145</v>
      </c>
      <c r="K61" s="139"/>
      <c r="L61" s="139"/>
      <c r="M61" s="139"/>
      <c r="N61" s="139"/>
      <c r="O61" s="139"/>
      <c r="P61" s="139"/>
      <c r="Q61" s="41">
        <f>Q28</f>
        <v>574</v>
      </c>
      <c r="R61" s="4"/>
      <c r="S61" s="1"/>
    </row>
    <row r="62" spans="1:19" ht="15.75" thickBot="1" x14ac:dyDescent="0.3">
      <c r="A62" s="7" t="s">
        <v>119</v>
      </c>
      <c r="B62" s="11">
        <v>0</v>
      </c>
      <c r="C62" s="10">
        <v>0</v>
      </c>
      <c r="D62" s="23">
        <v>0</v>
      </c>
      <c r="E62" s="66">
        <v>0</v>
      </c>
      <c r="F62" s="66">
        <v>0</v>
      </c>
      <c r="G62" s="66">
        <v>0</v>
      </c>
      <c r="H62" s="26">
        <f>SUM(B62:G62)</f>
        <v>0</v>
      </c>
      <c r="I62" s="1"/>
      <c r="J62" s="144" t="s">
        <v>151</v>
      </c>
      <c r="K62" s="145"/>
      <c r="L62" s="145"/>
      <c r="M62" s="145"/>
      <c r="N62" s="145"/>
      <c r="O62" s="145"/>
      <c r="P62" s="145"/>
      <c r="Q62" s="64">
        <f>Q41</f>
        <v>1098</v>
      </c>
      <c r="R62" s="4"/>
      <c r="S62" s="1"/>
    </row>
    <row r="63" spans="1:19" ht="15.75" thickBot="1" x14ac:dyDescent="0.3">
      <c r="A63" s="7" t="s">
        <v>118</v>
      </c>
      <c r="B63" s="11">
        <v>0</v>
      </c>
      <c r="C63" s="11">
        <v>0</v>
      </c>
      <c r="D63" s="23">
        <v>0</v>
      </c>
      <c r="E63" s="66">
        <v>0</v>
      </c>
      <c r="F63" s="66">
        <v>0</v>
      </c>
      <c r="G63" s="66">
        <v>0</v>
      </c>
      <c r="H63" s="33">
        <f>SUM(B63:G63)</f>
        <v>0</v>
      </c>
      <c r="I63" s="1"/>
      <c r="M63" s="53"/>
      <c r="N63" s="53"/>
      <c r="O63" s="53"/>
      <c r="P63" s="39" t="s">
        <v>11</v>
      </c>
      <c r="Q63" s="61">
        <f>SUM(Q54:Q62)</f>
        <v>55934</v>
      </c>
      <c r="R63" s="4"/>
      <c r="S63" s="1"/>
    </row>
    <row r="64" spans="1:19" x14ac:dyDescent="0.25">
      <c r="A64" s="8" t="s">
        <v>37</v>
      </c>
      <c r="B64" s="31">
        <v>123</v>
      </c>
      <c r="C64" s="20">
        <v>148</v>
      </c>
      <c r="D64" s="42">
        <v>60</v>
      </c>
      <c r="E64" s="65">
        <v>2</v>
      </c>
      <c r="F64" s="65">
        <v>2</v>
      </c>
      <c r="G64" s="65">
        <v>0</v>
      </c>
      <c r="H64" s="26">
        <f t="shared" si="10"/>
        <v>335</v>
      </c>
      <c r="I64" s="1"/>
      <c r="P64" s="1"/>
      <c r="Q64" s="1"/>
      <c r="R64" s="4"/>
      <c r="S64" s="1"/>
    </row>
    <row r="65" spans="1:19" x14ac:dyDescent="0.25">
      <c r="A65" s="7" t="s">
        <v>38</v>
      </c>
      <c r="B65" s="11">
        <v>342</v>
      </c>
      <c r="C65" s="10">
        <v>499</v>
      </c>
      <c r="D65" s="23">
        <v>478</v>
      </c>
      <c r="E65" s="66">
        <v>20</v>
      </c>
      <c r="F65" s="66">
        <v>18</v>
      </c>
      <c r="G65" s="66">
        <v>2</v>
      </c>
      <c r="H65" s="26">
        <f t="shared" si="10"/>
        <v>1359</v>
      </c>
      <c r="I65" s="1"/>
      <c r="R65" s="4"/>
      <c r="S65" s="1"/>
    </row>
    <row r="66" spans="1:19" x14ac:dyDescent="0.25">
      <c r="A66" s="7" t="s">
        <v>73</v>
      </c>
      <c r="B66" s="11">
        <v>342</v>
      </c>
      <c r="C66" s="10">
        <v>499</v>
      </c>
      <c r="D66" s="23">
        <v>478</v>
      </c>
      <c r="E66" s="11">
        <v>20</v>
      </c>
      <c r="F66" s="11">
        <v>18</v>
      </c>
      <c r="G66" s="11">
        <v>2</v>
      </c>
      <c r="H66" s="26">
        <f t="shared" si="10"/>
        <v>1359</v>
      </c>
      <c r="I66" s="1"/>
      <c r="J66" s="1"/>
      <c r="K66" s="1"/>
      <c r="L66" s="1"/>
      <c r="M66" s="1"/>
      <c r="N66" s="1"/>
      <c r="O66" s="1"/>
      <c r="R66" s="4"/>
      <c r="S66" s="1"/>
    </row>
    <row r="67" spans="1:19" x14ac:dyDescent="0.25">
      <c r="A67" s="7" t="s">
        <v>39</v>
      </c>
      <c r="B67" s="11">
        <v>131</v>
      </c>
      <c r="C67" s="10">
        <v>172</v>
      </c>
      <c r="D67" s="23">
        <v>30</v>
      </c>
      <c r="E67" s="11">
        <v>0</v>
      </c>
      <c r="F67" s="11">
        <v>2</v>
      </c>
      <c r="G67" s="11">
        <v>0</v>
      </c>
      <c r="H67" s="26">
        <f t="shared" si="10"/>
        <v>335</v>
      </c>
      <c r="I67" s="1"/>
      <c r="R67" s="4"/>
      <c r="S67" s="1"/>
    </row>
    <row r="68" spans="1:19" x14ac:dyDescent="0.25">
      <c r="A68" s="18" t="s">
        <v>40</v>
      </c>
      <c r="B68" s="19">
        <v>0</v>
      </c>
      <c r="C68" s="21">
        <v>2</v>
      </c>
      <c r="D68" s="43">
        <v>0</v>
      </c>
      <c r="E68" s="19">
        <v>0</v>
      </c>
      <c r="F68" s="19">
        <v>0</v>
      </c>
      <c r="G68" s="19">
        <v>0</v>
      </c>
      <c r="H68" s="26">
        <f t="shared" si="10"/>
        <v>2</v>
      </c>
      <c r="I68" s="1"/>
      <c r="R68" s="4"/>
      <c r="S68" s="1"/>
    </row>
    <row r="69" spans="1:19" x14ac:dyDescent="0.25">
      <c r="A69" s="73" t="s">
        <v>54</v>
      </c>
      <c r="B69" s="74">
        <f t="shared" ref="B69:G69" si="11">SUM(B70:B81)</f>
        <v>636</v>
      </c>
      <c r="C69" s="74">
        <f t="shared" si="11"/>
        <v>103</v>
      </c>
      <c r="D69" s="74">
        <f t="shared" si="11"/>
        <v>217</v>
      </c>
      <c r="E69" s="74">
        <f t="shared" si="11"/>
        <v>13</v>
      </c>
      <c r="F69" s="74">
        <f t="shared" si="11"/>
        <v>0</v>
      </c>
      <c r="G69" s="76">
        <f t="shared" si="11"/>
        <v>0</v>
      </c>
      <c r="H69" s="75">
        <f t="shared" si="10"/>
        <v>969</v>
      </c>
      <c r="I69" s="1"/>
      <c r="R69" s="4"/>
      <c r="S69" s="1"/>
    </row>
    <row r="70" spans="1:19" x14ac:dyDescent="0.25">
      <c r="A70" s="52" t="s">
        <v>55</v>
      </c>
      <c r="B70" s="65">
        <v>95</v>
      </c>
      <c r="C70" s="10">
        <v>22</v>
      </c>
      <c r="D70" s="65">
        <v>160</v>
      </c>
      <c r="E70" s="65">
        <v>8</v>
      </c>
      <c r="F70" s="11">
        <v>0</v>
      </c>
      <c r="G70" s="65">
        <v>0</v>
      </c>
      <c r="H70" s="26">
        <f t="shared" si="10"/>
        <v>285</v>
      </c>
      <c r="I70" s="1"/>
      <c r="R70" s="4"/>
      <c r="S70" s="1"/>
    </row>
    <row r="71" spans="1:19" x14ac:dyDescent="0.25">
      <c r="A71" s="52" t="s">
        <v>56</v>
      </c>
      <c r="B71" s="66">
        <v>191</v>
      </c>
      <c r="C71" s="91">
        <v>61</v>
      </c>
      <c r="D71" s="66">
        <v>8</v>
      </c>
      <c r="E71" s="66">
        <v>3</v>
      </c>
      <c r="F71" s="11">
        <v>0</v>
      </c>
      <c r="G71" s="66">
        <v>0</v>
      </c>
      <c r="H71" s="26">
        <f t="shared" si="10"/>
        <v>263</v>
      </c>
      <c r="I71" s="1"/>
      <c r="R71" s="4"/>
      <c r="S71" s="1"/>
    </row>
    <row r="72" spans="1:19" x14ac:dyDescent="0.25">
      <c r="A72" s="52" t="s">
        <v>58</v>
      </c>
      <c r="B72" s="66">
        <v>11</v>
      </c>
      <c r="C72" s="10">
        <v>0</v>
      </c>
      <c r="D72" s="66">
        <v>0</v>
      </c>
      <c r="E72" s="66">
        <v>0</v>
      </c>
      <c r="F72" s="11">
        <v>0</v>
      </c>
      <c r="G72" s="66">
        <v>0</v>
      </c>
      <c r="H72" s="26">
        <f t="shared" si="10"/>
        <v>11</v>
      </c>
      <c r="I72" s="1"/>
      <c r="R72" s="4"/>
      <c r="S72" s="1"/>
    </row>
    <row r="73" spans="1:19" x14ac:dyDescent="0.25">
      <c r="A73" s="52" t="s">
        <v>68</v>
      </c>
      <c r="B73" s="66">
        <v>98</v>
      </c>
      <c r="C73" s="91">
        <v>7</v>
      </c>
      <c r="D73" s="66">
        <v>20</v>
      </c>
      <c r="E73" s="66">
        <v>0</v>
      </c>
      <c r="F73" s="92">
        <v>0</v>
      </c>
      <c r="G73" s="66">
        <v>0</v>
      </c>
      <c r="H73" s="26">
        <f t="shared" si="10"/>
        <v>125</v>
      </c>
      <c r="I73" s="1"/>
      <c r="R73" s="4"/>
      <c r="S73" s="1"/>
    </row>
    <row r="74" spans="1:19" x14ac:dyDescent="0.25">
      <c r="A74" s="52" t="s">
        <v>69</v>
      </c>
      <c r="B74" s="66">
        <v>30</v>
      </c>
      <c r="C74" s="91">
        <v>3</v>
      </c>
      <c r="D74" s="66">
        <v>1</v>
      </c>
      <c r="E74" s="66">
        <v>0</v>
      </c>
      <c r="F74" s="92">
        <v>0</v>
      </c>
      <c r="G74" s="66">
        <v>0</v>
      </c>
      <c r="H74" s="26">
        <f t="shared" si="10"/>
        <v>34</v>
      </c>
      <c r="I74" s="1"/>
      <c r="R74" s="4"/>
      <c r="S74" s="1"/>
    </row>
    <row r="75" spans="1:19" x14ac:dyDescent="0.25">
      <c r="A75" s="52" t="s">
        <v>57</v>
      </c>
      <c r="B75" s="66">
        <v>5</v>
      </c>
      <c r="C75" s="91">
        <v>0</v>
      </c>
      <c r="D75" s="66">
        <v>5</v>
      </c>
      <c r="E75" s="66">
        <v>0</v>
      </c>
      <c r="F75" s="91">
        <v>0</v>
      </c>
      <c r="G75" s="66">
        <v>0</v>
      </c>
      <c r="H75" s="26">
        <f t="shared" si="10"/>
        <v>10</v>
      </c>
      <c r="I75" s="1"/>
      <c r="R75" s="4"/>
      <c r="S75" s="1"/>
    </row>
    <row r="76" spans="1:19" x14ac:dyDescent="0.25">
      <c r="A76" s="52" t="s">
        <v>142</v>
      </c>
      <c r="B76" s="66">
        <v>59</v>
      </c>
      <c r="C76" s="91">
        <v>3</v>
      </c>
      <c r="D76" s="66">
        <v>5</v>
      </c>
      <c r="E76" s="66">
        <v>0</v>
      </c>
      <c r="F76" s="92">
        <v>0</v>
      </c>
      <c r="G76" s="66">
        <v>0</v>
      </c>
      <c r="H76" s="26">
        <f t="shared" si="10"/>
        <v>67</v>
      </c>
      <c r="I76" s="1"/>
      <c r="R76" s="4"/>
      <c r="S76" s="1"/>
    </row>
    <row r="77" spans="1:19" x14ac:dyDescent="0.25">
      <c r="A77" s="52" t="s">
        <v>59</v>
      </c>
      <c r="B77" s="66">
        <v>29</v>
      </c>
      <c r="C77" s="91">
        <v>0</v>
      </c>
      <c r="D77" s="66">
        <v>8</v>
      </c>
      <c r="E77" s="66">
        <v>2</v>
      </c>
      <c r="F77" s="92">
        <v>0</v>
      </c>
      <c r="G77" s="66">
        <v>0</v>
      </c>
      <c r="H77" s="26">
        <f t="shared" si="10"/>
        <v>39</v>
      </c>
      <c r="I77" s="1"/>
      <c r="R77" s="4"/>
      <c r="S77" s="1"/>
    </row>
    <row r="78" spans="1:19" x14ac:dyDescent="0.25">
      <c r="A78" s="52" t="s">
        <v>60</v>
      </c>
      <c r="B78" s="66">
        <v>37</v>
      </c>
      <c r="C78" s="91">
        <v>0</v>
      </c>
      <c r="D78" s="66">
        <v>6</v>
      </c>
      <c r="E78" s="66">
        <v>0</v>
      </c>
      <c r="F78" s="91">
        <v>0</v>
      </c>
      <c r="G78" s="66">
        <v>0</v>
      </c>
      <c r="H78" s="26">
        <f t="shared" si="10"/>
        <v>43</v>
      </c>
      <c r="I78" s="1"/>
      <c r="R78" s="4"/>
      <c r="S78" s="1"/>
    </row>
    <row r="79" spans="1:19" x14ac:dyDescent="0.25">
      <c r="A79" s="52" t="s">
        <v>106</v>
      </c>
      <c r="B79" s="66">
        <v>14</v>
      </c>
      <c r="C79" s="91">
        <v>1</v>
      </c>
      <c r="D79" s="66">
        <v>0</v>
      </c>
      <c r="E79" s="66">
        <v>0</v>
      </c>
      <c r="F79" s="91">
        <v>0</v>
      </c>
      <c r="G79" s="66">
        <v>0</v>
      </c>
      <c r="H79" s="26">
        <f t="shared" si="10"/>
        <v>15</v>
      </c>
      <c r="I79" s="1"/>
      <c r="R79" s="4"/>
      <c r="S79" s="1"/>
    </row>
    <row r="80" spans="1:19" x14ac:dyDescent="0.25">
      <c r="A80" s="52" t="s">
        <v>132</v>
      </c>
      <c r="B80" s="66">
        <v>30</v>
      </c>
      <c r="C80" s="91">
        <v>3</v>
      </c>
      <c r="D80" s="66">
        <v>1</v>
      </c>
      <c r="E80" s="66">
        <v>0</v>
      </c>
      <c r="F80" s="92">
        <v>0</v>
      </c>
      <c r="G80" s="66">
        <v>0</v>
      </c>
      <c r="H80" s="26">
        <f t="shared" si="10"/>
        <v>34</v>
      </c>
      <c r="I80" s="1"/>
      <c r="R80" s="4"/>
      <c r="S80" s="1"/>
    </row>
    <row r="81" spans="1:19" x14ac:dyDescent="0.25">
      <c r="A81" s="52" t="s">
        <v>133</v>
      </c>
      <c r="B81" s="93">
        <v>37</v>
      </c>
      <c r="C81" s="91">
        <v>3</v>
      </c>
      <c r="D81" s="93">
        <v>3</v>
      </c>
      <c r="E81" s="93">
        <v>0</v>
      </c>
      <c r="F81" s="92">
        <v>0</v>
      </c>
      <c r="G81" s="93">
        <v>0</v>
      </c>
      <c r="H81" s="26">
        <f t="shared" si="10"/>
        <v>43</v>
      </c>
      <c r="I81" s="1"/>
      <c r="R81" s="4"/>
      <c r="S81" s="1"/>
    </row>
    <row r="82" spans="1:19" x14ac:dyDescent="0.25">
      <c r="A82" s="73" t="s">
        <v>70</v>
      </c>
      <c r="B82" s="29">
        <f t="shared" ref="B82:G82" si="12">SUM(B83:B92)</f>
        <v>253</v>
      </c>
      <c r="C82" s="74">
        <f t="shared" si="12"/>
        <v>695</v>
      </c>
      <c r="D82" s="74">
        <f t="shared" si="12"/>
        <v>948</v>
      </c>
      <c r="E82" s="74">
        <f t="shared" si="12"/>
        <v>21</v>
      </c>
      <c r="F82" s="74">
        <f t="shared" si="12"/>
        <v>0</v>
      </c>
      <c r="G82" s="74">
        <f t="shared" si="12"/>
        <v>0</v>
      </c>
      <c r="H82" s="75">
        <f t="shared" si="10"/>
        <v>1917</v>
      </c>
      <c r="I82" s="1"/>
      <c r="R82" s="4"/>
      <c r="S82" s="1"/>
    </row>
    <row r="83" spans="1:19" x14ac:dyDescent="0.25">
      <c r="A83" s="22" t="s">
        <v>84</v>
      </c>
      <c r="B83" s="31">
        <v>25</v>
      </c>
      <c r="C83" s="10">
        <v>0</v>
      </c>
      <c r="D83" s="31">
        <v>155</v>
      </c>
      <c r="E83" s="31">
        <v>5</v>
      </c>
      <c r="F83" s="10">
        <v>0</v>
      </c>
      <c r="G83" s="31">
        <v>0</v>
      </c>
      <c r="H83" s="26">
        <f t="shared" si="10"/>
        <v>185</v>
      </c>
      <c r="I83" s="1"/>
      <c r="R83" s="4"/>
      <c r="S83" s="1"/>
    </row>
    <row r="84" spans="1:19" x14ac:dyDescent="0.25">
      <c r="A84" s="22" t="s">
        <v>114</v>
      </c>
      <c r="B84" s="11">
        <v>12</v>
      </c>
      <c r="C84" s="10">
        <v>0</v>
      </c>
      <c r="D84" s="11">
        <v>61</v>
      </c>
      <c r="E84" s="11">
        <v>2</v>
      </c>
      <c r="F84" s="10">
        <v>0</v>
      </c>
      <c r="G84" s="11">
        <v>0</v>
      </c>
      <c r="H84" s="26">
        <f t="shared" si="10"/>
        <v>75</v>
      </c>
      <c r="I84" s="1"/>
      <c r="R84" s="4"/>
      <c r="S84" s="1"/>
    </row>
    <row r="85" spans="1:19" ht="14.25" customHeight="1" x14ac:dyDescent="0.25">
      <c r="A85" s="22" t="s">
        <v>61</v>
      </c>
      <c r="B85" s="11">
        <v>1</v>
      </c>
      <c r="C85" s="10">
        <v>21</v>
      </c>
      <c r="D85" s="11">
        <v>1</v>
      </c>
      <c r="E85" s="11">
        <v>0</v>
      </c>
      <c r="F85" s="10">
        <v>0</v>
      </c>
      <c r="G85" s="11">
        <v>0</v>
      </c>
      <c r="H85" s="26">
        <f t="shared" si="10"/>
        <v>23</v>
      </c>
      <c r="I85" s="1"/>
      <c r="R85" s="4"/>
      <c r="S85" s="1"/>
    </row>
    <row r="86" spans="1:19" x14ac:dyDescent="0.25">
      <c r="A86" s="22" t="s">
        <v>62</v>
      </c>
      <c r="B86" s="11">
        <v>28</v>
      </c>
      <c r="C86" s="10">
        <v>0</v>
      </c>
      <c r="D86" s="11">
        <v>165</v>
      </c>
      <c r="E86" s="11">
        <v>1</v>
      </c>
      <c r="F86" s="10">
        <v>0</v>
      </c>
      <c r="G86" s="11">
        <v>0</v>
      </c>
      <c r="H86" s="26">
        <f t="shared" si="10"/>
        <v>194</v>
      </c>
      <c r="I86" s="1"/>
      <c r="K86" s="133"/>
      <c r="L86" s="133"/>
      <c r="M86" s="133"/>
      <c r="R86" s="4"/>
      <c r="S86" s="1"/>
    </row>
    <row r="87" spans="1:19" x14ac:dyDescent="0.25">
      <c r="A87" s="22" t="s">
        <v>93</v>
      </c>
      <c r="B87" s="11">
        <v>0</v>
      </c>
      <c r="C87" s="10">
        <v>0</v>
      </c>
      <c r="D87" s="11">
        <v>0</v>
      </c>
      <c r="E87" s="11">
        <v>0</v>
      </c>
      <c r="F87" s="10">
        <v>0</v>
      </c>
      <c r="G87" s="11">
        <v>0</v>
      </c>
      <c r="H87" s="26">
        <f t="shared" si="10"/>
        <v>0</v>
      </c>
      <c r="I87" s="1"/>
      <c r="R87" s="4"/>
      <c r="S87" s="1"/>
    </row>
    <row r="88" spans="1:19" x14ac:dyDescent="0.25">
      <c r="A88" s="22" t="s">
        <v>94</v>
      </c>
      <c r="B88" s="11">
        <v>0</v>
      </c>
      <c r="C88" s="10">
        <v>0</v>
      </c>
      <c r="D88" s="11">
        <v>0</v>
      </c>
      <c r="E88" s="11">
        <v>0</v>
      </c>
      <c r="F88" s="10">
        <v>0</v>
      </c>
      <c r="G88" s="11">
        <v>0</v>
      </c>
      <c r="H88" s="33">
        <f t="shared" si="10"/>
        <v>0</v>
      </c>
      <c r="I88" s="1"/>
      <c r="R88" s="4"/>
      <c r="S88" s="1"/>
    </row>
    <row r="89" spans="1:19" x14ac:dyDescent="0.25">
      <c r="A89" s="81" t="s">
        <v>108</v>
      </c>
      <c r="B89" s="82">
        <v>182</v>
      </c>
      <c r="C89" s="83">
        <v>659</v>
      </c>
      <c r="D89" s="82">
        <v>520</v>
      </c>
      <c r="E89" s="82">
        <v>10</v>
      </c>
      <c r="F89" s="85">
        <v>0</v>
      </c>
      <c r="G89" s="82">
        <v>0</v>
      </c>
      <c r="H89" s="84">
        <f>SUM(B89:G89)</f>
        <v>1371</v>
      </c>
      <c r="I89" s="1"/>
      <c r="R89" s="4"/>
      <c r="S89" s="1"/>
    </row>
    <row r="90" spans="1:19" x14ac:dyDescent="0.25">
      <c r="A90" s="32" t="s">
        <v>63</v>
      </c>
      <c r="B90" s="31">
        <v>0</v>
      </c>
      <c r="C90" s="20">
        <v>0</v>
      </c>
      <c r="D90" s="31">
        <v>0</v>
      </c>
      <c r="E90" s="31">
        <v>0</v>
      </c>
      <c r="F90" s="20">
        <v>0</v>
      </c>
      <c r="G90" s="31">
        <v>0</v>
      </c>
      <c r="H90" s="26">
        <f t="shared" si="10"/>
        <v>0</v>
      </c>
      <c r="I90" s="1"/>
      <c r="R90" s="4"/>
      <c r="S90" s="1"/>
    </row>
    <row r="91" spans="1:19" x14ac:dyDescent="0.25">
      <c r="A91" s="22" t="s">
        <v>153</v>
      </c>
      <c r="B91" s="11">
        <v>0</v>
      </c>
      <c r="C91" s="10">
        <v>0</v>
      </c>
      <c r="D91" s="11">
        <v>1</v>
      </c>
      <c r="E91" s="11">
        <v>1</v>
      </c>
      <c r="F91" s="10">
        <v>0</v>
      </c>
      <c r="G91" s="11">
        <v>0</v>
      </c>
      <c r="H91" s="26">
        <f t="shared" si="10"/>
        <v>2</v>
      </c>
      <c r="I91" s="1"/>
      <c r="R91" s="4"/>
      <c r="S91" s="1"/>
    </row>
    <row r="92" spans="1:19" x14ac:dyDescent="0.25">
      <c r="A92" s="22" t="s">
        <v>107</v>
      </c>
      <c r="B92" s="11">
        <v>5</v>
      </c>
      <c r="C92" s="10">
        <v>15</v>
      </c>
      <c r="D92" s="11">
        <v>45</v>
      </c>
      <c r="E92" s="11">
        <v>2</v>
      </c>
      <c r="F92" s="10">
        <v>0</v>
      </c>
      <c r="G92" s="11">
        <v>0</v>
      </c>
      <c r="H92" s="26">
        <f t="shared" si="10"/>
        <v>67</v>
      </c>
      <c r="I92" s="1"/>
      <c r="R92" s="4"/>
      <c r="S92" s="1"/>
    </row>
    <row r="93" spans="1:19" x14ac:dyDescent="0.25">
      <c r="A93" s="22" t="s">
        <v>210</v>
      </c>
      <c r="B93" s="11">
        <v>0</v>
      </c>
      <c r="C93" s="10">
        <v>0</v>
      </c>
      <c r="D93" s="11">
        <v>0</v>
      </c>
      <c r="E93" s="11">
        <v>0</v>
      </c>
      <c r="F93" s="10">
        <v>0</v>
      </c>
      <c r="G93" s="11">
        <v>0</v>
      </c>
      <c r="H93" s="26">
        <f t="shared" si="10"/>
        <v>0</v>
      </c>
      <c r="I93" s="1"/>
      <c r="R93" s="4"/>
      <c r="S93" s="1"/>
    </row>
    <row r="94" spans="1:19" x14ac:dyDescent="0.25">
      <c r="A94" s="22" t="s">
        <v>182</v>
      </c>
      <c r="B94" s="11">
        <v>1</v>
      </c>
      <c r="C94" s="10">
        <v>0</v>
      </c>
      <c r="D94" s="11">
        <v>0</v>
      </c>
      <c r="E94" s="11">
        <v>0</v>
      </c>
      <c r="F94" s="10">
        <v>0</v>
      </c>
      <c r="G94" s="11">
        <v>0</v>
      </c>
      <c r="H94" s="26">
        <f t="shared" si="10"/>
        <v>1</v>
      </c>
      <c r="I94" s="1"/>
      <c r="R94" s="4"/>
      <c r="S94" s="1"/>
    </row>
    <row r="95" spans="1:19" x14ac:dyDescent="0.25">
      <c r="A95" s="73" t="s">
        <v>3</v>
      </c>
      <c r="B95" s="74">
        <f t="shared" ref="B95:G95" si="13">SUM(B96:B153)</f>
        <v>1251</v>
      </c>
      <c r="C95" s="74">
        <f t="shared" si="13"/>
        <v>942</v>
      </c>
      <c r="D95" s="74">
        <f t="shared" si="13"/>
        <v>2883</v>
      </c>
      <c r="E95" s="74">
        <f t="shared" si="13"/>
        <v>62</v>
      </c>
      <c r="F95" s="74">
        <f t="shared" si="13"/>
        <v>59</v>
      </c>
      <c r="G95" s="74">
        <f t="shared" si="13"/>
        <v>2</v>
      </c>
      <c r="H95" s="75">
        <f t="shared" si="10"/>
        <v>5199</v>
      </c>
      <c r="I95" s="1"/>
      <c r="R95" s="4"/>
      <c r="S95" s="1"/>
    </row>
    <row r="96" spans="1:19" x14ac:dyDescent="0.25">
      <c r="A96" s="7" t="s">
        <v>113</v>
      </c>
      <c r="B96" s="11">
        <v>92</v>
      </c>
      <c r="C96" s="11">
        <v>202</v>
      </c>
      <c r="D96" s="11">
        <v>375</v>
      </c>
      <c r="E96" s="11">
        <v>8</v>
      </c>
      <c r="F96" s="17">
        <v>8</v>
      </c>
      <c r="G96" s="11">
        <v>0</v>
      </c>
      <c r="H96" s="14">
        <f t="shared" si="10"/>
        <v>685</v>
      </c>
      <c r="I96" s="1"/>
      <c r="R96" s="4"/>
      <c r="S96" s="1"/>
    </row>
    <row r="97" spans="1:19" x14ac:dyDescent="0.25">
      <c r="A97" s="7" t="s">
        <v>112</v>
      </c>
      <c r="B97" s="11">
        <v>0</v>
      </c>
      <c r="C97" s="11">
        <v>0</v>
      </c>
      <c r="D97" s="11">
        <v>0</v>
      </c>
      <c r="E97" s="11">
        <v>0</v>
      </c>
      <c r="F97" s="17">
        <v>0</v>
      </c>
      <c r="G97" s="11">
        <v>0</v>
      </c>
      <c r="H97" s="14">
        <f t="shared" si="10"/>
        <v>0</v>
      </c>
      <c r="I97" s="1"/>
      <c r="R97" s="4"/>
      <c r="S97" s="1"/>
    </row>
    <row r="98" spans="1:19" x14ac:dyDescent="0.25">
      <c r="A98" s="7" t="s">
        <v>41</v>
      </c>
      <c r="B98" s="11">
        <v>0</v>
      </c>
      <c r="C98" s="11">
        <v>0</v>
      </c>
      <c r="D98" s="11">
        <v>0</v>
      </c>
      <c r="E98" s="11">
        <v>0</v>
      </c>
      <c r="F98" s="17">
        <v>0</v>
      </c>
      <c r="G98" s="11">
        <v>0</v>
      </c>
      <c r="H98" s="14">
        <f t="shared" si="10"/>
        <v>0</v>
      </c>
      <c r="I98" s="1"/>
      <c r="R98" s="4"/>
      <c r="S98" s="1"/>
    </row>
    <row r="99" spans="1:19" x14ac:dyDescent="0.25">
      <c r="A99" s="7" t="s">
        <v>192</v>
      </c>
      <c r="B99" s="11">
        <v>0</v>
      </c>
      <c r="C99" s="11">
        <v>0</v>
      </c>
      <c r="D99" s="11">
        <v>0</v>
      </c>
      <c r="E99" s="11">
        <v>0</v>
      </c>
      <c r="F99" s="17">
        <v>0</v>
      </c>
      <c r="G99" s="11">
        <v>0</v>
      </c>
      <c r="H99" s="14">
        <f t="shared" si="10"/>
        <v>0</v>
      </c>
      <c r="I99" s="1"/>
      <c r="R99" s="4"/>
      <c r="S99" s="1"/>
    </row>
    <row r="100" spans="1:19" x14ac:dyDescent="0.25">
      <c r="A100" s="7" t="s">
        <v>213</v>
      </c>
      <c r="B100" s="11">
        <v>0</v>
      </c>
      <c r="C100" s="11">
        <v>0</v>
      </c>
      <c r="D100" s="11">
        <v>0</v>
      </c>
      <c r="E100" s="11">
        <v>0</v>
      </c>
      <c r="F100" s="17">
        <v>0</v>
      </c>
      <c r="G100" s="11">
        <v>0</v>
      </c>
      <c r="H100" s="14">
        <f t="shared" si="10"/>
        <v>0</v>
      </c>
      <c r="I100" s="1"/>
      <c r="R100" s="4"/>
      <c r="S100" s="1"/>
    </row>
    <row r="101" spans="1:19" x14ac:dyDescent="0.25">
      <c r="A101" s="7" t="s">
        <v>214</v>
      </c>
      <c r="B101" s="11">
        <v>0</v>
      </c>
      <c r="C101" s="11">
        <v>0</v>
      </c>
      <c r="D101" s="11">
        <v>0</v>
      </c>
      <c r="E101" s="11">
        <v>0</v>
      </c>
      <c r="F101" s="17">
        <v>0</v>
      </c>
      <c r="G101" s="11">
        <v>0</v>
      </c>
      <c r="H101" s="14">
        <f t="shared" si="10"/>
        <v>0</v>
      </c>
      <c r="I101" s="1"/>
      <c r="R101" s="4"/>
      <c r="S101" s="1"/>
    </row>
    <row r="102" spans="1:19" x14ac:dyDescent="0.25">
      <c r="A102" s="7" t="s">
        <v>215</v>
      </c>
      <c r="B102" s="11">
        <v>1</v>
      </c>
      <c r="C102" s="11">
        <v>0</v>
      </c>
      <c r="D102" s="11">
        <v>0</v>
      </c>
      <c r="E102" s="11">
        <v>0</v>
      </c>
      <c r="F102" s="17">
        <v>0</v>
      </c>
      <c r="G102" s="11">
        <v>0</v>
      </c>
      <c r="H102" s="14">
        <f t="shared" si="10"/>
        <v>1</v>
      </c>
      <c r="I102" s="1"/>
      <c r="R102" s="4"/>
      <c r="S102" s="1"/>
    </row>
    <row r="103" spans="1:19" x14ac:dyDescent="0.25">
      <c r="A103" s="7" t="s">
        <v>219</v>
      </c>
      <c r="B103" s="11">
        <v>0</v>
      </c>
      <c r="C103" s="11">
        <v>0</v>
      </c>
      <c r="D103" s="11">
        <v>0</v>
      </c>
      <c r="E103" s="11">
        <v>0</v>
      </c>
      <c r="F103" s="17">
        <v>0</v>
      </c>
      <c r="G103" s="11">
        <v>0</v>
      </c>
      <c r="H103" s="14">
        <f t="shared" si="10"/>
        <v>0</v>
      </c>
      <c r="I103" s="1"/>
      <c r="R103" s="4"/>
      <c r="S103" s="1"/>
    </row>
    <row r="104" spans="1:19" x14ac:dyDescent="0.25">
      <c r="A104" s="7" t="s">
        <v>220</v>
      </c>
      <c r="B104" s="11">
        <v>0</v>
      </c>
      <c r="C104" s="11">
        <v>0</v>
      </c>
      <c r="D104" s="11">
        <v>0</v>
      </c>
      <c r="E104" s="11">
        <v>0</v>
      </c>
      <c r="F104" s="17">
        <v>0</v>
      </c>
      <c r="G104" s="11">
        <v>0</v>
      </c>
      <c r="H104" s="14">
        <f t="shared" si="10"/>
        <v>0</v>
      </c>
      <c r="I104" s="1"/>
      <c r="R104" s="4"/>
      <c r="S104" s="1"/>
    </row>
    <row r="105" spans="1:19" x14ac:dyDescent="0.25">
      <c r="A105" s="7" t="s">
        <v>216</v>
      </c>
      <c r="B105" s="11">
        <v>0</v>
      </c>
      <c r="C105" s="11">
        <v>0</v>
      </c>
      <c r="D105" s="11">
        <v>0</v>
      </c>
      <c r="E105" s="11">
        <v>0</v>
      </c>
      <c r="F105" s="17">
        <v>0</v>
      </c>
      <c r="G105" s="11">
        <v>0</v>
      </c>
      <c r="H105" s="14">
        <f t="shared" si="10"/>
        <v>0</v>
      </c>
      <c r="I105" s="1"/>
      <c r="R105" s="4"/>
      <c r="S105" s="1"/>
    </row>
    <row r="106" spans="1:19" x14ac:dyDescent="0.25">
      <c r="A106" s="7" t="s">
        <v>174</v>
      </c>
      <c r="B106" s="11">
        <v>0</v>
      </c>
      <c r="C106" s="11">
        <v>0</v>
      </c>
      <c r="D106" s="11">
        <v>0</v>
      </c>
      <c r="E106" s="11">
        <v>0</v>
      </c>
      <c r="F106" s="17">
        <v>0</v>
      </c>
      <c r="G106" s="11">
        <v>0</v>
      </c>
      <c r="H106" s="14">
        <f t="shared" si="10"/>
        <v>0</v>
      </c>
      <c r="I106" s="1"/>
      <c r="R106" s="4"/>
      <c r="S106" s="1"/>
    </row>
    <row r="107" spans="1:19" x14ac:dyDescent="0.25">
      <c r="A107" s="7" t="s">
        <v>175</v>
      </c>
      <c r="B107" s="11">
        <v>0</v>
      </c>
      <c r="C107" s="11">
        <v>0</v>
      </c>
      <c r="D107" s="11">
        <v>0</v>
      </c>
      <c r="E107" s="19">
        <v>0</v>
      </c>
      <c r="F107" s="17">
        <v>0</v>
      </c>
      <c r="G107" s="11">
        <v>0</v>
      </c>
      <c r="H107" s="14">
        <f t="shared" si="10"/>
        <v>0</v>
      </c>
      <c r="I107" s="1"/>
      <c r="R107" s="4"/>
      <c r="S107" s="1"/>
    </row>
    <row r="108" spans="1:19" x14ac:dyDescent="0.25">
      <c r="A108" s="143" t="s">
        <v>109</v>
      </c>
      <c r="B108" s="143"/>
      <c r="C108" s="143"/>
      <c r="D108" s="143"/>
      <c r="E108" s="143"/>
      <c r="F108" s="143"/>
      <c r="G108" s="143"/>
      <c r="H108" s="143"/>
      <c r="I108" s="1"/>
      <c r="R108" s="4"/>
      <c r="S108" s="1"/>
    </row>
    <row r="109" spans="1:19" x14ac:dyDescent="0.25">
      <c r="A109" s="7" t="s">
        <v>123</v>
      </c>
      <c r="B109" s="11">
        <v>94</v>
      </c>
      <c r="C109" s="11">
        <v>223</v>
      </c>
      <c r="D109" s="11">
        <v>360</v>
      </c>
      <c r="E109" s="11">
        <v>4</v>
      </c>
      <c r="F109" s="11">
        <v>9</v>
      </c>
      <c r="G109" s="11">
        <v>0</v>
      </c>
      <c r="H109" s="28">
        <f t="shared" si="10"/>
        <v>690</v>
      </c>
      <c r="I109" s="1"/>
      <c r="J109" s="133"/>
      <c r="K109" s="133"/>
      <c r="R109" s="4"/>
      <c r="S109" s="1"/>
    </row>
    <row r="110" spans="1:19" x14ac:dyDescent="0.25">
      <c r="A110" s="7" t="s">
        <v>122</v>
      </c>
      <c r="B110" s="11">
        <v>92</v>
      </c>
      <c r="C110" s="11">
        <v>202</v>
      </c>
      <c r="D110" s="10">
        <v>379</v>
      </c>
      <c r="E110" s="11">
        <v>5</v>
      </c>
      <c r="F110" s="11">
        <v>11</v>
      </c>
      <c r="G110" s="11">
        <v>0</v>
      </c>
      <c r="H110" s="14">
        <f t="shared" si="10"/>
        <v>689</v>
      </c>
      <c r="I110" s="1"/>
      <c r="J110" s="133"/>
      <c r="K110" s="133"/>
      <c r="R110" s="4"/>
      <c r="S110" s="1"/>
    </row>
    <row r="111" spans="1:19" x14ac:dyDescent="0.25">
      <c r="A111" s="7" t="s">
        <v>121</v>
      </c>
      <c r="B111" s="11">
        <v>18</v>
      </c>
      <c r="C111" s="11">
        <v>83</v>
      </c>
      <c r="D111" s="11">
        <v>26</v>
      </c>
      <c r="E111" s="11">
        <v>1</v>
      </c>
      <c r="F111" s="11">
        <v>5</v>
      </c>
      <c r="G111" s="11">
        <v>0</v>
      </c>
      <c r="H111" s="14">
        <f t="shared" si="10"/>
        <v>133</v>
      </c>
      <c r="I111" s="1"/>
      <c r="R111" s="4"/>
      <c r="S111" s="1"/>
    </row>
    <row r="112" spans="1:19" x14ac:dyDescent="0.25">
      <c r="A112" s="7" t="s">
        <v>120</v>
      </c>
      <c r="B112" s="11">
        <v>14</v>
      </c>
      <c r="C112" s="11">
        <v>19</v>
      </c>
      <c r="D112" s="11">
        <v>52</v>
      </c>
      <c r="E112" s="11">
        <v>2</v>
      </c>
      <c r="F112" s="11">
        <v>2</v>
      </c>
      <c r="G112" s="11">
        <v>0</v>
      </c>
      <c r="H112" s="14">
        <f t="shared" si="10"/>
        <v>89</v>
      </c>
      <c r="I112" s="1"/>
      <c r="R112" s="4"/>
      <c r="S112" s="1"/>
    </row>
    <row r="113" spans="1:19" x14ac:dyDescent="0.25">
      <c r="A113" s="7" t="s">
        <v>124</v>
      </c>
      <c r="B113" s="11">
        <v>33</v>
      </c>
      <c r="C113" s="11">
        <v>0</v>
      </c>
      <c r="D113" s="11">
        <v>10</v>
      </c>
      <c r="E113" s="11">
        <v>0</v>
      </c>
      <c r="F113" s="11">
        <v>0</v>
      </c>
      <c r="G113" s="11">
        <v>0</v>
      </c>
      <c r="H113" s="14">
        <f t="shared" si="10"/>
        <v>43</v>
      </c>
      <c r="I113" s="1"/>
      <c r="R113" s="4"/>
      <c r="S113" s="1"/>
    </row>
    <row r="114" spans="1:19" x14ac:dyDescent="0.25">
      <c r="A114" s="7" t="s">
        <v>48</v>
      </c>
      <c r="B114" s="11">
        <v>0</v>
      </c>
      <c r="C114" s="11">
        <v>0</v>
      </c>
      <c r="D114" s="11">
        <v>0</v>
      </c>
      <c r="E114" s="11">
        <v>0</v>
      </c>
      <c r="F114" s="11">
        <v>0</v>
      </c>
      <c r="G114" s="11">
        <v>0</v>
      </c>
      <c r="H114" s="14">
        <f>SUM(B114:G114)</f>
        <v>0</v>
      </c>
      <c r="I114" s="1"/>
      <c r="R114" s="4"/>
      <c r="S114" s="1"/>
    </row>
    <row r="115" spans="1:19" x14ac:dyDescent="0.25">
      <c r="A115" s="162" t="s">
        <v>110</v>
      </c>
      <c r="B115" s="163"/>
      <c r="C115" s="163"/>
      <c r="D115" s="163"/>
      <c r="E115" s="163"/>
      <c r="F115" s="163"/>
      <c r="G115" s="163"/>
      <c r="H115" s="142"/>
      <c r="I115" s="1"/>
      <c r="R115" s="4"/>
      <c r="S115" s="1"/>
    </row>
    <row r="116" spans="1:19" x14ac:dyDescent="0.25">
      <c r="A116" s="8" t="s">
        <v>111</v>
      </c>
      <c r="B116" s="42">
        <v>12</v>
      </c>
      <c r="C116" s="31">
        <v>7</v>
      </c>
      <c r="D116" s="20">
        <v>34</v>
      </c>
      <c r="E116" s="31">
        <v>0</v>
      </c>
      <c r="F116" s="20">
        <v>0</v>
      </c>
      <c r="G116" s="31">
        <v>0</v>
      </c>
      <c r="H116" s="14">
        <f t="shared" ref="H116:H155" si="14">SUM(B116:G116)</f>
        <v>53</v>
      </c>
      <c r="I116" s="1"/>
      <c r="R116" s="4"/>
      <c r="S116" s="1"/>
    </row>
    <row r="117" spans="1:19" x14ac:dyDescent="0.25">
      <c r="A117" s="7" t="s">
        <v>158</v>
      </c>
      <c r="B117" s="23">
        <v>10</v>
      </c>
      <c r="C117" s="11">
        <v>0</v>
      </c>
      <c r="D117" s="10">
        <v>22</v>
      </c>
      <c r="E117" s="11">
        <v>0</v>
      </c>
      <c r="F117" s="10">
        <v>0</v>
      </c>
      <c r="G117" s="11">
        <v>0</v>
      </c>
      <c r="H117" s="14">
        <f t="shared" si="14"/>
        <v>32</v>
      </c>
      <c r="I117" s="1"/>
      <c r="R117" s="4"/>
      <c r="S117" s="1"/>
    </row>
    <row r="118" spans="1:19" x14ac:dyDescent="0.25">
      <c r="A118" s="7" t="s">
        <v>156</v>
      </c>
      <c r="B118" s="23">
        <v>72</v>
      </c>
      <c r="C118" s="11">
        <v>3</v>
      </c>
      <c r="D118" s="10">
        <v>317</v>
      </c>
      <c r="E118" s="11">
        <v>2</v>
      </c>
      <c r="F118" s="10">
        <v>0</v>
      </c>
      <c r="G118" s="11">
        <v>0</v>
      </c>
      <c r="H118" s="14">
        <f t="shared" si="14"/>
        <v>394</v>
      </c>
      <c r="I118" s="1"/>
      <c r="R118" s="4"/>
      <c r="S118" s="1"/>
    </row>
    <row r="119" spans="1:19" x14ac:dyDescent="0.25">
      <c r="A119" s="7" t="s">
        <v>187</v>
      </c>
      <c r="B119" s="23">
        <v>0</v>
      </c>
      <c r="C119" s="11">
        <v>0</v>
      </c>
      <c r="D119" s="10">
        <v>0</v>
      </c>
      <c r="E119" s="11">
        <v>0</v>
      </c>
      <c r="F119" s="10">
        <v>0</v>
      </c>
      <c r="G119" s="11">
        <v>0</v>
      </c>
      <c r="H119" s="14">
        <f t="shared" si="14"/>
        <v>0</v>
      </c>
      <c r="I119" s="1"/>
      <c r="R119" s="4"/>
      <c r="S119" s="1"/>
    </row>
    <row r="120" spans="1:19" x14ac:dyDescent="0.25">
      <c r="A120" s="7" t="s">
        <v>157</v>
      </c>
      <c r="B120" s="23">
        <v>77</v>
      </c>
      <c r="C120" s="11">
        <v>0</v>
      </c>
      <c r="D120" s="10">
        <v>125</v>
      </c>
      <c r="E120" s="11">
        <v>2</v>
      </c>
      <c r="F120" s="10">
        <v>0</v>
      </c>
      <c r="G120" s="11">
        <v>0</v>
      </c>
      <c r="H120" s="14">
        <f t="shared" si="14"/>
        <v>204</v>
      </c>
      <c r="I120" s="1"/>
      <c r="R120" s="4"/>
      <c r="S120" s="1"/>
    </row>
    <row r="121" spans="1:19" x14ac:dyDescent="0.25">
      <c r="A121" s="7" t="s">
        <v>125</v>
      </c>
      <c r="B121" s="23">
        <v>59</v>
      </c>
      <c r="C121" s="11">
        <v>8</v>
      </c>
      <c r="D121" s="10">
        <v>49</v>
      </c>
      <c r="E121" s="11">
        <v>0</v>
      </c>
      <c r="F121" s="10">
        <v>1</v>
      </c>
      <c r="G121" s="11">
        <v>0</v>
      </c>
      <c r="H121" s="14">
        <f t="shared" si="14"/>
        <v>117</v>
      </c>
      <c r="I121" s="1"/>
      <c r="R121" s="4"/>
      <c r="S121" s="1"/>
    </row>
    <row r="122" spans="1:19" x14ac:dyDescent="0.25">
      <c r="A122" s="7" t="s">
        <v>126</v>
      </c>
      <c r="B122" s="23">
        <v>0</v>
      </c>
      <c r="C122" s="11">
        <v>0</v>
      </c>
      <c r="D122" s="10">
        <v>0</v>
      </c>
      <c r="E122" s="11">
        <v>0</v>
      </c>
      <c r="F122" s="10">
        <v>0</v>
      </c>
      <c r="G122" s="11">
        <v>0</v>
      </c>
      <c r="H122" s="14">
        <f t="shared" si="14"/>
        <v>0</v>
      </c>
      <c r="I122" s="1"/>
      <c r="R122" s="4"/>
      <c r="S122" s="1"/>
    </row>
    <row r="123" spans="1:19" x14ac:dyDescent="0.25">
      <c r="A123" s="7" t="s">
        <v>103</v>
      </c>
      <c r="B123" s="23">
        <v>14</v>
      </c>
      <c r="C123" s="11">
        <v>4</v>
      </c>
      <c r="D123" s="10">
        <v>64</v>
      </c>
      <c r="E123" s="11">
        <v>3</v>
      </c>
      <c r="F123" s="10">
        <v>2</v>
      </c>
      <c r="G123" s="11">
        <v>0</v>
      </c>
      <c r="H123" s="14">
        <f t="shared" si="14"/>
        <v>87</v>
      </c>
      <c r="I123" s="1"/>
      <c r="R123" s="4"/>
      <c r="S123" s="1"/>
    </row>
    <row r="124" spans="1:19" x14ac:dyDescent="0.25">
      <c r="A124" s="7" t="s">
        <v>127</v>
      </c>
      <c r="B124" s="23">
        <v>12</v>
      </c>
      <c r="C124" s="11">
        <v>2</v>
      </c>
      <c r="D124" s="10">
        <v>10</v>
      </c>
      <c r="E124" s="11">
        <v>1</v>
      </c>
      <c r="F124" s="10">
        <v>1</v>
      </c>
      <c r="G124" s="11">
        <v>0</v>
      </c>
      <c r="H124" s="14">
        <f t="shared" si="14"/>
        <v>26</v>
      </c>
      <c r="I124" s="1"/>
      <c r="R124" s="4"/>
      <c r="S124" s="1"/>
    </row>
    <row r="125" spans="1:19" x14ac:dyDescent="0.25">
      <c r="A125" s="7" t="s">
        <v>128</v>
      </c>
      <c r="B125" s="23">
        <v>39</v>
      </c>
      <c r="C125" s="11">
        <v>2</v>
      </c>
      <c r="D125" s="10">
        <v>37</v>
      </c>
      <c r="E125" s="11">
        <v>1</v>
      </c>
      <c r="F125" s="10">
        <v>1</v>
      </c>
      <c r="G125" s="11">
        <v>0</v>
      </c>
      <c r="H125" s="14">
        <f t="shared" si="14"/>
        <v>80</v>
      </c>
      <c r="I125" s="1"/>
      <c r="R125" s="4"/>
      <c r="S125" s="1"/>
    </row>
    <row r="126" spans="1:19" x14ac:dyDescent="0.25">
      <c r="A126" s="7" t="s">
        <v>129</v>
      </c>
      <c r="B126" s="23">
        <v>43</v>
      </c>
      <c r="C126" s="11">
        <v>2</v>
      </c>
      <c r="D126" s="10">
        <v>33</v>
      </c>
      <c r="E126" s="11">
        <v>0</v>
      </c>
      <c r="F126" s="10">
        <v>1</v>
      </c>
      <c r="G126" s="11">
        <v>0</v>
      </c>
      <c r="H126" s="14">
        <f t="shared" si="14"/>
        <v>79</v>
      </c>
      <c r="I126" s="1"/>
      <c r="R126" s="4"/>
      <c r="S126" s="1"/>
    </row>
    <row r="127" spans="1:19" x14ac:dyDescent="0.25">
      <c r="A127" s="7" t="s">
        <v>44</v>
      </c>
      <c r="B127" s="23">
        <v>25</v>
      </c>
      <c r="C127" s="11">
        <v>5</v>
      </c>
      <c r="D127" s="10">
        <v>95</v>
      </c>
      <c r="E127" s="11">
        <v>4</v>
      </c>
      <c r="F127" s="10">
        <v>4</v>
      </c>
      <c r="G127" s="11">
        <v>1</v>
      </c>
      <c r="H127" s="14">
        <f t="shared" si="14"/>
        <v>134</v>
      </c>
      <c r="I127" s="1"/>
      <c r="R127" s="4"/>
      <c r="S127" s="1"/>
    </row>
    <row r="128" spans="1:19" x14ac:dyDescent="0.25">
      <c r="A128" s="7" t="s">
        <v>92</v>
      </c>
      <c r="B128" s="23">
        <v>7</v>
      </c>
      <c r="C128" s="11">
        <v>0</v>
      </c>
      <c r="D128" s="10">
        <v>40</v>
      </c>
      <c r="E128" s="11">
        <v>0</v>
      </c>
      <c r="F128" s="10">
        <v>1</v>
      </c>
      <c r="G128" s="11">
        <v>1</v>
      </c>
      <c r="H128" s="14">
        <f t="shared" si="14"/>
        <v>49</v>
      </c>
      <c r="I128" s="1"/>
      <c r="R128" s="4"/>
      <c r="S128" s="1"/>
    </row>
    <row r="129" spans="1:19" x14ac:dyDescent="0.25">
      <c r="A129" s="7" t="s">
        <v>45</v>
      </c>
      <c r="B129" s="23">
        <v>38</v>
      </c>
      <c r="C129" s="11">
        <v>16</v>
      </c>
      <c r="D129" s="10">
        <v>14</v>
      </c>
      <c r="E129" s="11">
        <v>0</v>
      </c>
      <c r="F129" s="10">
        <v>1</v>
      </c>
      <c r="G129" s="11">
        <v>0</v>
      </c>
      <c r="H129" s="14">
        <f t="shared" si="14"/>
        <v>69</v>
      </c>
      <c r="I129" s="1"/>
      <c r="R129" s="4"/>
      <c r="S129" s="1"/>
    </row>
    <row r="130" spans="1:19" x14ac:dyDescent="0.25">
      <c r="A130" s="7" t="s">
        <v>99</v>
      </c>
      <c r="B130" s="23">
        <v>102</v>
      </c>
      <c r="C130" s="11">
        <v>56</v>
      </c>
      <c r="D130" s="10">
        <v>6</v>
      </c>
      <c r="E130" s="11">
        <v>1</v>
      </c>
      <c r="F130" s="10">
        <v>0</v>
      </c>
      <c r="G130" s="11">
        <v>0</v>
      </c>
      <c r="H130" s="14">
        <f t="shared" si="14"/>
        <v>165</v>
      </c>
      <c r="I130" s="1"/>
      <c r="R130" s="4"/>
      <c r="S130" s="1"/>
    </row>
    <row r="131" spans="1:19" ht="15.75" customHeight="1" x14ac:dyDescent="0.25">
      <c r="A131" s="7" t="s">
        <v>100</v>
      </c>
      <c r="B131" s="23">
        <v>8</v>
      </c>
      <c r="C131" s="11">
        <v>0</v>
      </c>
      <c r="D131" s="10">
        <v>37</v>
      </c>
      <c r="E131" s="11">
        <v>2</v>
      </c>
      <c r="F131" s="10">
        <v>0</v>
      </c>
      <c r="G131" s="11">
        <v>0</v>
      </c>
      <c r="H131" s="14">
        <f t="shared" si="14"/>
        <v>47</v>
      </c>
      <c r="I131" s="1"/>
      <c r="R131" s="4"/>
      <c r="S131" s="1"/>
    </row>
    <row r="132" spans="1:19" x14ac:dyDescent="0.25">
      <c r="A132" s="7" t="s">
        <v>46</v>
      </c>
      <c r="B132" s="23">
        <v>12</v>
      </c>
      <c r="C132" s="11">
        <v>0</v>
      </c>
      <c r="D132" s="10">
        <v>9</v>
      </c>
      <c r="E132" s="11">
        <v>1</v>
      </c>
      <c r="F132" s="10">
        <v>0</v>
      </c>
      <c r="G132" s="11">
        <v>0</v>
      </c>
      <c r="H132" s="14">
        <f t="shared" si="14"/>
        <v>22</v>
      </c>
      <c r="I132" s="1"/>
      <c r="R132" s="4"/>
      <c r="S132" s="1"/>
    </row>
    <row r="133" spans="1:19" x14ac:dyDescent="0.25">
      <c r="A133" s="7" t="s">
        <v>47</v>
      </c>
      <c r="B133" s="23">
        <v>0</v>
      </c>
      <c r="C133" s="11">
        <v>0</v>
      </c>
      <c r="D133" s="10">
        <v>0</v>
      </c>
      <c r="E133" s="11">
        <v>0</v>
      </c>
      <c r="F133" s="10">
        <v>0</v>
      </c>
      <c r="G133" s="11">
        <v>0</v>
      </c>
      <c r="H133" s="14">
        <f t="shared" si="14"/>
        <v>0</v>
      </c>
      <c r="I133" s="1"/>
      <c r="R133" s="4"/>
      <c r="S133" s="1"/>
    </row>
    <row r="134" spans="1:19" x14ac:dyDescent="0.25">
      <c r="A134" s="7" t="s">
        <v>53</v>
      </c>
      <c r="B134" s="23">
        <v>1</v>
      </c>
      <c r="C134" s="11">
        <v>0</v>
      </c>
      <c r="D134" s="10">
        <v>5</v>
      </c>
      <c r="E134" s="11">
        <v>1</v>
      </c>
      <c r="F134" s="10">
        <v>0</v>
      </c>
      <c r="G134" s="11">
        <v>0</v>
      </c>
      <c r="H134" s="14">
        <f t="shared" si="14"/>
        <v>7</v>
      </c>
      <c r="I134" s="1"/>
      <c r="R134" s="4"/>
      <c r="S134" s="1"/>
    </row>
    <row r="135" spans="1:19" x14ac:dyDescent="0.25">
      <c r="A135" s="7" t="s">
        <v>134</v>
      </c>
      <c r="B135" s="23">
        <v>69</v>
      </c>
      <c r="C135" s="11">
        <v>6</v>
      </c>
      <c r="D135" s="10">
        <v>146</v>
      </c>
      <c r="E135" s="11">
        <v>4</v>
      </c>
      <c r="F135" s="10">
        <v>4</v>
      </c>
      <c r="G135" s="11">
        <v>0</v>
      </c>
      <c r="H135" s="14">
        <f t="shared" si="14"/>
        <v>229</v>
      </c>
      <c r="I135" s="1"/>
      <c r="R135" s="4"/>
      <c r="S135" s="1"/>
    </row>
    <row r="136" spans="1:19" x14ac:dyDescent="0.25">
      <c r="A136" s="7" t="s">
        <v>135</v>
      </c>
      <c r="B136" s="23">
        <v>74</v>
      </c>
      <c r="C136" s="11">
        <v>9</v>
      </c>
      <c r="D136" s="10">
        <v>245</v>
      </c>
      <c r="E136" s="11">
        <v>7</v>
      </c>
      <c r="F136" s="10">
        <v>4</v>
      </c>
      <c r="G136" s="11">
        <v>0</v>
      </c>
      <c r="H136" s="14">
        <f t="shared" si="14"/>
        <v>339</v>
      </c>
      <c r="I136" s="1"/>
      <c r="R136" s="4"/>
      <c r="S136" s="1"/>
    </row>
    <row r="137" spans="1:19" x14ac:dyDescent="0.25">
      <c r="A137" s="7" t="s">
        <v>49</v>
      </c>
      <c r="B137" s="23">
        <v>77</v>
      </c>
      <c r="C137" s="11">
        <v>9</v>
      </c>
      <c r="D137" s="10">
        <v>251</v>
      </c>
      <c r="E137" s="11">
        <v>7</v>
      </c>
      <c r="F137" s="10">
        <v>4</v>
      </c>
      <c r="G137" s="11">
        <v>0</v>
      </c>
      <c r="H137" s="27">
        <f t="shared" si="14"/>
        <v>348</v>
      </c>
      <c r="I137" s="1"/>
      <c r="R137" s="4"/>
      <c r="S137" s="1"/>
    </row>
    <row r="138" spans="1:19" x14ac:dyDescent="0.25">
      <c r="A138" s="7" t="s">
        <v>189</v>
      </c>
      <c r="B138" s="23">
        <v>18</v>
      </c>
      <c r="C138" s="11">
        <v>2</v>
      </c>
      <c r="D138" s="10">
        <v>23</v>
      </c>
      <c r="E138" s="11">
        <v>0</v>
      </c>
      <c r="F138" s="10">
        <v>0</v>
      </c>
      <c r="G138" s="11">
        <v>0</v>
      </c>
      <c r="H138" s="27">
        <f t="shared" si="14"/>
        <v>43</v>
      </c>
      <c r="I138" s="1"/>
      <c r="R138" s="4"/>
      <c r="S138" s="1"/>
    </row>
    <row r="139" spans="1:19" x14ac:dyDescent="0.25">
      <c r="A139" s="7" t="s">
        <v>50</v>
      </c>
      <c r="B139" s="23">
        <v>21</v>
      </c>
      <c r="C139" s="11">
        <v>59</v>
      </c>
      <c r="D139" s="10">
        <v>0</v>
      </c>
      <c r="E139" s="11">
        <v>1</v>
      </c>
      <c r="F139" s="10">
        <v>0</v>
      </c>
      <c r="G139" s="11">
        <v>0</v>
      </c>
      <c r="H139" s="14">
        <f t="shared" si="14"/>
        <v>81</v>
      </c>
      <c r="I139" s="1"/>
      <c r="R139" s="4"/>
      <c r="S139" s="1"/>
    </row>
    <row r="140" spans="1:19" x14ac:dyDescent="0.25">
      <c r="A140" s="7" t="s">
        <v>104</v>
      </c>
      <c r="B140" s="23">
        <v>5</v>
      </c>
      <c r="C140" s="11">
        <v>0</v>
      </c>
      <c r="D140" s="10">
        <v>2</v>
      </c>
      <c r="E140" s="11">
        <v>0</v>
      </c>
      <c r="F140" s="10">
        <v>0</v>
      </c>
      <c r="G140" s="11">
        <v>0</v>
      </c>
      <c r="H140" s="14">
        <f t="shared" si="14"/>
        <v>7</v>
      </c>
      <c r="I140" s="1"/>
      <c r="R140" s="6"/>
      <c r="S140" s="1"/>
    </row>
    <row r="141" spans="1:19" x14ac:dyDescent="0.25">
      <c r="A141" s="7" t="s">
        <v>51</v>
      </c>
      <c r="B141" s="23">
        <v>14</v>
      </c>
      <c r="C141" s="11">
        <v>0</v>
      </c>
      <c r="D141" s="10">
        <v>4</v>
      </c>
      <c r="E141" s="11">
        <v>2</v>
      </c>
      <c r="F141" s="10">
        <v>0</v>
      </c>
      <c r="G141" s="11">
        <v>0</v>
      </c>
      <c r="H141" s="14">
        <f t="shared" si="14"/>
        <v>20</v>
      </c>
    </row>
    <row r="142" spans="1:19" x14ac:dyDescent="0.25">
      <c r="A142" s="7" t="s">
        <v>52</v>
      </c>
      <c r="B142" s="23">
        <v>16</v>
      </c>
      <c r="C142" s="11">
        <v>0</v>
      </c>
      <c r="D142" s="10">
        <v>6</v>
      </c>
      <c r="E142" s="11">
        <v>2</v>
      </c>
      <c r="F142" s="10">
        <v>0</v>
      </c>
      <c r="G142" s="11">
        <v>0</v>
      </c>
      <c r="H142" s="14">
        <f t="shared" si="14"/>
        <v>24</v>
      </c>
    </row>
    <row r="143" spans="1:19" x14ac:dyDescent="0.25">
      <c r="A143" s="7" t="s">
        <v>115</v>
      </c>
      <c r="B143" s="23">
        <v>2</v>
      </c>
      <c r="C143" s="11">
        <v>3</v>
      </c>
      <c r="D143" s="10">
        <v>2</v>
      </c>
      <c r="E143" s="11">
        <v>0</v>
      </c>
      <c r="F143" s="10">
        <v>0</v>
      </c>
      <c r="G143" s="11">
        <v>0</v>
      </c>
      <c r="H143" s="14">
        <f t="shared" si="14"/>
        <v>7</v>
      </c>
    </row>
    <row r="144" spans="1:19" x14ac:dyDescent="0.25">
      <c r="A144" s="7" t="s">
        <v>116</v>
      </c>
      <c r="B144" s="23">
        <v>7</v>
      </c>
      <c r="C144" s="11">
        <v>0</v>
      </c>
      <c r="D144" s="10">
        <v>5</v>
      </c>
      <c r="E144" s="11">
        <v>0</v>
      </c>
      <c r="F144" s="10">
        <v>0</v>
      </c>
      <c r="G144" s="11">
        <v>0</v>
      </c>
      <c r="H144" s="14">
        <f t="shared" si="14"/>
        <v>12</v>
      </c>
    </row>
    <row r="145" spans="1:13" x14ac:dyDescent="0.25">
      <c r="A145" s="7" t="s">
        <v>102</v>
      </c>
      <c r="B145" s="23">
        <v>26</v>
      </c>
      <c r="C145" s="11">
        <v>10</v>
      </c>
      <c r="D145" s="10">
        <v>28</v>
      </c>
      <c r="E145" s="11">
        <v>0</v>
      </c>
      <c r="F145" s="10">
        <v>0</v>
      </c>
      <c r="G145" s="11">
        <v>0</v>
      </c>
      <c r="H145" s="14">
        <f t="shared" si="14"/>
        <v>64</v>
      </c>
    </row>
    <row r="146" spans="1:13" x14ac:dyDescent="0.25">
      <c r="A146" s="7" t="s">
        <v>203</v>
      </c>
      <c r="B146" s="23">
        <v>6</v>
      </c>
      <c r="C146" s="11">
        <v>3</v>
      </c>
      <c r="D146" s="10">
        <v>40</v>
      </c>
      <c r="E146" s="11">
        <v>0</v>
      </c>
      <c r="F146" s="10">
        <v>0</v>
      </c>
      <c r="G146" s="11">
        <v>0</v>
      </c>
      <c r="H146" s="14">
        <f t="shared" si="14"/>
        <v>49</v>
      </c>
    </row>
    <row r="147" spans="1:13" x14ac:dyDescent="0.25">
      <c r="A147" s="7" t="s">
        <v>197</v>
      </c>
      <c r="B147" s="23">
        <v>4</v>
      </c>
      <c r="C147" s="11">
        <v>0</v>
      </c>
      <c r="D147" s="10">
        <v>2</v>
      </c>
      <c r="E147" s="11">
        <v>0</v>
      </c>
      <c r="F147" s="10">
        <v>0</v>
      </c>
      <c r="G147" s="11">
        <v>0</v>
      </c>
      <c r="H147" s="14">
        <f t="shared" si="14"/>
        <v>6</v>
      </c>
    </row>
    <row r="148" spans="1:13" x14ac:dyDescent="0.25">
      <c r="A148" s="7" t="s">
        <v>217</v>
      </c>
      <c r="B148" s="23">
        <v>2</v>
      </c>
      <c r="C148" s="11">
        <v>0</v>
      </c>
      <c r="D148" s="10">
        <v>3</v>
      </c>
      <c r="E148" s="11">
        <v>0</v>
      </c>
      <c r="F148" s="10">
        <v>0</v>
      </c>
      <c r="G148" s="11">
        <v>0</v>
      </c>
      <c r="H148" s="14">
        <f t="shared" si="14"/>
        <v>5</v>
      </c>
    </row>
    <row r="149" spans="1:13" x14ac:dyDescent="0.25">
      <c r="A149" s="7" t="s">
        <v>198</v>
      </c>
      <c r="B149" s="23">
        <v>3</v>
      </c>
      <c r="C149" s="11">
        <v>0</v>
      </c>
      <c r="D149" s="10">
        <v>3</v>
      </c>
      <c r="E149" s="11">
        <v>0</v>
      </c>
      <c r="F149" s="10">
        <v>0</v>
      </c>
      <c r="G149" s="11">
        <v>0</v>
      </c>
      <c r="H149" s="14">
        <f t="shared" si="14"/>
        <v>6</v>
      </c>
    </row>
    <row r="150" spans="1:13" x14ac:dyDescent="0.25">
      <c r="A150" s="7" t="s">
        <v>199</v>
      </c>
      <c r="B150" s="23">
        <v>3</v>
      </c>
      <c r="C150" s="11">
        <v>0</v>
      </c>
      <c r="D150" s="10">
        <v>6</v>
      </c>
      <c r="E150" s="11">
        <v>0</v>
      </c>
      <c r="F150" s="10">
        <v>0</v>
      </c>
      <c r="G150" s="11">
        <v>0</v>
      </c>
      <c r="H150" s="14">
        <f t="shared" si="14"/>
        <v>9</v>
      </c>
    </row>
    <row r="151" spans="1:13" x14ac:dyDescent="0.25">
      <c r="A151" s="7" t="s">
        <v>200</v>
      </c>
      <c r="B151" s="23">
        <v>0</v>
      </c>
      <c r="C151" s="11">
        <v>0</v>
      </c>
      <c r="D151" s="10">
        <v>0</v>
      </c>
      <c r="E151" s="11">
        <v>0</v>
      </c>
      <c r="F151" s="10">
        <v>0</v>
      </c>
      <c r="G151" s="11">
        <v>0</v>
      </c>
      <c r="H151" s="14">
        <f t="shared" si="14"/>
        <v>0</v>
      </c>
    </row>
    <row r="152" spans="1:13" x14ac:dyDescent="0.25">
      <c r="A152" s="7" t="s">
        <v>223</v>
      </c>
      <c r="B152" s="23">
        <v>0</v>
      </c>
      <c r="C152" s="11">
        <v>0</v>
      </c>
      <c r="D152" s="10">
        <v>0</v>
      </c>
      <c r="E152" s="11">
        <v>0</v>
      </c>
      <c r="F152" s="10">
        <v>0</v>
      </c>
      <c r="G152" s="11">
        <v>0</v>
      </c>
      <c r="H152" s="14">
        <f t="shared" si="14"/>
        <v>0</v>
      </c>
    </row>
    <row r="153" spans="1:13" x14ac:dyDescent="0.25">
      <c r="A153" s="7" t="s">
        <v>105</v>
      </c>
      <c r="B153" s="23">
        <v>29</v>
      </c>
      <c r="C153" s="11">
        <v>7</v>
      </c>
      <c r="D153" s="10">
        <v>18</v>
      </c>
      <c r="E153" s="11">
        <v>1</v>
      </c>
      <c r="F153" s="10">
        <v>0</v>
      </c>
      <c r="G153" s="11">
        <v>0</v>
      </c>
      <c r="H153" s="14">
        <f t="shared" si="14"/>
        <v>55</v>
      </c>
    </row>
    <row r="154" spans="1:13" x14ac:dyDescent="0.25">
      <c r="A154" s="7" t="s">
        <v>206</v>
      </c>
      <c r="B154" s="129">
        <v>0</v>
      </c>
      <c r="C154" s="130">
        <v>0</v>
      </c>
      <c r="D154" s="129">
        <v>0</v>
      </c>
      <c r="E154" s="130">
        <v>0</v>
      </c>
      <c r="F154" s="129">
        <v>0</v>
      </c>
      <c r="G154" s="130">
        <v>0</v>
      </c>
      <c r="H154" s="14">
        <f t="shared" si="14"/>
        <v>0</v>
      </c>
    </row>
    <row r="155" spans="1:13" x14ac:dyDescent="0.25">
      <c r="A155" s="107" t="s">
        <v>207</v>
      </c>
      <c r="B155" s="131">
        <v>0</v>
      </c>
      <c r="C155" s="132">
        <v>0</v>
      </c>
      <c r="D155" s="131">
        <v>0</v>
      </c>
      <c r="E155" s="132">
        <v>0</v>
      </c>
      <c r="F155" s="131">
        <v>0</v>
      </c>
      <c r="G155" s="132">
        <v>0</v>
      </c>
      <c r="H155" s="14">
        <f t="shared" si="14"/>
        <v>0</v>
      </c>
    </row>
    <row r="158" spans="1:13" x14ac:dyDescent="0.25">
      <c r="J158" s="133"/>
      <c r="K158" s="133"/>
      <c r="L158" s="133"/>
      <c r="M158" s="133"/>
    </row>
    <row r="159" spans="1:13" x14ac:dyDescent="0.25">
      <c r="J159" s="133"/>
    </row>
  </sheetData>
  <mergeCells count="30">
    <mergeCell ref="K109:K110"/>
    <mergeCell ref="J52:Q52"/>
    <mergeCell ref="A3:R3"/>
    <mergeCell ref="B4:J4"/>
    <mergeCell ref="L4:R4"/>
    <mergeCell ref="A9:A10"/>
    <mergeCell ref="B9:H9"/>
    <mergeCell ref="J9:J10"/>
    <mergeCell ref="K9:Q9"/>
    <mergeCell ref="J26:J27"/>
    <mergeCell ref="K26:Q26"/>
    <mergeCell ref="J39:J40"/>
    <mergeCell ref="K39:Q39"/>
    <mergeCell ref="J50:M50"/>
    <mergeCell ref="A115:H115"/>
    <mergeCell ref="J158:J159"/>
    <mergeCell ref="K158:M158"/>
    <mergeCell ref="A108:H108"/>
    <mergeCell ref="J53:P53"/>
    <mergeCell ref="J54:P54"/>
    <mergeCell ref="J55:P55"/>
    <mergeCell ref="J56:P56"/>
    <mergeCell ref="J57:P57"/>
    <mergeCell ref="J58:P58"/>
    <mergeCell ref="J59:P59"/>
    <mergeCell ref="J60:P60"/>
    <mergeCell ref="J61:P61"/>
    <mergeCell ref="J62:P62"/>
    <mergeCell ref="K86:M86"/>
    <mergeCell ref="J109:J110"/>
  </mergeCells>
  <pageMargins left="1" right="1" top="1" bottom="1" header="0.5" footer="0.5"/>
  <pageSetup paperSize="9" scale="50" fitToHeight="0" orientation="landscape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CD301-F8B4-4CBF-A77B-5BB2C17770CC}">
  <sheetPr>
    <pageSetUpPr fitToPage="1"/>
  </sheetPr>
  <dimension ref="A3:S168"/>
  <sheetViews>
    <sheetView topLeftCell="A28" zoomScale="80" zoomScaleNormal="80" workbookViewId="0">
      <selection activeCell="Q55" sqref="Q55"/>
    </sheetView>
  </sheetViews>
  <sheetFormatPr baseColWidth="10" defaultRowHeight="15" x14ac:dyDescent="0.25"/>
  <cols>
    <col min="1" max="1" width="49.85546875" customWidth="1"/>
    <col min="2" max="6" width="9.85546875" customWidth="1"/>
    <col min="7" max="7" width="13.5703125" customWidth="1"/>
    <col min="8" max="8" width="9.28515625" customWidth="1"/>
    <col min="9" max="9" width="9.42578125" customWidth="1"/>
    <col min="10" max="10" width="43.7109375" customWidth="1"/>
    <col min="11" max="15" width="9.28515625" customWidth="1"/>
    <col min="16" max="16" width="10.42578125" customWidth="1"/>
    <col min="17" max="17" width="10" customWidth="1"/>
    <col min="18" max="18" width="2.85546875" customWidth="1"/>
  </cols>
  <sheetData>
    <row r="3" spans="1:19" ht="26.25" x14ac:dyDescent="0.25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"/>
    </row>
    <row r="4" spans="1:19" ht="15.75" x14ac:dyDescent="0.25">
      <c r="A4" s="1" t="s">
        <v>12</v>
      </c>
      <c r="B4" s="155" t="s">
        <v>16</v>
      </c>
      <c r="C4" s="156"/>
      <c r="D4" s="156"/>
      <c r="E4" s="156"/>
      <c r="F4" s="156"/>
      <c r="G4" s="156"/>
      <c r="H4" s="156"/>
      <c r="I4" s="156"/>
      <c r="J4" s="157"/>
      <c r="K4" s="9" t="s">
        <v>14</v>
      </c>
      <c r="L4" s="147" t="s">
        <v>201</v>
      </c>
      <c r="M4" s="148"/>
      <c r="N4" s="148"/>
      <c r="O4" s="148"/>
      <c r="P4" s="148"/>
      <c r="Q4" s="148"/>
      <c r="R4" s="149"/>
      <c r="S4" s="1"/>
    </row>
    <row r="5" spans="1:19" x14ac:dyDescent="0.25">
      <c r="A5" s="1"/>
      <c r="B5" s="1"/>
      <c r="C5" s="1"/>
      <c r="D5" s="10"/>
      <c r="E5" s="1"/>
      <c r="F5" s="1"/>
      <c r="G5" s="1"/>
      <c r="H5" s="1"/>
      <c r="I5" s="1"/>
      <c r="J5" s="1"/>
      <c r="K5" s="9"/>
      <c r="L5" s="10"/>
      <c r="M5" s="10"/>
      <c r="N5" s="10"/>
      <c r="O5" s="10"/>
      <c r="P5" s="10"/>
      <c r="Q5" s="10"/>
      <c r="R5" s="10"/>
      <c r="S5" s="1"/>
    </row>
    <row r="6" spans="1:19" x14ac:dyDescent="0.25">
      <c r="A6" s="1" t="s">
        <v>204</v>
      </c>
      <c r="B6" s="30">
        <v>3</v>
      </c>
      <c r="C6" s="1"/>
      <c r="D6" s="10"/>
      <c r="E6" s="1"/>
      <c r="F6" s="1"/>
      <c r="G6" s="1"/>
      <c r="H6" s="1"/>
      <c r="I6" s="1"/>
      <c r="J6" s="1"/>
      <c r="K6" s="9" t="s">
        <v>13</v>
      </c>
      <c r="L6" s="30">
        <v>2025</v>
      </c>
      <c r="M6" s="1"/>
      <c r="N6" s="1"/>
      <c r="O6" s="1"/>
      <c r="P6" s="1"/>
      <c r="Q6" s="1"/>
      <c r="R6" s="1"/>
      <c r="S6" s="1"/>
    </row>
    <row r="7" spans="1:19" x14ac:dyDescent="0.25">
      <c r="A7" s="1"/>
      <c r="B7" s="1"/>
      <c r="C7" s="1"/>
      <c r="D7" s="10"/>
      <c r="E7" s="1"/>
      <c r="F7" s="1"/>
      <c r="G7" s="1"/>
      <c r="H7" s="1"/>
      <c r="I7" s="1"/>
      <c r="J7" s="1"/>
      <c r="K7" s="1"/>
      <c r="L7" s="44"/>
      <c r="M7" s="1"/>
      <c r="N7" s="1"/>
      <c r="O7" s="1"/>
      <c r="P7" s="1"/>
      <c r="Q7" s="1"/>
      <c r="R7" s="1"/>
      <c r="S7" s="1"/>
    </row>
    <row r="8" spans="1:19" ht="15.75" thickBot="1" x14ac:dyDescent="0.3">
      <c r="A8" s="2"/>
      <c r="B8" s="2"/>
      <c r="C8" s="2"/>
      <c r="D8" s="20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3"/>
      <c r="S8" s="1"/>
    </row>
    <row r="9" spans="1:19" x14ac:dyDescent="0.25">
      <c r="A9" s="150" t="s">
        <v>148</v>
      </c>
      <c r="B9" s="152" t="s">
        <v>11</v>
      </c>
      <c r="C9" s="152"/>
      <c r="D9" s="152"/>
      <c r="E9" s="152"/>
      <c r="F9" s="152"/>
      <c r="G9" s="152"/>
      <c r="H9" s="152"/>
      <c r="I9" s="1"/>
      <c r="J9" s="153" t="s">
        <v>149</v>
      </c>
      <c r="K9" s="136" t="s">
        <v>11</v>
      </c>
      <c r="L9" s="136"/>
      <c r="M9" s="136"/>
      <c r="N9" s="136"/>
      <c r="O9" s="136"/>
      <c r="P9" s="136"/>
      <c r="Q9" s="137"/>
      <c r="R9" s="4"/>
      <c r="S9" s="1"/>
    </row>
    <row r="10" spans="1:19" x14ac:dyDescent="0.25">
      <c r="A10" s="151"/>
      <c r="B10" s="30" t="s">
        <v>8</v>
      </c>
      <c r="C10" s="30" t="s">
        <v>9</v>
      </c>
      <c r="D10" s="30" t="s">
        <v>10</v>
      </c>
      <c r="E10" s="30" t="s">
        <v>154</v>
      </c>
      <c r="F10" s="30" t="s">
        <v>155</v>
      </c>
      <c r="G10" s="30" t="s">
        <v>147</v>
      </c>
      <c r="H10" s="30" t="s">
        <v>11</v>
      </c>
      <c r="I10" s="1"/>
      <c r="J10" s="154"/>
      <c r="K10" s="30" t="s">
        <v>8</v>
      </c>
      <c r="L10" s="30" t="s">
        <v>9</v>
      </c>
      <c r="M10" s="30" t="s">
        <v>10</v>
      </c>
      <c r="N10" s="30" t="s">
        <v>154</v>
      </c>
      <c r="O10" s="30" t="s">
        <v>155</v>
      </c>
      <c r="P10" s="30" t="s">
        <v>147</v>
      </c>
      <c r="Q10" s="54" t="s">
        <v>11</v>
      </c>
      <c r="R10" s="4"/>
      <c r="S10" s="1"/>
    </row>
    <row r="11" spans="1:19" x14ac:dyDescent="0.25">
      <c r="A11" s="15" t="s">
        <v>0</v>
      </c>
      <c r="B11" s="16">
        <f t="shared" ref="B11:G11" si="0">B12+B51+B69+B82+B95</f>
        <v>13532</v>
      </c>
      <c r="C11" s="16">
        <f t="shared" si="0"/>
        <v>16643</v>
      </c>
      <c r="D11" s="16">
        <f t="shared" si="0"/>
        <v>14214</v>
      </c>
      <c r="E11" s="16">
        <f t="shared" si="0"/>
        <v>771</v>
      </c>
      <c r="F11" s="16">
        <f t="shared" si="0"/>
        <v>84</v>
      </c>
      <c r="G11" s="16">
        <f t="shared" si="0"/>
        <v>13</v>
      </c>
      <c r="H11" s="12">
        <f>SUM(B11:G11)</f>
        <v>45257</v>
      </c>
      <c r="I11" s="1"/>
      <c r="J11" s="79" t="s">
        <v>85</v>
      </c>
      <c r="K11" s="74">
        <f t="shared" ref="K11:P11" si="1">SUM(K12:K23)</f>
        <v>364</v>
      </c>
      <c r="L11" s="74">
        <f t="shared" si="1"/>
        <v>0</v>
      </c>
      <c r="M11" s="74">
        <f t="shared" si="1"/>
        <v>1864</v>
      </c>
      <c r="N11" s="74">
        <f t="shared" si="1"/>
        <v>8</v>
      </c>
      <c r="O11" s="74">
        <f t="shared" si="1"/>
        <v>5</v>
      </c>
      <c r="P11" s="74">
        <f t="shared" si="1"/>
        <v>40</v>
      </c>
      <c r="Q11" s="80">
        <f t="shared" ref="Q11:Q23" si="2">SUM(K11:P11)</f>
        <v>2281</v>
      </c>
      <c r="R11" s="4"/>
      <c r="S11" s="1"/>
    </row>
    <row r="12" spans="1:19" x14ac:dyDescent="0.25">
      <c r="A12" s="73" t="s">
        <v>1</v>
      </c>
      <c r="B12" s="74">
        <f t="shared" ref="B12:G12" si="3">SUM(B13:B50)</f>
        <v>9168</v>
      </c>
      <c r="C12" s="74">
        <f t="shared" si="3"/>
        <v>9743</v>
      </c>
      <c r="D12" s="74">
        <f t="shared" si="3"/>
        <v>8293</v>
      </c>
      <c r="E12" s="74">
        <f t="shared" si="3"/>
        <v>515</v>
      </c>
      <c r="F12" s="74">
        <f t="shared" si="3"/>
        <v>21</v>
      </c>
      <c r="G12" s="74">
        <f t="shared" si="3"/>
        <v>1</v>
      </c>
      <c r="H12" s="74">
        <f>SUM(B12:G12)</f>
        <v>27741</v>
      </c>
      <c r="I12" s="1"/>
      <c r="J12" s="55" t="s">
        <v>4</v>
      </c>
      <c r="K12" s="68">
        <v>0</v>
      </c>
      <c r="L12" s="68">
        <v>0</v>
      </c>
      <c r="M12" s="68">
        <v>28</v>
      </c>
      <c r="N12" s="68">
        <v>7</v>
      </c>
      <c r="O12" s="68">
        <v>0</v>
      </c>
      <c r="P12" s="68">
        <v>40</v>
      </c>
      <c r="Q12" s="40">
        <f t="shared" si="2"/>
        <v>75</v>
      </c>
      <c r="R12" s="4"/>
      <c r="S12" s="1"/>
    </row>
    <row r="13" spans="1:19" x14ac:dyDescent="0.25">
      <c r="A13" s="8" t="s">
        <v>17</v>
      </c>
      <c r="B13" s="170">
        <v>42</v>
      </c>
      <c r="C13" s="168">
        <v>0</v>
      </c>
      <c r="D13" s="168">
        <v>64</v>
      </c>
      <c r="E13" s="168">
        <v>3</v>
      </c>
      <c r="F13" s="168">
        <v>0</v>
      </c>
      <c r="G13" s="168">
        <v>0</v>
      </c>
      <c r="H13" s="12">
        <f>SUM(B13:G13)</f>
        <v>109</v>
      </c>
      <c r="I13" s="1"/>
      <c r="J13" s="55" t="s">
        <v>81</v>
      </c>
      <c r="K13" s="68">
        <v>0</v>
      </c>
      <c r="L13" s="68">
        <v>0</v>
      </c>
      <c r="M13" s="68">
        <v>6</v>
      </c>
      <c r="N13" s="68">
        <v>0</v>
      </c>
      <c r="O13" s="68">
        <v>0</v>
      </c>
      <c r="P13" s="68">
        <v>0</v>
      </c>
      <c r="Q13" s="40">
        <f t="shared" si="2"/>
        <v>6</v>
      </c>
      <c r="R13" s="4"/>
      <c r="S13" s="1"/>
    </row>
    <row r="14" spans="1:19" x14ac:dyDescent="0.25">
      <c r="A14" s="7" t="s">
        <v>18</v>
      </c>
      <c r="B14" s="170">
        <v>54</v>
      </c>
      <c r="C14" s="168">
        <v>1</v>
      </c>
      <c r="D14" s="168">
        <v>38</v>
      </c>
      <c r="E14" s="168">
        <v>4</v>
      </c>
      <c r="F14" s="168">
        <v>1</v>
      </c>
      <c r="G14" s="168">
        <v>0</v>
      </c>
      <c r="H14" s="12">
        <f t="shared" ref="H14:H48" si="4">SUM(B14:G14)</f>
        <v>98</v>
      </c>
      <c r="I14" s="1"/>
      <c r="J14" s="56" t="s">
        <v>5</v>
      </c>
      <c r="K14" s="68">
        <v>4</v>
      </c>
      <c r="L14" s="68">
        <v>0</v>
      </c>
      <c r="M14" s="68">
        <v>105</v>
      </c>
      <c r="N14" s="68">
        <v>0</v>
      </c>
      <c r="O14" s="68">
        <v>5</v>
      </c>
      <c r="P14" s="68">
        <v>0</v>
      </c>
      <c r="Q14" s="40">
        <f>SUM(K14:P14)</f>
        <v>114</v>
      </c>
      <c r="R14" s="4"/>
      <c r="S14" s="1"/>
    </row>
    <row r="15" spans="1:19" x14ac:dyDescent="0.25">
      <c r="A15" s="7" t="s">
        <v>19</v>
      </c>
      <c r="B15" s="170">
        <v>20</v>
      </c>
      <c r="C15" s="168">
        <v>0</v>
      </c>
      <c r="D15" s="169">
        <v>8</v>
      </c>
      <c r="E15" s="169">
        <v>0</v>
      </c>
      <c r="F15" s="169">
        <v>0</v>
      </c>
      <c r="G15" s="169">
        <v>0</v>
      </c>
      <c r="H15" s="12">
        <f>SUM(B15:G15)</f>
        <v>28</v>
      </c>
      <c r="I15" s="1"/>
      <c r="J15" s="56" t="s">
        <v>80</v>
      </c>
      <c r="K15" s="68">
        <v>60</v>
      </c>
      <c r="L15" s="68">
        <v>0</v>
      </c>
      <c r="M15" s="68">
        <v>54</v>
      </c>
      <c r="N15" s="68">
        <v>1</v>
      </c>
      <c r="O15" s="68">
        <v>0</v>
      </c>
      <c r="P15" s="68">
        <v>0</v>
      </c>
      <c r="Q15" s="40">
        <f t="shared" si="2"/>
        <v>115</v>
      </c>
      <c r="R15" s="4"/>
      <c r="S15" s="1"/>
    </row>
    <row r="16" spans="1:19" x14ac:dyDescent="0.25">
      <c r="A16" s="7" t="s">
        <v>27</v>
      </c>
      <c r="B16" s="167">
        <v>746</v>
      </c>
      <c r="C16" s="168">
        <v>1534</v>
      </c>
      <c r="D16" s="168">
        <v>914</v>
      </c>
      <c r="E16" s="168">
        <v>84</v>
      </c>
      <c r="F16" s="168">
        <v>6</v>
      </c>
      <c r="G16" s="168">
        <v>0</v>
      </c>
      <c r="H16" s="12">
        <f t="shared" si="4"/>
        <v>3284</v>
      </c>
      <c r="I16" s="1"/>
      <c r="J16" s="57" t="s">
        <v>83</v>
      </c>
      <c r="K16" s="69">
        <v>0</v>
      </c>
      <c r="L16" s="69">
        <v>0</v>
      </c>
      <c r="M16" s="69">
        <v>8</v>
      </c>
      <c r="N16" s="69">
        <v>0</v>
      </c>
      <c r="O16" s="69">
        <v>0</v>
      </c>
      <c r="P16" s="69">
        <v>0</v>
      </c>
      <c r="Q16" s="40">
        <f t="shared" si="2"/>
        <v>8</v>
      </c>
      <c r="R16" s="4"/>
      <c r="S16" s="1"/>
    </row>
    <row r="17" spans="1:19" x14ac:dyDescent="0.25">
      <c r="A17" s="7" t="s">
        <v>186</v>
      </c>
      <c r="B17" s="167">
        <v>0</v>
      </c>
      <c r="C17" s="168">
        <v>0</v>
      </c>
      <c r="D17" s="168">
        <v>10</v>
      </c>
      <c r="E17" s="168">
        <v>0</v>
      </c>
      <c r="F17" s="168">
        <v>0</v>
      </c>
      <c r="G17" s="168">
        <v>0</v>
      </c>
      <c r="H17" s="12">
        <f t="shared" si="4"/>
        <v>10</v>
      </c>
      <c r="I17" s="1"/>
      <c r="J17" s="50" t="s">
        <v>162</v>
      </c>
      <c r="K17" s="69">
        <v>100</v>
      </c>
      <c r="L17" s="69">
        <v>0</v>
      </c>
      <c r="M17" s="69">
        <v>549</v>
      </c>
      <c r="N17" s="69">
        <v>0</v>
      </c>
      <c r="O17" s="69">
        <v>0</v>
      </c>
      <c r="P17" s="69">
        <v>0</v>
      </c>
      <c r="Q17" s="40">
        <f t="shared" si="2"/>
        <v>649</v>
      </c>
      <c r="R17" s="4"/>
      <c r="S17" s="1"/>
    </row>
    <row r="18" spans="1:19" x14ac:dyDescent="0.25">
      <c r="A18" s="7" t="s">
        <v>188</v>
      </c>
      <c r="B18" s="167">
        <v>36</v>
      </c>
      <c r="C18" s="168">
        <v>1</v>
      </c>
      <c r="D18" s="168">
        <v>17</v>
      </c>
      <c r="E18" s="168">
        <v>1</v>
      </c>
      <c r="F18" s="168">
        <v>0</v>
      </c>
      <c r="G18" s="168">
        <v>0</v>
      </c>
      <c r="H18" s="12">
        <f t="shared" si="4"/>
        <v>55</v>
      </c>
      <c r="I18" s="1"/>
      <c r="J18" s="50" t="s">
        <v>163</v>
      </c>
      <c r="K18" s="69">
        <v>100</v>
      </c>
      <c r="L18" s="69">
        <v>0</v>
      </c>
      <c r="M18" s="69">
        <v>552</v>
      </c>
      <c r="N18" s="69">
        <v>0</v>
      </c>
      <c r="O18" s="69">
        <v>0</v>
      </c>
      <c r="P18" s="69">
        <v>0</v>
      </c>
      <c r="Q18" s="40">
        <f t="shared" si="2"/>
        <v>652</v>
      </c>
      <c r="R18" s="4"/>
      <c r="S18" s="1"/>
    </row>
    <row r="19" spans="1:19" x14ac:dyDescent="0.25">
      <c r="A19" s="7" t="s">
        <v>28</v>
      </c>
      <c r="B19" s="170">
        <v>85</v>
      </c>
      <c r="C19" s="168">
        <v>21</v>
      </c>
      <c r="D19" s="168">
        <v>202</v>
      </c>
      <c r="E19" s="168">
        <v>8</v>
      </c>
      <c r="F19" s="168">
        <v>0</v>
      </c>
      <c r="G19" s="168">
        <v>0</v>
      </c>
      <c r="H19" s="12">
        <f t="shared" si="4"/>
        <v>316</v>
      </c>
      <c r="I19" s="1"/>
      <c r="J19" s="50" t="s">
        <v>164</v>
      </c>
      <c r="K19" s="69">
        <v>100</v>
      </c>
      <c r="L19" s="69">
        <v>0</v>
      </c>
      <c r="M19" s="69">
        <v>552</v>
      </c>
      <c r="N19" s="69">
        <v>0</v>
      </c>
      <c r="O19" s="69">
        <v>0</v>
      </c>
      <c r="P19" s="69">
        <v>0</v>
      </c>
      <c r="Q19" s="40">
        <f t="shared" si="2"/>
        <v>652</v>
      </c>
      <c r="R19" s="4"/>
      <c r="S19" s="1"/>
    </row>
    <row r="20" spans="1:19" x14ac:dyDescent="0.25">
      <c r="A20" s="7" t="s">
        <v>29</v>
      </c>
      <c r="B20" s="167">
        <v>4</v>
      </c>
      <c r="C20" s="168">
        <v>0</v>
      </c>
      <c r="D20" s="168">
        <v>36</v>
      </c>
      <c r="E20" s="168">
        <v>1</v>
      </c>
      <c r="F20" s="168">
        <v>0</v>
      </c>
      <c r="G20" s="168">
        <v>0</v>
      </c>
      <c r="H20" s="12">
        <f t="shared" si="4"/>
        <v>41</v>
      </c>
      <c r="I20" s="1"/>
      <c r="J20" s="50" t="s">
        <v>194</v>
      </c>
      <c r="K20" s="69">
        <v>0</v>
      </c>
      <c r="L20" s="69">
        <v>0</v>
      </c>
      <c r="M20" s="69">
        <v>10</v>
      </c>
      <c r="N20" s="69">
        <v>0</v>
      </c>
      <c r="O20" s="69">
        <v>0</v>
      </c>
      <c r="P20" s="69">
        <v>0</v>
      </c>
      <c r="Q20" s="40">
        <f t="shared" si="2"/>
        <v>10</v>
      </c>
      <c r="R20" s="4"/>
      <c r="S20" s="1"/>
    </row>
    <row r="21" spans="1:19" x14ac:dyDescent="0.25">
      <c r="A21" s="7" t="s">
        <v>20</v>
      </c>
      <c r="B21" s="170">
        <v>909</v>
      </c>
      <c r="C21" s="168">
        <v>0</v>
      </c>
      <c r="D21" s="168">
        <v>962</v>
      </c>
      <c r="E21" s="168">
        <v>52</v>
      </c>
      <c r="F21" s="168">
        <v>4</v>
      </c>
      <c r="G21" s="168">
        <v>0</v>
      </c>
      <c r="H21" s="12">
        <f t="shared" si="4"/>
        <v>1927</v>
      </c>
      <c r="I21" s="1"/>
      <c r="J21" s="50" t="s">
        <v>221</v>
      </c>
      <c r="K21" s="69">
        <v>0</v>
      </c>
      <c r="L21" s="69">
        <v>0</v>
      </c>
      <c r="M21" s="69">
        <v>0</v>
      </c>
      <c r="N21" s="69">
        <v>0</v>
      </c>
      <c r="O21" s="69">
        <v>0</v>
      </c>
      <c r="P21" s="69">
        <v>0</v>
      </c>
      <c r="Q21" s="40">
        <f t="shared" si="2"/>
        <v>0</v>
      </c>
      <c r="R21" s="4"/>
      <c r="S21" s="1"/>
    </row>
    <row r="22" spans="1:19" x14ac:dyDescent="0.25">
      <c r="A22" s="7" t="s">
        <v>25</v>
      </c>
      <c r="B22" s="170">
        <v>4</v>
      </c>
      <c r="C22" s="168">
        <v>0</v>
      </c>
      <c r="D22" s="168">
        <v>5</v>
      </c>
      <c r="E22" s="168">
        <v>0</v>
      </c>
      <c r="F22" s="168">
        <v>0</v>
      </c>
      <c r="G22" s="168">
        <v>0</v>
      </c>
      <c r="H22" s="12">
        <f t="shared" si="4"/>
        <v>9</v>
      </c>
      <c r="I22" s="1"/>
      <c r="J22" s="58" t="s">
        <v>6</v>
      </c>
      <c r="K22" s="68">
        <v>0</v>
      </c>
      <c r="L22" s="68">
        <v>0</v>
      </c>
      <c r="M22" s="68">
        <v>0</v>
      </c>
      <c r="N22" s="68">
        <v>0</v>
      </c>
      <c r="O22" s="68">
        <v>0</v>
      </c>
      <c r="P22" s="68">
        <v>0</v>
      </c>
      <c r="Q22" s="40">
        <f t="shared" si="2"/>
        <v>0</v>
      </c>
      <c r="R22" s="4"/>
      <c r="S22" s="1"/>
    </row>
    <row r="23" spans="1:19" ht="15.75" thickBot="1" x14ac:dyDescent="0.3">
      <c r="A23" s="7" t="s">
        <v>218</v>
      </c>
      <c r="B23" s="170">
        <v>1</v>
      </c>
      <c r="C23" s="168">
        <v>0</v>
      </c>
      <c r="D23" s="168">
        <v>15</v>
      </c>
      <c r="E23" s="168">
        <v>0</v>
      </c>
      <c r="F23" s="168">
        <v>0</v>
      </c>
      <c r="G23" s="168">
        <v>0</v>
      </c>
      <c r="H23" s="12">
        <f t="shared" si="4"/>
        <v>16</v>
      </c>
      <c r="I23" s="1"/>
      <c r="J23" s="59" t="s">
        <v>7</v>
      </c>
      <c r="K23" s="94">
        <v>0</v>
      </c>
      <c r="L23" s="94">
        <v>0</v>
      </c>
      <c r="M23" s="94">
        <v>0</v>
      </c>
      <c r="N23" s="94">
        <v>0</v>
      </c>
      <c r="O23" s="94">
        <v>0</v>
      </c>
      <c r="P23" s="94">
        <v>0</v>
      </c>
      <c r="Q23" s="46">
        <f t="shared" si="2"/>
        <v>0</v>
      </c>
      <c r="R23" s="4"/>
      <c r="S23" s="1"/>
    </row>
    <row r="24" spans="1:19" x14ac:dyDescent="0.25">
      <c r="A24" s="7" t="s">
        <v>21</v>
      </c>
      <c r="B24" s="170">
        <v>909</v>
      </c>
      <c r="C24" s="168">
        <v>1619</v>
      </c>
      <c r="D24" s="168">
        <v>947</v>
      </c>
      <c r="E24" s="168">
        <v>85</v>
      </c>
      <c r="F24" s="168">
        <v>4</v>
      </c>
      <c r="G24" s="168">
        <v>1</v>
      </c>
      <c r="H24" s="12">
        <f>SUM(B24:G24)</f>
        <v>3565</v>
      </c>
      <c r="I24" s="1"/>
      <c r="J24" s="1"/>
      <c r="K24" s="1"/>
      <c r="L24" s="1"/>
      <c r="M24" s="1"/>
      <c r="N24" s="1"/>
      <c r="O24" s="1"/>
      <c r="P24" s="1"/>
      <c r="Q24" s="1"/>
      <c r="R24" s="4"/>
      <c r="S24" s="1"/>
    </row>
    <row r="25" spans="1:19" ht="15.75" thickBot="1" x14ac:dyDescent="0.3">
      <c r="A25" s="7" t="s">
        <v>24</v>
      </c>
      <c r="B25" s="170">
        <v>37</v>
      </c>
      <c r="C25" s="168">
        <v>1</v>
      </c>
      <c r="D25" s="168">
        <v>39</v>
      </c>
      <c r="E25" s="168">
        <v>0</v>
      </c>
      <c r="F25" s="168">
        <v>0</v>
      </c>
      <c r="G25" s="168">
        <v>0</v>
      </c>
      <c r="H25" s="12">
        <f t="shared" si="4"/>
        <v>77</v>
      </c>
      <c r="I25" s="1"/>
      <c r="J25" s="1"/>
      <c r="K25" s="1"/>
      <c r="L25" s="1"/>
      <c r="M25" s="1"/>
      <c r="N25" s="1"/>
      <c r="O25" s="1"/>
      <c r="P25" s="1"/>
      <c r="Q25" s="1"/>
      <c r="R25" s="4"/>
      <c r="S25" s="1"/>
    </row>
    <row r="26" spans="1:19" x14ac:dyDescent="0.25">
      <c r="A26" s="7" t="s">
        <v>79</v>
      </c>
      <c r="B26" s="170">
        <v>675</v>
      </c>
      <c r="C26" s="168">
        <v>601</v>
      </c>
      <c r="D26" s="168">
        <v>486</v>
      </c>
      <c r="E26" s="168">
        <v>24</v>
      </c>
      <c r="F26" s="168">
        <v>0</v>
      </c>
      <c r="G26" s="168">
        <v>0</v>
      </c>
      <c r="H26" s="12">
        <f t="shared" si="4"/>
        <v>1786</v>
      </c>
      <c r="I26" s="1"/>
      <c r="J26" s="134" t="s">
        <v>169</v>
      </c>
      <c r="K26" s="136" t="s">
        <v>11</v>
      </c>
      <c r="L26" s="136"/>
      <c r="M26" s="136"/>
      <c r="N26" s="136"/>
      <c r="O26" s="136"/>
      <c r="P26" s="136"/>
      <c r="Q26" s="137"/>
      <c r="R26" s="4"/>
      <c r="S26" s="1"/>
    </row>
    <row r="27" spans="1:19" x14ac:dyDescent="0.25">
      <c r="A27" s="7" t="s">
        <v>75</v>
      </c>
      <c r="B27" s="170">
        <v>677</v>
      </c>
      <c r="C27" s="168">
        <v>601</v>
      </c>
      <c r="D27" s="168">
        <v>486</v>
      </c>
      <c r="E27" s="168">
        <v>24</v>
      </c>
      <c r="F27" s="168">
        <v>0</v>
      </c>
      <c r="G27" s="168">
        <v>0</v>
      </c>
      <c r="H27" s="12">
        <f t="shared" si="4"/>
        <v>1788</v>
      </c>
      <c r="I27" s="1"/>
      <c r="J27" s="135"/>
      <c r="K27" s="30" t="s">
        <v>8</v>
      </c>
      <c r="L27" s="30" t="s">
        <v>9</v>
      </c>
      <c r="M27" s="30" t="s">
        <v>176</v>
      </c>
      <c r="N27" s="30" t="s">
        <v>154</v>
      </c>
      <c r="O27" s="30" t="s">
        <v>155</v>
      </c>
      <c r="P27" s="60" t="s">
        <v>147</v>
      </c>
      <c r="Q27" s="54" t="s">
        <v>11</v>
      </c>
      <c r="R27" s="4"/>
      <c r="S27" s="1"/>
    </row>
    <row r="28" spans="1:19" x14ac:dyDescent="0.25">
      <c r="A28" s="7" t="s">
        <v>76</v>
      </c>
      <c r="B28" s="170">
        <v>573</v>
      </c>
      <c r="C28" s="168">
        <v>601</v>
      </c>
      <c r="D28" s="168">
        <v>526</v>
      </c>
      <c r="E28" s="168">
        <v>28</v>
      </c>
      <c r="F28" s="168">
        <v>0</v>
      </c>
      <c r="G28" s="168">
        <v>0</v>
      </c>
      <c r="H28" s="12">
        <f t="shared" si="4"/>
        <v>1728</v>
      </c>
      <c r="I28" s="1"/>
      <c r="J28" s="79" t="s">
        <v>146</v>
      </c>
      <c r="K28" s="74">
        <f t="shared" ref="K28:P28" si="5">SUM(K29:K37)</f>
        <v>61</v>
      </c>
      <c r="L28" s="74">
        <f t="shared" si="5"/>
        <v>272</v>
      </c>
      <c r="M28" s="74">
        <f t="shared" si="5"/>
        <v>146</v>
      </c>
      <c r="N28" s="74">
        <f t="shared" si="5"/>
        <v>0</v>
      </c>
      <c r="O28" s="74">
        <f t="shared" si="5"/>
        <v>0</v>
      </c>
      <c r="P28" s="74">
        <f t="shared" si="5"/>
        <v>0</v>
      </c>
      <c r="Q28" s="80">
        <f>SUM(K28:P28)</f>
        <v>479</v>
      </c>
      <c r="R28" s="4"/>
      <c r="S28" s="1"/>
    </row>
    <row r="29" spans="1:19" x14ac:dyDescent="0.25">
      <c r="A29" s="7" t="s">
        <v>74</v>
      </c>
      <c r="B29" s="170">
        <v>584</v>
      </c>
      <c r="C29" s="168">
        <v>599</v>
      </c>
      <c r="D29" s="168">
        <v>525</v>
      </c>
      <c r="E29" s="168">
        <v>9</v>
      </c>
      <c r="F29" s="168">
        <v>1</v>
      </c>
      <c r="G29" s="168">
        <v>0</v>
      </c>
      <c r="H29" s="12">
        <f t="shared" si="4"/>
        <v>1718</v>
      </c>
      <c r="I29" s="1"/>
      <c r="J29" s="45" t="s">
        <v>64</v>
      </c>
      <c r="K29" s="210">
        <v>38</v>
      </c>
      <c r="L29" s="210">
        <v>4</v>
      </c>
      <c r="M29" s="210">
        <v>106</v>
      </c>
      <c r="N29" s="210">
        <v>0</v>
      </c>
      <c r="O29" s="210">
        <v>0</v>
      </c>
      <c r="P29" s="211">
        <v>0</v>
      </c>
      <c r="Q29" s="40">
        <f>SUM(K29:P29)</f>
        <v>148</v>
      </c>
      <c r="R29" s="4"/>
      <c r="S29" s="1"/>
    </row>
    <row r="30" spans="1:19" x14ac:dyDescent="0.25">
      <c r="A30" s="7" t="s">
        <v>22</v>
      </c>
      <c r="B30" s="170">
        <v>568</v>
      </c>
      <c r="C30" s="168">
        <v>605</v>
      </c>
      <c r="D30" s="168">
        <v>610</v>
      </c>
      <c r="E30" s="168">
        <v>35</v>
      </c>
      <c r="F30" s="168">
        <v>0</v>
      </c>
      <c r="G30" s="168">
        <v>0</v>
      </c>
      <c r="H30" s="12">
        <f t="shared" si="4"/>
        <v>1818</v>
      </c>
      <c r="I30" s="1"/>
      <c r="J30" s="45" t="s">
        <v>170</v>
      </c>
      <c r="K30" s="210">
        <v>0</v>
      </c>
      <c r="L30" s="210">
        <v>0</v>
      </c>
      <c r="M30" s="210">
        <v>2</v>
      </c>
      <c r="N30" s="210">
        <v>0</v>
      </c>
      <c r="O30" s="210">
        <v>0</v>
      </c>
      <c r="P30" s="211">
        <v>0</v>
      </c>
      <c r="Q30" s="40">
        <f>SUM(K30:P30)</f>
        <v>2</v>
      </c>
      <c r="R30" s="4"/>
      <c r="S30" s="1"/>
    </row>
    <row r="31" spans="1:19" x14ac:dyDescent="0.25">
      <c r="A31" s="7" t="s">
        <v>23</v>
      </c>
      <c r="B31" s="170">
        <v>568</v>
      </c>
      <c r="C31" s="168">
        <v>605</v>
      </c>
      <c r="D31" s="168">
        <v>611</v>
      </c>
      <c r="E31" s="168">
        <v>35</v>
      </c>
      <c r="F31" s="168">
        <v>0</v>
      </c>
      <c r="G31" s="168">
        <v>0</v>
      </c>
      <c r="H31" s="12">
        <f t="shared" si="4"/>
        <v>1819</v>
      </c>
      <c r="I31" s="1"/>
      <c r="J31" s="45" t="s">
        <v>171</v>
      </c>
      <c r="K31" s="210">
        <v>0</v>
      </c>
      <c r="L31" s="210">
        <v>0</v>
      </c>
      <c r="M31" s="210">
        <v>12</v>
      </c>
      <c r="N31" s="210">
        <v>0</v>
      </c>
      <c r="O31" s="210">
        <v>0</v>
      </c>
      <c r="P31" s="211">
        <v>0</v>
      </c>
      <c r="Q31" s="40">
        <f>SUM(K31:P31)</f>
        <v>12</v>
      </c>
      <c r="R31" s="4"/>
      <c r="S31" s="1"/>
    </row>
    <row r="32" spans="1:19" ht="14.25" customHeight="1" x14ac:dyDescent="0.25">
      <c r="A32" s="7" t="s">
        <v>202</v>
      </c>
      <c r="B32" s="170">
        <v>102</v>
      </c>
      <c r="C32" s="168">
        <v>0</v>
      </c>
      <c r="D32" s="168">
        <v>1</v>
      </c>
      <c r="E32" s="168">
        <v>0</v>
      </c>
      <c r="F32" s="168">
        <v>0</v>
      </c>
      <c r="G32" s="168">
        <v>0</v>
      </c>
      <c r="H32" s="12">
        <f t="shared" si="4"/>
        <v>103</v>
      </c>
      <c r="I32" s="1"/>
      <c r="J32" s="49" t="s">
        <v>65</v>
      </c>
      <c r="K32" s="210">
        <v>23</v>
      </c>
      <c r="L32" s="210">
        <v>230</v>
      </c>
      <c r="M32" s="210">
        <v>12</v>
      </c>
      <c r="N32" s="210">
        <v>0</v>
      </c>
      <c r="O32" s="210">
        <v>0</v>
      </c>
      <c r="P32" s="211">
        <v>0</v>
      </c>
      <c r="Q32" s="40">
        <f t="shared" ref="Q32:Q37" si="6">SUM(K32:P32)</f>
        <v>265</v>
      </c>
      <c r="R32" s="4"/>
      <c r="S32" s="1"/>
    </row>
    <row r="33" spans="1:19" ht="15.75" customHeight="1" x14ac:dyDescent="0.25">
      <c r="A33" s="7" t="s">
        <v>159</v>
      </c>
      <c r="B33" s="170">
        <v>214</v>
      </c>
      <c r="C33" s="168">
        <v>156</v>
      </c>
      <c r="D33" s="168">
        <v>66</v>
      </c>
      <c r="E33" s="168">
        <v>6</v>
      </c>
      <c r="F33" s="168">
        <v>0</v>
      </c>
      <c r="G33" s="168">
        <v>0</v>
      </c>
      <c r="H33" s="12">
        <f t="shared" si="4"/>
        <v>442</v>
      </c>
      <c r="I33" s="1"/>
      <c r="J33" s="50" t="s">
        <v>130</v>
      </c>
      <c r="K33" s="212">
        <v>0</v>
      </c>
      <c r="L33" s="212">
        <v>25</v>
      </c>
      <c r="M33" s="212">
        <v>0</v>
      </c>
      <c r="N33" s="212">
        <v>0</v>
      </c>
      <c r="O33" s="212">
        <v>0</v>
      </c>
      <c r="P33" s="211">
        <v>0</v>
      </c>
      <c r="Q33" s="40">
        <f t="shared" si="6"/>
        <v>25</v>
      </c>
      <c r="R33" s="4"/>
      <c r="S33" s="1"/>
    </row>
    <row r="34" spans="1:19" x14ac:dyDescent="0.25">
      <c r="A34" s="7" t="s">
        <v>26</v>
      </c>
      <c r="B34" s="170">
        <v>712</v>
      </c>
      <c r="C34" s="168">
        <v>1064</v>
      </c>
      <c r="D34" s="168">
        <v>122</v>
      </c>
      <c r="E34" s="168">
        <v>32</v>
      </c>
      <c r="F34" s="168">
        <v>2</v>
      </c>
      <c r="G34" s="168">
        <v>0</v>
      </c>
      <c r="H34" s="12">
        <f t="shared" si="4"/>
        <v>1932</v>
      </c>
      <c r="I34" s="1"/>
      <c r="J34" s="67" t="s">
        <v>131</v>
      </c>
      <c r="K34" s="209">
        <v>0</v>
      </c>
      <c r="L34" s="209">
        <v>0</v>
      </c>
      <c r="M34" s="209">
        <v>14</v>
      </c>
      <c r="N34" s="209">
        <v>0</v>
      </c>
      <c r="O34" s="209">
        <v>0</v>
      </c>
      <c r="P34" s="208">
        <v>0</v>
      </c>
      <c r="Q34" s="40">
        <f t="shared" si="6"/>
        <v>14</v>
      </c>
      <c r="R34" s="4"/>
      <c r="S34" s="1"/>
    </row>
    <row r="35" spans="1:19" x14ac:dyDescent="0.25">
      <c r="A35" s="7" t="s">
        <v>82</v>
      </c>
      <c r="B35" s="170">
        <v>480</v>
      </c>
      <c r="C35" s="168">
        <v>477</v>
      </c>
      <c r="D35" s="168">
        <v>425</v>
      </c>
      <c r="E35" s="168">
        <v>25</v>
      </c>
      <c r="F35" s="168">
        <v>0</v>
      </c>
      <c r="G35" s="168">
        <v>0</v>
      </c>
      <c r="H35" s="12">
        <f t="shared" si="4"/>
        <v>1407</v>
      </c>
      <c r="I35" s="1"/>
      <c r="J35" s="67" t="s">
        <v>160</v>
      </c>
      <c r="K35" s="209">
        <v>0</v>
      </c>
      <c r="L35" s="209">
        <v>5</v>
      </c>
      <c r="M35" s="209">
        <v>0</v>
      </c>
      <c r="N35" s="209">
        <v>0</v>
      </c>
      <c r="O35" s="209">
        <v>0</v>
      </c>
      <c r="P35" s="208">
        <v>0</v>
      </c>
      <c r="Q35" s="40">
        <f t="shared" si="6"/>
        <v>5</v>
      </c>
      <c r="R35" s="4"/>
      <c r="S35" s="1"/>
    </row>
    <row r="36" spans="1:19" x14ac:dyDescent="0.25">
      <c r="A36" s="7" t="s">
        <v>30</v>
      </c>
      <c r="B36" s="170">
        <v>0</v>
      </c>
      <c r="C36" s="168">
        <v>0</v>
      </c>
      <c r="D36" s="168">
        <v>0</v>
      </c>
      <c r="E36" s="168">
        <v>0</v>
      </c>
      <c r="F36" s="168">
        <v>0</v>
      </c>
      <c r="G36" s="168">
        <v>0</v>
      </c>
      <c r="H36" s="12">
        <f t="shared" si="4"/>
        <v>0</v>
      </c>
      <c r="I36" s="1"/>
      <c r="J36" s="67" t="s">
        <v>211</v>
      </c>
      <c r="K36" s="209">
        <v>0</v>
      </c>
      <c r="L36" s="209">
        <v>8</v>
      </c>
      <c r="M36" s="209">
        <v>0</v>
      </c>
      <c r="N36" s="209">
        <v>0</v>
      </c>
      <c r="O36" s="209">
        <v>0</v>
      </c>
      <c r="P36" s="208">
        <v>0</v>
      </c>
      <c r="Q36" s="40">
        <f t="shared" si="6"/>
        <v>8</v>
      </c>
      <c r="R36" s="4"/>
      <c r="S36" s="1"/>
    </row>
    <row r="37" spans="1:19" ht="15.75" thickBot="1" x14ac:dyDescent="0.3">
      <c r="A37" s="7" t="s">
        <v>31</v>
      </c>
      <c r="B37" s="170">
        <v>21</v>
      </c>
      <c r="C37" s="168">
        <v>27</v>
      </c>
      <c r="D37" s="168">
        <v>1</v>
      </c>
      <c r="E37" s="168">
        <v>0</v>
      </c>
      <c r="F37" s="168">
        <v>0</v>
      </c>
      <c r="G37" s="168">
        <v>0</v>
      </c>
      <c r="H37" s="12">
        <f t="shared" si="4"/>
        <v>49</v>
      </c>
      <c r="I37" s="1"/>
      <c r="J37" s="51" t="s">
        <v>161</v>
      </c>
      <c r="K37" s="213">
        <v>0</v>
      </c>
      <c r="L37" s="213">
        <v>0</v>
      </c>
      <c r="M37" s="213">
        <v>0</v>
      </c>
      <c r="N37" s="213">
        <v>0</v>
      </c>
      <c r="O37" s="213">
        <v>0</v>
      </c>
      <c r="P37" s="214">
        <v>0</v>
      </c>
      <c r="Q37" s="46">
        <f t="shared" si="6"/>
        <v>0</v>
      </c>
      <c r="R37" s="4"/>
      <c r="S37" s="1"/>
    </row>
    <row r="38" spans="1:19" ht="15.75" thickBot="1" x14ac:dyDescent="0.3">
      <c r="A38" s="7" t="s">
        <v>66</v>
      </c>
      <c r="B38" s="170">
        <v>113</v>
      </c>
      <c r="C38" s="168">
        <v>41</v>
      </c>
      <c r="D38" s="168">
        <v>323</v>
      </c>
      <c r="E38" s="168">
        <v>11</v>
      </c>
      <c r="F38" s="168">
        <v>1</v>
      </c>
      <c r="G38" s="168">
        <v>0</v>
      </c>
      <c r="H38" s="12">
        <f t="shared" si="4"/>
        <v>489</v>
      </c>
      <c r="I38" s="1"/>
      <c r="J38" s="34"/>
      <c r="K38" s="34"/>
      <c r="L38" s="34"/>
      <c r="M38" s="34"/>
      <c r="N38" s="34"/>
      <c r="O38" s="34"/>
      <c r="P38" s="34"/>
      <c r="R38" s="4"/>
      <c r="S38" s="1"/>
    </row>
    <row r="39" spans="1:19" x14ac:dyDescent="0.25">
      <c r="A39" s="7" t="s">
        <v>67</v>
      </c>
      <c r="B39" s="170">
        <v>113</v>
      </c>
      <c r="C39" s="168">
        <v>40</v>
      </c>
      <c r="D39" s="168">
        <v>321</v>
      </c>
      <c r="E39" s="168">
        <v>10</v>
      </c>
      <c r="F39" s="168">
        <v>1</v>
      </c>
      <c r="G39" s="168">
        <v>0</v>
      </c>
      <c r="H39" s="12">
        <f t="shared" si="4"/>
        <v>485</v>
      </c>
      <c r="I39" s="1"/>
      <c r="J39" s="134" t="s">
        <v>136</v>
      </c>
      <c r="K39" s="136" t="s">
        <v>11</v>
      </c>
      <c r="L39" s="136"/>
      <c r="M39" s="136"/>
      <c r="N39" s="136"/>
      <c r="O39" s="136"/>
      <c r="P39" s="136"/>
      <c r="Q39" s="137"/>
      <c r="R39" s="4"/>
      <c r="S39" s="1"/>
    </row>
    <row r="40" spans="1:19" x14ac:dyDescent="0.25">
      <c r="A40" s="7" t="s">
        <v>77</v>
      </c>
      <c r="B40" s="170">
        <v>50</v>
      </c>
      <c r="C40" s="168">
        <v>0</v>
      </c>
      <c r="D40" s="168">
        <v>100</v>
      </c>
      <c r="E40" s="168">
        <v>6</v>
      </c>
      <c r="F40" s="168">
        <v>0</v>
      </c>
      <c r="G40" s="168">
        <v>0</v>
      </c>
      <c r="H40" s="12">
        <f t="shared" si="4"/>
        <v>156</v>
      </c>
      <c r="I40" s="1"/>
      <c r="J40" s="135"/>
      <c r="K40" s="30" t="s">
        <v>8</v>
      </c>
      <c r="L40" s="30" t="s">
        <v>9</v>
      </c>
      <c r="M40" s="30" t="s">
        <v>10</v>
      </c>
      <c r="N40" s="30" t="s">
        <v>154</v>
      </c>
      <c r="O40" s="30" t="s">
        <v>155</v>
      </c>
      <c r="P40" s="30" t="s">
        <v>147</v>
      </c>
      <c r="Q40" s="54" t="s">
        <v>11</v>
      </c>
      <c r="R40" s="4"/>
      <c r="S40" s="1"/>
    </row>
    <row r="41" spans="1:19" ht="15" customHeight="1" thickBot="1" x14ac:dyDescent="0.3">
      <c r="A41" s="7" t="s">
        <v>78</v>
      </c>
      <c r="B41" s="170">
        <v>95</v>
      </c>
      <c r="C41" s="168">
        <v>4</v>
      </c>
      <c r="D41" s="168">
        <v>246</v>
      </c>
      <c r="E41" s="168">
        <v>7</v>
      </c>
      <c r="F41" s="168">
        <v>0</v>
      </c>
      <c r="G41" s="168">
        <v>0</v>
      </c>
      <c r="H41" s="12">
        <f t="shared" si="4"/>
        <v>352</v>
      </c>
      <c r="I41" s="1"/>
      <c r="J41" s="95" t="s">
        <v>150</v>
      </c>
      <c r="K41" s="29">
        <f t="shared" ref="K41:P41" si="7">SUM(K42:K49)</f>
        <v>826</v>
      </c>
      <c r="L41" s="29">
        <f t="shared" si="7"/>
        <v>207</v>
      </c>
      <c r="M41" s="29">
        <f t="shared" si="7"/>
        <v>0</v>
      </c>
      <c r="N41" s="29">
        <f t="shared" si="7"/>
        <v>10</v>
      </c>
      <c r="O41" s="29">
        <f t="shared" si="7"/>
        <v>0</v>
      </c>
      <c r="P41" s="29">
        <f t="shared" si="7"/>
        <v>0</v>
      </c>
      <c r="Q41" s="96">
        <f>SUM(K41:P41)</f>
        <v>1043</v>
      </c>
      <c r="R41" s="4"/>
      <c r="S41" s="1"/>
    </row>
    <row r="42" spans="1:19" x14ac:dyDescent="0.25">
      <c r="A42" s="7" t="s">
        <v>42</v>
      </c>
      <c r="B42" s="170">
        <v>3</v>
      </c>
      <c r="C42" s="168">
        <v>0</v>
      </c>
      <c r="D42" s="168">
        <v>4</v>
      </c>
      <c r="E42" s="168">
        <v>0</v>
      </c>
      <c r="F42" s="168">
        <v>0</v>
      </c>
      <c r="G42" s="168">
        <v>0</v>
      </c>
      <c r="H42" s="12">
        <f t="shared" si="4"/>
        <v>7</v>
      </c>
      <c r="I42" s="1"/>
      <c r="J42" s="97" t="s">
        <v>165</v>
      </c>
      <c r="K42" s="217">
        <v>0</v>
      </c>
      <c r="L42" s="217">
        <v>0</v>
      </c>
      <c r="M42" s="217">
        <v>0</v>
      </c>
      <c r="N42" s="217">
        <v>0</v>
      </c>
      <c r="O42" s="217">
        <v>0</v>
      </c>
      <c r="P42" s="217">
        <v>0</v>
      </c>
      <c r="Q42" s="99">
        <f t="shared" ref="Q42:Q49" si="8">SUM(K42:P42)</f>
        <v>0</v>
      </c>
      <c r="R42" s="4"/>
      <c r="S42" s="1"/>
    </row>
    <row r="43" spans="1:19" x14ac:dyDescent="0.25">
      <c r="A43" s="7" t="s">
        <v>43</v>
      </c>
      <c r="B43" s="170">
        <v>15</v>
      </c>
      <c r="C43" s="168">
        <v>1</v>
      </c>
      <c r="D43" s="168">
        <v>33</v>
      </c>
      <c r="E43" s="168">
        <v>2</v>
      </c>
      <c r="F43" s="168">
        <v>0</v>
      </c>
      <c r="G43" s="168">
        <v>0</v>
      </c>
      <c r="H43" s="12">
        <f t="shared" si="4"/>
        <v>51</v>
      </c>
      <c r="I43" s="1"/>
      <c r="J43" s="86" t="s">
        <v>166</v>
      </c>
      <c r="K43" s="216">
        <v>205</v>
      </c>
      <c r="L43" s="216">
        <v>64</v>
      </c>
      <c r="M43" s="216">
        <v>0</v>
      </c>
      <c r="N43" s="216">
        <v>4</v>
      </c>
      <c r="O43" s="216">
        <v>0</v>
      </c>
      <c r="P43" s="216">
        <v>0</v>
      </c>
      <c r="Q43" s="40">
        <f t="shared" si="8"/>
        <v>273</v>
      </c>
      <c r="R43" s="4"/>
      <c r="S43" s="1"/>
    </row>
    <row r="44" spans="1:19" x14ac:dyDescent="0.25">
      <c r="A44" s="7" t="s">
        <v>101</v>
      </c>
      <c r="B44" s="170">
        <v>23</v>
      </c>
      <c r="C44" s="168">
        <v>1</v>
      </c>
      <c r="D44" s="168">
        <v>8</v>
      </c>
      <c r="E44" s="168">
        <v>2</v>
      </c>
      <c r="F44" s="168">
        <v>0</v>
      </c>
      <c r="G44" s="168">
        <v>0</v>
      </c>
      <c r="H44" s="12">
        <f t="shared" si="4"/>
        <v>34</v>
      </c>
      <c r="I44" s="1"/>
      <c r="J44" s="86" t="s">
        <v>167</v>
      </c>
      <c r="K44" s="216">
        <v>45</v>
      </c>
      <c r="L44" s="216">
        <v>3</v>
      </c>
      <c r="M44" s="216">
        <v>0</v>
      </c>
      <c r="N44" s="216">
        <v>0</v>
      </c>
      <c r="O44" s="216">
        <v>0</v>
      </c>
      <c r="P44" s="216">
        <v>0</v>
      </c>
      <c r="Q44" s="40">
        <f t="shared" si="8"/>
        <v>48</v>
      </c>
      <c r="R44" s="4"/>
      <c r="S44" s="1"/>
    </row>
    <row r="45" spans="1:19" x14ac:dyDescent="0.25">
      <c r="A45" s="7" t="s">
        <v>95</v>
      </c>
      <c r="B45" s="173">
        <v>20</v>
      </c>
      <c r="C45" s="168">
        <v>91</v>
      </c>
      <c r="D45" s="168">
        <v>9</v>
      </c>
      <c r="E45" s="168">
        <v>0</v>
      </c>
      <c r="F45" s="168">
        <v>0</v>
      </c>
      <c r="G45" s="168">
        <v>0</v>
      </c>
      <c r="H45" s="12">
        <f t="shared" si="4"/>
        <v>120</v>
      </c>
      <c r="I45" s="1"/>
      <c r="J45" s="86" t="s">
        <v>168</v>
      </c>
      <c r="K45" s="216">
        <v>4</v>
      </c>
      <c r="L45" s="216">
        <v>0</v>
      </c>
      <c r="M45" s="216">
        <v>0</v>
      </c>
      <c r="N45" s="216">
        <v>0</v>
      </c>
      <c r="O45" s="216">
        <v>0</v>
      </c>
      <c r="P45" s="216">
        <v>0</v>
      </c>
      <c r="Q45" s="40">
        <f>SUM(K45:P45)</f>
        <v>4</v>
      </c>
      <c r="R45" s="4"/>
      <c r="S45" s="1"/>
    </row>
    <row r="46" spans="1:19" x14ac:dyDescent="0.25">
      <c r="A46" s="7" t="s">
        <v>96</v>
      </c>
      <c r="B46" s="173">
        <v>22</v>
      </c>
      <c r="C46" s="168">
        <v>0</v>
      </c>
      <c r="D46" s="168">
        <v>3</v>
      </c>
      <c r="E46" s="168">
        <v>0</v>
      </c>
      <c r="F46" s="168">
        <v>0</v>
      </c>
      <c r="G46" s="168">
        <v>0</v>
      </c>
      <c r="H46" s="12">
        <f t="shared" si="4"/>
        <v>25</v>
      </c>
      <c r="J46" s="86" t="s">
        <v>34</v>
      </c>
      <c r="K46" s="216">
        <v>48</v>
      </c>
      <c r="L46" s="216">
        <v>5</v>
      </c>
      <c r="M46" s="216">
        <v>0</v>
      </c>
      <c r="N46" s="216">
        <v>0</v>
      </c>
      <c r="O46" s="216">
        <v>0</v>
      </c>
      <c r="P46" s="216">
        <v>0</v>
      </c>
      <c r="Q46" s="40">
        <f t="shared" si="8"/>
        <v>53</v>
      </c>
      <c r="R46" s="4"/>
      <c r="S46" s="1"/>
    </row>
    <row r="47" spans="1:19" x14ac:dyDescent="0.25">
      <c r="A47" s="7" t="s">
        <v>97</v>
      </c>
      <c r="B47" s="173">
        <v>40</v>
      </c>
      <c r="C47" s="168">
        <v>0</v>
      </c>
      <c r="D47" s="168">
        <v>17</v>
      </c>
      <c r="E47" s="168">
        <v>0</v>
      </c>
      <c r="F47" s="168">
        <v>0</v>
      </c>
      <c r="G47" s="168">
        <v>0</v>
      </c>
      <c r="H47" s="12">
        <f t="shared" si="4"/>
        <v>57</v>
      </c>
      <c r="I47" s="1"/>
      <c r="J47" s="86" t="s">
        <v>179</v>
      </c>
      <c r="K47" s="216">
        <v>187</v>
      </c>
      <c r="L47" s="216">
        <v>61</v>
      </c>
      <c r="M47" s="216">
        <v>0</v>
      </c>
      <c r="N47" s="216">
        <v>0</v>
      </c>
      <c r="O47" s="216">
        <v>0</v>
      </c>
      <c r="P47" s="216">
        <v>0</v>
      </c>
      <c r="Q47" s="40">
        <f t="shared" si="8"/>
        <v>248</v>
      </c>
      <c r="R47" s="4"/>
      <c r="S47" s="1"/>
    </row>
    <row r="48" spans="1:19" x14ac:dyDescent="0.25">
      <c r="A48" s="36" t="s">
        <v>98</v>
      </c>
      <c r="B48" s="173">
        <v>40</v>
      </c>
      <c r="C48" s="168">
        <v>0</v>
      </c>
      <c r="D48" s="168">
        <v>17</v>
      </c>
      <c r="E48" s="168">
        <v>0</v>
      </c>
      <c r="F48" s="168">
        <v>0</v>
      </c>
      <c r="G48" s="168">
        <v>0</v>
      </c>
      <c r="H48" s="12">
        <f t="shared" si="4"/>
        <v>57</v>
      </c>
      <c r="I48" s="1"/>
      <c r="J48" s="86" t="s">
        <v>177</v>
      </c>
      <c r="K48" s="216">
        <v>281</v>
      </c>
      <c r="L48" s="216">
        <v>67</v>
      </c>
      <c r="M48" s="216">
        <v>0</v>
      </c>
      <c r="N48" s="216">
        <v>2</v>
      </c>
      <c r="O48" s="216">
        <v>0</v>
      </c>
      <c r="P48" s="216">
        <v>0</v>
      </c>
      <c r="Q48" s="40">
        <f t="shared" si="8"/>
        <v>350</v>
      </c>
      <c r="R48" s="4"/>
      <c r="S48" s="1"/>
    </row>
    <row r="49" spans="1:19" ht="15.75" thickBot="1" x14ac:dyDescent="0.3">
      <c r="A49" s="7" t="s">
        <v>86</v>
      </c>
      <c r="B49" s="170">
        <v>0</v>
      </c>
      <c r="C49" s="168">
        <v>525</v>
      </c>
      <c r="D49" s="168">
        <v>2</v>
      </c>
      <c r="E49" s="168">
        <v>6</v>
      </c>
      <c r="F49" s="168">
        <v>0</v>
      </c>
      <c r="G49" s="168">
        <v>0</v>
      </c>
      <c r="H49" s="14">
        <f>SUM(B49:G49)</f>
        <v>533</v>
      </c>
      <c r="I49" s="1"/>
      <c r="J49" s="87" t="s">
        <v>178</v>
      </c>
      <c r="K49" s="215">
        <v>56</v>
      </c>
      <c r="L49" s="215">
        <v>7</v>
      </c>
      <c r="M49" s="215">
        <v>0</v>
      </c>
      <c r="N49" s="215">
        <v>4</v>
      </c>
      <c r="O49" s="216">
        <v>0</v>
      </c>
      <c r="P49" s="216">
        <v>0</v>
      </c>
      <c r="Q49" s="46">
        <f t="shared" si="8"/>
        <v>67</v>
      </c>
      <c r="R49" s="4"/>
      <c r="S49" s="1"/>
    </row>
    <row r="50" spans="1:19" x14ac:dyDescent="0.25">
      <c r="A50" s="18" t="s">
        <v>87</v>
      </c>
      <c r="B50" s="174">
        <v>613</v>
      </c>
      <c r="C50" s="171">
        <v>527</v>
      </c>
      <c r="D50" s="171">
        <v>94</v>
      </c>
      <c r="E50" s="171">
        <v>15</v>
      </c>
      <c r="F50" s="172">
        <v>1</v>
      </c>
      <c r="G50" s="171">
        <v>0</v>
      </c>
      <c r="H50" s="14">
        <f>SUM(B50:G50)</f>
        <v>1250</v>
      </c>
      <c r="I50" s="1"/>
      <c r="J50" s="158"/>
      <c r="K50" s="158"/>
      <c r="L50" s="158"/>
      <c r="M50" s="158"/>
      <c r="N50" s="34"/>
      <c r="O50" s="34"/>
      <c r="P50" s="34"/>
      <c r="Q50" s="35"/>
      <c r="R50" s="4"/>
      <c r="S50" s="1"/>
    </row>
    <row r="51" spans="1:19" ht="15.75" thickBot="1" x14ac:dyDescent="0.3">
      <c r="A51" s="73" t="s">
        <v>139</v>
      </c>
      <c r="B51" s="75">
        <f t="shared" ref="B51:G51" si="9">SUM(B52:B68)</f>
        <v>2353</v>
      </c>
      <c r="C51" s="75">
        <f t="shared" si="9"/>
        <v>5330</v>
      </c>
      <c r="D51" s="77">
        <f t="shared" si="9"/>
        <v>2408</v>
      </c>
      <c r="E51" s="75">
        <f t="shared" si="9"/>
        <v>112</v>
      </c>
      <c r="F51" s="75">
        <f t="shared" si="9"/>
        <v>48</v>
      </c>
      <c r="G51" s="78">
        <f t="shared" si="9"/>
        <v>12</v>
      </c>
      <c r="H51" s="75">
        <f>SUM(B51:G51)</f>
        <v>10263</v>
      </c>
      <c r="I51" s="1"/>
      <c r="Q51" s="24"/>
      <c r="R51" s="4"/>
      <c r="S51" s="1"/>
    </row>
    <row r="52" spans="1:19" x14ac:dyDescent="0.25">
      <c r="A52" s="7" t="s">
        <v>90</v>
      </c>
      <c r="B52" s="177">
        <v>338</v>
      </c>
      <c r="C52" s="177">
        <v>123</v>
      </c>
      <c r="D52" s="182">
        <v>23</v>
      </c>
      <c r="E52" s="186">
        <v>2</v>
      </c>
      <c r="F52" s="186">
        <v>1</v>
      </c>
      <c r="G52" s="186">
        <v>0</v>
      </c>
      <c r="H52" s="26">
        <f t="shared" ref="H52:H113" si="10">SUM(B52:G52)</f>
        <v>487</v>
      </c>
      <c r="I52" s="1"/>
      <c r="J52" s="159" t="s">
        <v>152</v>
      </c>
      <c r="K52" s="160"/>
      <c r="L52" s="160"/>
      <c r="M52" s="160"/>
      <c r="N52" s="160"/>
      <c r="O52" s="160"/>
      <c r="P52" s="160"/>
      <c r="Q52" s="161"/>
      <c r="R52" s="4"/>
      <c r="S52" s="1"/>
    </row>
    <row r="53" spans="1:19" x14ac:dyDescent="0.25">
      <c r="A53" s="7" t="s">
        <v>91</v>
      </c>
      <c r="B53" s="177">
        <v>2</v>
      </c>
      <c r="C53" s="177">
        <v>7</v>
      </c>
      <c r="D53" s="182">
        <v>1</v>
      </c>
      <c r="E53" s="187">
        <v>0</v>
      </c>
      <c r="F53" s="187">
        <v>0</v>
      </c>
      <c r="G53" s="187">
        <v>0</v>
      </c>
      <c r="H53" s="26">
        <f t="shared" si="10"/>
        <v>10</v>
      </c>
      <c r="I53" s="1"/>
      <c r="J53" s="138" t="s">
        <v>72</v>
      </c>
      <c r="K53" s="139"/>
      <c r="L53" s="139"/>
      <c r="M53" s="139"/>
      <c r="N53" s="139"/>
      <c r="O53" s="139"/>
      <c r="P53" s="139"/>
      <c r="Q53" s="62" t="s">
        <v>11</v>
      </c>
      <c r="R53" s="4"/>
      <c r="S53" s="1"/>
    </row>
    <row r="54" spans="1:19" x14ac:dyDescent="0.25">
      <c r="A54" s="7" t="s">
        <v>32</v>
      </c>
      <c r="B54" s="177">
        <v>761</v>
      </c>
      <c r="C54" s="177">
        <v>2184</v>
      </c>
      <c r="D54" s="182">
        <v>1124</v>
      </c>
      <c r="E54" s="187">
        <v>28</v>
      </c>
      <c r="F54" s="187">
        <v>24</v>
      </c>
      <c r="G54" s="187">
        <v>5</v>
      </c>
      <c r="H54" s="26">
        <f t="shared" si="10"/>
        <v>4126</v>
      </c>
      <c r="I54" s="1"/>
      <c r="J54" s="138" t="s">
        <v>71</v>
      </c>
      <c r="K54" s="139"/>
      <c r="L54" s="139"/>
      <c r="M54" s="139"/>
      <c r="N54" s="139"/>
      <c r="O54" s="139"/>
      <c r="P54" s="139"/>
      <c r="Q54" s="47">
        <v>3</v>
      </c>
      <c r="R54" s="4"/>
      <c r="S54" s="1"/>
    </row>
    <row r="55" spans="1:19" x14ac:dyDescent="0.25">
      <c r="A55" s="7" t="s">
        <v>34</v>
      </c>
      <c r="B55" s="176">
        <v>6</v>
      </c>
      <c r="C55" s="177">
        <v>4</v>
      </c>
      <c r="D55" s="181">
        <v>5</v>
      </c>
      <c r="E55" s="187">
        <v>0</v>
      </c>
      <c r="F55" s="187">
        <v>1</v>
      </c>
      <c r="G55" s="187">
        <v>0</v>
      </c>
      <c r="H55" s="26">
        <f t="shared" si="10"/>
        <v>16</v>
      </c>
      <c r="I55" s="1"/>
      <c r="J55" s="138" t="s">
        <v>137</v>
      </c>
      <c r="K55" s="139"/>
      <c r="L55" s="139"/>
      <c r="M55" s="139"/>
      <c r="N55" s="139"/>
      <c r="O55" s="139"/>
      <c r="P55" s="139"/>
      <c r="Q55" s="47">
        <f>(H12)</f>
        <v>27741</v>
      </c>
      <c r="R55" s="4"/>
      <c r="S55" s="1"/>
    </row>
    <row r="56" spans="1:19" x14ac:dyDescent="0.25">
      <c r="A56" s="7" t="s">
        <v>181</v>
      </c>
      <c r="B56" s="177">
        <v>124</v>
      </c>
      <c r="C56" s="177">
        <v>774</v>
      </c>
      <c r="D56" s="182">
        <v>362</v>
      </c>
      <c r="E56" s="187">
        <v>24</v>
      </c>
      <c r="F56" s="187">
        <v>5</v>
      </c>
      <c r="G56" s="187">
        <v>4</v>
      </c>
      <c r="H56" s="26">
        <f t="shared" si="10"/>
        <v>1293</v>
      </c>
      <c r="I56" s="1"/>
      <c r="J56" s="138" t="s">
        <v>138</v>
      </c>
      <c r="K56" s="139"/>
      <c r="L56" s="139"/>
      <c r="M56" s="139"/>
      <c r="N56" s="139"/>
      <c r="O56" s="139"/>
      <c r="P56" s="139"/>
      <c r="Q56" s="48">
        <f>(H51)</f>
        <v>10263</v>
      </c>
      <c r="R56" s="4"/>
      <c r="S56" s="1"/>
    </row>
    <row r="57" spans="1:19" x14ac:dyDescent="0.25">
      <c r="A57" s="7" t="s">
        <v>184</v>
      </c>
      <c r="B57" s="176">
        <v>57</v>
      </c>
      <c r="C57" s="176">
        <v>1</v>
      </c>
      <c r="D57" s="181">
        <v>25</v>
      </c>
      <c r="E57" s="187">
        <v>4</v>
      </c>
      <c r="F57" s="187">
        <v>0</v>
      </c>
      <c r="G57" s="187">
        <v>0</v>
      </c>
      <c r="H57" s="26">
        <f t="shared" si="10"/>
        <v>87</v>
      </c>
      <c r="I57" s="1"/>
      <c r="J57" s="138" t="s">
        <v>140</v>
      </c>
      <c r="K57" s="139"/>
      <c r="L57" s="139"/>
      <c r="M57" s="139"/>
      <c r="N57" s="139"/>
      <c r="O57" s="139"/>
      <c r="P57" s="139"/>
      <c r="Q57" s="48">
        <f>(H69)</f>
        <v>892</v>
      </c>
      <c r="R57" s="4"/>
      <c r="S57" s="1"/>
    </row>
    <row r="58" spans="1:19" x14ac:dyDescent="0.25">
      <c r="A58" s="7" t="s">
        <v>88</v>
      </c>
      <c r="B58" s="176">
        <v>18</v>
      </c>
      <c r="C58" s="176">
        <v>12</v>
      </c>
      <c r="D58" s="181">
        <v>7</v>
      </c>
      <c r="E58" s="187">
        <v>1</v>
      </c>
      <c r="F58" s="187">
        <v>0</v>
      </c>
      <c r="G58" s="187">
        <v>0</v>
      </c>
      <c r="H58" s="26">
        <f t="shared" si="10"/>
        <v>38</v>
      </c>
      <c r="I58" s="1"/>
      <c r="J58" s="138" t="s">
        <v>144</v>
      </c>
      <c r="K58" s="139"/>
      <c r="L58" s="139"/>
      <c r="M58" s="139"/>
      <c r="N58" s="139"/>
      <c r="O58" s="139"/>
      <c r="P58" s="139"/>
      <c r="Q58" s="48">
        <f>H82</f>
        <v>1347</v>
      </c>
      <c r="R58" s="4"/>
      <c r="S58" s="1"/>
    </row>
    <row r="59" spans="1:19" x14ac:dyDescent="0.25">
      <c r="A59" s="7" t="s">
        <v>89</v>
      </c>
      <c r="B59" s="176">
        <v>0</v>
      </c>
      <c r="C59" s="176">
        <v>0</v>
      </c>
      <c r="D59" s="181">
        <v>0</v>
      </c>
      <c r="E59" s="187">
        <v>0</v>
      </c>
      <c r="F59" s="187">
        <v>0</v>
      </c>
      <c r="G59" s="187">
        <v>0</v>
      </c>
      <c r="H59" s="26">
        <f t="shared" si="10"/>
        <v>0</v>
      </c>
      <c r="I59" s="1"/>
      <c r="J59" s="138" t="s">
        <v>141</v>
      </c>
      <c r="K59" s="139"/>
      <c r="L59" s="139"/>
      <c r="M59" s="139"/>
      <c r="N59" s="139"/>
      <c r="O59" s="139"/>
      <c r="P59" s="139"/>
      <c r="Q59" s="48">
        <f>H95</f>
        <v>5014</v>
      </c>
      <c r="R59" s="4"/>
      <c r="S59" s="1"/>
    </row>
    <row r="60" spans="1:19" x14ac:dyDescent="0.25">
      <c r="A60" s="7" t="s">
        <v>183</v>
      </c>
      <c r="B60" s="176">
        <v>155</v>
      </c>
      <c r="C60" s="176">
        <v>804</v>
      </c>
      <c r="D60" s="181">
        <v>79</v>
      </c>
      <c r="E60" s="187">
        <v>18</v>
      </c>
      <c r="F60" s="187">
        <v>0</v>
      </c>
      <c r="G60" s="187">
        <v>1</v>
      </c>
      <c r="H60" s="26">
        <f t="shared" si="10"/>
        <v>1057</v>
      </c>
      <c r="I60" s="1"/>
      <c r="J60" s="138" t="s">
        <v>143</v>
      </c>
      <c r="K60" s="139"/>
      <c r="L60" s="139"/>
      <c r="M60" s="139"/>
      <c r="N60" s="139"/>
      <c r="O60" s="139"/>
      <c r="P60" s="139"/>
      <c r="Q60" s="63">
        <f>Q11</f>
        <v>2281</v>
      </c>
      <c r="R60" s="4"/>
      <c r="S60" s="1"/>
    </row>
    <row r="61" spans="1:19" x14ac:dyDescent="0.25">
      <c r="A61" s="7" t="s">
        <v>36</v>
      </c>
      <c r="B61" s="176">
        <v>26</v>
      </c>
      <c r="C61" s="176">
        <v>16</v>
      </c>
      <c r="D61" s="181">
        <v>13</v>
      </c>
      <c r="E61" s="187">
        <v>1</v>
      </c>
      <c r="F61" s="187">
        <v>0</v>
      </c>
      <c r="G61" s="187">
        <v>0</v>
      </c>
      <c r="H61" s="26">
        <f t="shared" si="10"/>
        <v>56</v>
      </c>
      <c r="I61" s="1"/>
      <c r="J61" s="138" t="s">
        <v>145</v>
      </c>
      <c r="K61" s="139"/>
      <c r="L61" s="139"/>
      <c r="M61" s="139"/>
      <c r="N61" s="139"/>
      <c r="O61" s="139"/>
      <c r="P61" s="139"/>
      <c r="Q61" s="41">
        <f>Q28</f>
        <v>479</v>
      </c>
      <c r="R61" s="4"/>
      <c r="S61" s="1"/>
    </row>
    <row r="62" spans="1:19" ht="15.75" thickBot="1" x14ac:dyDescent="0.3">
      <c r="A62" s="7" t="s">
        <v>119</v>
      </c>
      <c r="B62" s="176">
        <v>0</v>
      </c>
      <c r="C62" s="175">
        <v>0</v>
      </c>
      <c r="D62" s="181">
        <v>0</v>
      </c>
      <c r="E62" s="187">
        <v>0</v>
      </c>
      <c r="F62" s="187">
        <v>0</v>
      </c>
      <c r="G62" s="187">
        <v>0</v>
      </c>
      <c r="H62" s="26">
        <f>SUM(B62:G62)</f>
        <v>0</v>
      </c>
      <c r="I62" s="1"/>
      <c r="J62" s="144" t="s">
        <v>151</v>
      </c>
      <c r="K62" s="145"/>
      <c r="L62" s="145"/>
      <c r="M62" s="145"/>
      <c r="N62" s="145"/>
      <c r="O62" s="145"/>
      <c r="P62" s="145"/>
      <c r="Q62" s="64">
        <f>Q41</f>
        <v>1043</v>
      </c>
      <c r="R62" s="4"/>
      <c r="S62" s="1"/>
    </row>
    <row r="63" spans="1:19" ht="15.75" thickBot="1" x14ac:dyDescent="0.3">
      <c r="A63" s="7" t="s">
        <v>118</v>
      </c>
      <c r="B63" s="176">
        <v>0</v>
      </c>
      <c r="C63" s="176">
        <v>0</v>
      </c>
      <c r="D63" s="181">
        <v>0</v>
      </c>
      <c r="E63" s="187">
        <v>0</v>
      </c>
      <c r="F63" s="187">
        <v>0</v>
      </c>
      <c r="G63" s="187">
        <v>0</v>
      </c>
      <c r="H63" s="33">
        <f>SUM(B63:G63)</f>
        <v>0</v>
      </c>
      <c r="I63" s="1"/>
      <c r="M63" s="53"/>
      <c r="N63" s="53"/>
      <c r="O63" s="53"/>
      <c r="P63" s="39" t="s">
        <v>11</v>
      </c>
      <c r="Q63" s="61">
        <f>SUM(Q54:Q62)</f>
        <v>49063</v>
      </c>
      <c r="R63" s="4"/>
      <c r="S63" s="1"/>
    </row>
    <row r="64" spans="1:19" x14ac:dyDescent="0.25">
      <c r="A64" s="8" t="s">
        <v>37</v>
      </c>
      <c r="B64" s="183">
        <v>123</v>
      </c>
      <c r="C64" s="179">
        <v>172</v>
      </c>
      <c r="D64" s="184">
        <v>27</v>
      </c>
      <c r="E64" s="186">
        <v>5</v>
      </c>
      <c r="F64" s="186">
        <v>0</v>
      </c>
      <c r="G64" s="186">
        <v>0</v>
      </c>
      <c r="H64" s="26">
        <f t="shared" si="10"/>
        <v>327</v>
      </c>
      <c r="I64" s="1"/>
      <c r="P64" s="1"/>
      <c r="Q64" s="1"/>
      <c r="R64" s="4"/>
      <c r="S64" s="1"/>
    </row>
    <row r="65" spans="1:19" x14ac:dyDescent="0.25">
      <c r="A65" s="7" t="s">
        <v>38</v>
      </c>
      <c r="B65" s="176">
        <v>317</v>
      </c>
      <c r="C65" s="175">
        <v>526</v>
      </c>
      <c r="D65" s="181">
        <v>361</v>
      </c>
      <c r="E65" s="187">
        <v>21</v>
      </c>
      <c r="F65" s="187">
        <v>8</v>
      </c>
      <c r="G65" s="187">
        <v>1</v>
      </c>
      <c r="H65" s="26">
        <f t="shared" si="10"/>
        <v>1234</v>
      </c>
      <c r="I65" s="1"/>
      <c r="R65" s="4"/>
      <c r="S65" s="1"/>
    </row>
    <row r="66" spans="1:19" x14ac:dyDescent="0.25">
      <c r="A66" s="7" t="s">
        <v>73</v>
      </c>
      <c r="B66" s="176">
        <v>317</v>
      </c>
      <c r="C66" s="175">
        <v>526</v>
      </c>
      <c r="D66" s="181">
        <v>361</v>
      </c>
      <c r="E66" s="176">
        <v>8</v>
      </c>
      <c r="F66" s="176">
        <v>8</v>
      </c>
      <c r="G66" s="176">
        <v>1</v>
      </c>
      <c r="H66" s="26">
        <f t="shared" si="10"/>
        <v>1221</v>
      </c>
      <c r="I66" s="1"/>
      <c r="J66" s="1"/>
      <c r="K66" s="1"/>
      <c r="L66" s="1"/>
      <c r="M66" s="1"/>
      <c r="N66" s="1"/>
      <c r="O66" s="1"/>
      <c r="R66" s="4"/>
      <c r="S66" s="1"/>
    </row>
    <row r="67" spans="1:19" x14ac:dyDescent="0.25">
      <c r="A67" s="7" t="s">
        <v>39</v>
      </c>
      <c r="B67" s="176">
        <v>109</v>
      </c>
      <c r="C67" s="175">
        <v>181</v>
      </c>
      <c r="D67" s="181">
        <v>20</v>
      </c>
      <c r="E67" s="176">
        <v>0</v>
      </c>
      <c r="F67" s="176">
        <v>1</v>
      </c>
      <c r="G67" s="176">
        <v>0</v>
      </c>
      <c r="H67" s="26">
        <f t="shared" si="10"/>
        <v>311</v>
      </c>
      <c r="I67" s="1"/>
      <c r="R67" s="4"/>
      <c r="S67" s="1"/>
    </row>
    <row r="68" spans="1:19" x14ac:dyDescent="0.25">
      <c r="A68" s="18" t="s">
        <v>40</v>
      </c>
      <c r="B68" s="178">
        <v>0</v>
      </c>
      <c r="C68" s="180">
        <v>0</v>
      </c>
      <c r="D68" s="185">
        <v>0</v>
      </c>
      <c r="E68" s="178">
        <v>0</v>
      </c>
      <c r="F68" s="178">
        <v>0</v>
      </c>
      <c r="G68" s="178">
        <v>0</v>
      </c>
      <c r="H68" s="26">
        <f t="shared" si="10"/>
        <v>0</v>
      </c>
      <c r="I68" s="1"/>
      <c r="R68" s="4"/>
      <c r="S68" s="1"/>
    </row>
    <row r="69" spans="1:19" x14ac:dyDescent="0.25">
      <c r="A69" s="73" t="s">
        <v>54</v>
      </c>
      <c r="B69" s="74">
        <f t="shared" ref="B69:G69" si="11">SUM(B70:B81)</f>
        <v>704</v>
      </c>
      <c r="C69" s="74">
        <f t="shared" si="11"/>
        <v>42</v>
      </c>
      <c r="D69" s="74">
        <f t="shared" si="11"/>
        <v>140</v>
      </c>
      <c r="E69" s="74">
        <f t="shared" si="11"/>
        <v>6</v>
      </c>
      <c r="F69" s="74">
        <f t="shared" si="11"/>
        <v>0</v>
      </c>
      <c r="G69" s="76">
        <f t="shared" si="11"/>
        <v>0</v>
      </c>
      <c r="H69" s="75">
        <f t="shared" si="10"/>
        <v>892</v>
      </c>
      <c r="I69" s="1"/>
      <c r="R69" s="4"/>
      <c r="S69" s="1"/>
    </row>
    <row r="70" spans="1:19" x14ac:dyDescent="0.25">
      <c r="A70" s="52" t="s">
        <v>55</v>
      </c>
      <c r="B70" s="190">
        <v>118</v>
      </c>
      <c r="C70" s="188">
        <v>7</v>
      </c>
      <c r="D70" s="190">
        <v>120</v>
      </c>
      <c r="E70" s="190">
        <v>4</v>
      </c>
      <c r="F70" s="189">
        <v>0</v>
      </c>
      <c r="G70" s="190">
        <v>0</v>
      </c>
      <c r="H70" s="26">
        <f t="shared" si="10"/>
        <v>249</v>
      </c>
      <c r="I70" s="1"/>
      <c r="R70" s="4"/>
      <c r="S70" s="1"/>
    </row>
    <row r="71" spans="1:19" x14ac:dyDescent="0.25">
      <c r="A71" s="52" t="s">
        <v>56</v>
      </c>
      <c r="B71" s="191">
        <v>259</v>
      </c>
      <c r="C71" s="192">
        <v>22</v>
      </c>
      <c r="D71" s="191">
        <v>5</v>
      </c>
      <c r="E71" s="191">
        <v>0</v>
      </c>
      <c r="F71" s="189">
        <v>0</v>
      </c>
      <c r="G71" s="191">
        <v>0</v>
      </c>
      <c r="H71" s="26">
        <f t="shared" si="10"/>
        <v>286</v>
      </c>
      <c r="I71" s="1"/>
      <c r="R71" s="4"/>
      <c r="S71" s="1"/>
    </row>
    <row r="72" spans="1:19" x14ac:dyDescent="0.25">
      <c r="A72" s="52" t="s">
        <v>58</v>
      </c>
      <c r="B72" s="191">
        <v>2</v>
      </c>
      <c r="C72" s="188">
        <v>0</v>
      </c>
      <c r="D72" s="191">
        <v>0</v>
      </c>
      <c r="E72" s="191">
        <v>0</v>
      </c>
      <c r="F72" s="189">
        <v>0</v>
      </c>
      <c r="G72" s="191">
        <v>0</v>
      </c>
      <c r="H72" s="26">
        <f t="shared" si="10"/>
        <v>2</v>
      </c>
      <c r="I72" s="1"/>
      <c r="R72" s="4"/>
      <c r="S72" s="1"/>
    </row>
    <row r="73" spans="1:19" x14ac:dyDescent="0.25">
      <c r="A73" s="52" t="s">
        <v>68</v>
      </c>
      <c r="B73" s="191">
        <v>82</v>
      </c>
      <c r="C73" s="192">
        <v>5</v>
      </c>
      <c r="D73" s="191">
        <v>5</v>
      </c>
      <c r="E73" s="191">
        <v>2</v>
      </c>
      <c r="F73" s="193">
        <v>0</v>
      </c>
      <c r="G73" s="191">
        <v>0</v>
      </c>
      <c r="H73" s="26">
        <f t="shared" si="10"/>
        <v>94</v>
      </c>
      <c r="I73" s="1"/>
      <c r="R73" s="4"/>
      <c r="S73" s="1"/>
    </row>
    <row r="74" spans="1:19" x14ac:dyDescent="0.25">
      <c r="A74" s="52" t="s">
        <v>69</v>
      </c>
      <c r="B74" s="191">
        <v>33</v>
      </c>
      <c r="C74" s="192">
        <v>0</v>
      </c>
      <c r="D74" s="191">
        <v>0</v>
      </c>
      <c r="E74" s="191">
        <v>0</v>
      </c>
      <c r="F74" s="193">
        <v>0</v>
      </c>
      <c r="G74" s="191">
        <v>0</v>
      </c>
      <c r="H74" s="26">
        <f t="shared" si="10"/>
        <v>33</v>
      </c>
      <c r="I74" s="1"/>
      <c r="R74" s="4"/>
      <c r="S74" s="1"/>
    </row>
    <row r="75" spans="1:19" x14ac:dyDescent="0.25">
      <c r="A75" s="52" t="s">
        <v>57</v>
      </c>
      <c r="B75" s="191">
        <v>5</v>
      </c>
      <c r="C75" s="192">
        <v>1</v>
      </c>
      <c r="D75" s="191">
        <v>4</v>
      </c>
      <c r="E75" s="191">
        <v>0</v>
      </c>
      <c r="F75" s="192">
        <v>0</v>
      </c>
      <c r="G75" s="191">
        <v>0</v>
      </c>
      <c r="H75" s="26">
        <f t="shared" si="10"/>
        <v>10</v>
      </c>
      <c r="I75" s="1"/>
      <c r="R75" s="4"/>
      <c r="S75" s="1"/>
    </row>
    <row r="76" spans="1:19" x14ac:dyDescent="0.25">
      <c r="A76" s="52" t="s">
        <v>142</v>
      </c>
      <c r="B76" s="191">
        <v>54</v>
      </c>
      <c r="C76" s="192">
        <v>4</v>
      </c>
      <c r="D76" s="191">
        <v>2</v>
      </c>
      <c r="E76" s="191">
        <v>0</v>
      </c>
      <c r="F76" s="193">
        <v>0</v>
      </c>
      <c r="G76" s="191">
        <v>0</v>
      </c>
      <c r="H76" s="26">
        <f t="shared" si="10"/>
        <v>60</v>
      </c>
      <c r="I76" s="1"/>
      <c r="R76" s="4"/>
      <c r="S76" s="1"/>
    </row>
    <row r="77" spans="1:19" x14ac:dyDescent="0.25">
      <c r="A77" s="52" t="s">
        <v>59</v>
      </c>
      <c r="B77" s="191">
        <v>11</v>
      </c>
      <c r="C77" s="192">
        <v>2</v>
      </c>
      <c r="D77" s="191">
        <v>3</v>
      </c>
      <c r="E77" s="191">
        <v>0</v>
      </c>
      <c r="F77" s="193">
        <v>0</v>
      </c>
      <c r="G77" s="191">
        <v>0</v>
      </c>
      <c r="H77" s="26">
        <f t="shared" si="10"/>
        <v>16</v>
      </c>
      <c r="I77" s="1"/>
      <c r="R77" s="4"/>
      <c r="S77" s="1"/>
    </row>
    <row r="78" spans="1:19" x14ac:dyDescent="0.25">
      <c r="A78" s="52" t="s">
        <v>60</v>
      </c>
      <c r="B78" s="191">
        <v>41</v>
      </c>
      <c r="C78" s="192">
        <v>1</v>
      </c>
      <c r="D78" s="191">
        <v>1</v>
      </c>
      <c r="E78" s="191">
        <v>0</v>
      </c>
      <c r="F78" s="192">
        <v>0</v>
      </c>
      <c r="G78" s="191">
        <v>0</v>
      </c>
      <c r="H78" s="26">
        <f t="shared" si="10"/>
        <v>43</v>
      </c>
      <c r="I78" s="1"/>
      <c r="R78" s="4"/>
      <c r="S78" s="1"/>
    </row>
    <row r="79" spans="1:19" x14ac:dyDescent="0.25">
      <c r="A79" s="52" t="s">
        <v>106</v>
      </c>
      <c r="B79" s="191">
        <v>33</v>
      </c>
      <c r="C79" s="192">
        <v>0</v>
      </c>
      <c r="D79" s="191">
        <v>0</v>
      </c>
      <c r="E79" s="191">
        <v>0</v>
      </c>
      <c r="F79" s="192">
        <v>0</v>
      </c>
      <c r="G79" s="191">
        <v>0</v>
      </c>
      <c r="H79" s="26">
        <f t="shared" si="10"/>
        <v>33</v>
      </c>
      <c r="I79" s="1"/>
      <c r="R79" s="4"/>
      <c r="S79" s="1"/>
    </row>
    <row r="80" spans="1:19" x14ac:dyDescent="0.25">
      <c r="A80" s="52" t="s">
        <v>132</v>
      </c>
      <c r="B80" s="191">
        <v>33</v>
      </c>
      <c r="C80" s="192">
        <v>0</v>
      </c>
      <c r="D80" s="191">
        <v>0</v>
      </c>
      <c r="E80" s="191">
        <v>0</v>
      </c>
      <c r="F80" s="193">
        <v>0</v>
      </c>
      <c r="G80" s="191">
        <v>0</v>
      </c>
      <c r="H80" s="26">
        <f t="shared" si="10"/>
        <v>33</v>
      </c>
      <c r="I80" s="1"/>
      <c r="R80" s="4"/>
      <c r="S80" s="1"/>
    </row>
    <row r="81" spans="1:19" x14ac:dyDescent="0.25">
      <c r="A81" s="52" t="s">
        <v>133</v>
      </c>
      <c r="B81" s="194">
        <v>33</v>
      </c>
      <c r="C81" s="192">
        <v>0</v>
      </c>
      <c r="D81" s="194">
        <v>0</v>
      </c>
      <c r="E81" s="194">
        <v>0</v>
      </c>
      <c r="F81" s="193">
        <v>0</v>
      </c>
      <c r="G81" s="194">
        <v>0</v>
      </c>
      <c r="H81" s="26">
        <f t="shared" si="10"/>
        <v>33</v>
      </c>
      <c r="I81" s="1"/>
      <c r="R81" s="4"/>
      <c r="S81" s="1"/>
    </row>
    <row r="82" spans="1:19" x14ac:dyDescent="0.25">
      <c r="A82" s="73" t="s">
        <v>70</v>
      </c>
      <c r="B82" s="29">
        <f t="shared" ref="B82:G82" si="12">SUM(B83:B92)</f>
        <v>132</v>
      </c>
      <c r="C82" s="74">
        <f t="shared" si="12"/>
        <v>597</v>
      </c>
      <c r="D82" s="74">
        <f t="shared" si="12"/>
        <v>541</v>
      </c>
      <c r="E82" s="74">
        <f t="shared" si="12"/>
        <v>77</v>
      </c>
      <c r="F82" s="74">
        <f t="shared" si="12"/>
        <v>0</v>
      </c>
      <c r="G82" s="74">
        <f t="shared" si="12"/>
        <v>0</v>
      </c>
      <c r="H82" s="75">
        <f t="shared" si="10"/>
        <v>1347</v>
      </c>
      <c r="I82" s="1"/>
      <c r="R82" s="4"/>
      <c r="S82" s="1"/>
    </row>
    <row r="83" spans="1:19" x14ac:dyDescent="0.25">
      <c r="A83" s="22" t="s">
        <v>84</v>
      </c>
      <c r="B83" s="198">
        <v>30</v>
      </c>
      <c r="C83" s="195">
        <v>0</v>
      </c>
      <c r="D83" s="198">
        <v>53</v>
      </c>
      <c r="E83" s="198">
        <v>5</v>
      </c>
      <c r="F83" s="195">
        <v>0</v>
      </c>
      <c r="G83" s="198">
        <v>0</v>
      </c>
      <c r="H83" s="26">
        <f t="shared" si="10"/>
        <v>88</v>
      </c>
      <c r="I83" s="1"/>
      <c r="R83" s="4"/>
      <c r="S83" s="1"/>
    </row>
    <row r="84" spans="1:19" x14ac:dyDescent="0.25">
      <c r="A84" s="22" t="s">
        <v>114</v>
      </c>
      <c r="B84" s="196">
        <v>13</v>
      </c>
      <c r="C84" s="195">
        <v>4</v>
      </c>
      <c r="D84" s="196">
        <v>67</v>
      </c>
      <c r="E84" s="196">
        <v>5</v>
      </c>
      <c r="F84" s="195">
        <v>0</v>
      </c>
      <c r="G84" s="196">
        <v>0</v>
      </c>
      <c r="H84" s="26">
        <f t="shared" si="10"/>
        <v>89</v>
      </c>
      <c r="I84" s="1"/>
      <c r="R84" s="4"/>
      <c r="S84" s="1"/>
    </row>
    <row r="85" spans="1:19" ht="14.25" customHeight="1" x14ac:dyDescent="0.25">
      <c r="A85" s="22" t="s">
        <v>61</v>
      </c>
      <c r="B85" s="196">
        <v>4</v>
      </c>
      <c r="C85" s="195">
        <v>25</v>
      </c>
      <c r="D85" s="196">
        <v>7</v>
      </c>
      <c r="E85" s="196">
        <v>0</v>
      </c>
      <c r="F85" s="195">
        <v>0</v>
      </c>
      <c r="G85" s="196">
        <v>0</v>
      </c>
      <c r="H85" s="26">
        <f t="shared" si="10"/>
        <v>36</v>
      </c>
      <c r="I85" s="1"/>
      <c r="R85" s="4"/>
      <c r="S85" s="1"/>
    </row>
    <row r="86" spans="1:19" x14ac:dyDescent="0.25">
      <c r="A86" s="22" t="s">
        <v>62</v>
      </c>
      <c r="B86" s="196">
        <v>27</v>
      </c>
      <c r="C86" s="195">
        <v>0</v>
      </c>
      <c r="D86" s="196">
        <v>104</v>
      </c>
      <c r="E86" s="196">
        <v>5</v>
      </c>
      <c r="F86" s="195">
        <v>0</v>
      </c>
      <c r="G86" s="196">
        <v>0</v>
      </c>
      <c r="H86" s="26">
        <f t="shared" si="10"/>
        <v>136</v>
      </c>
      <c r="I86" s="1"/>
      <c r="K86" s="133"/>
      <c r="L86" s="133"/>
      <c r="M86" s="133"/>
      <c r="R86" s="4"/>
      <c r="S86" s="1"/>
    </row>
    <row r="87" spans="1:19" x14ac:dyDescent="0.25">
      <c r="A87" s="22" t="s">
        <v>93</v>
      </c>
      <c r="B87" s="196">
        <v>0</v>
      </c>
      <c r="C87" s="195">
        <v>0</v>
      </c>
      <c r="D87" s="196">
        <v>0</v>
      </c>
      <c r="E87" s="196">
        <v>0</v>
      </c>
      <c r="F87" s="195">
        <v>0</v>
      </c>
      <c r="G87" s="196">
        <v>0</v>
      </c>
      <c r="H87" s="26">
        <f t="shared" si="10"/>
        <v>0</v>
      </c>
      <c r="I87" s="1"/>
      <c r="R87" s="4"/>
      <c r="S87" s="1"/>
    </row>
    <row r="88" spans="1:19" x14ac:dyDescent="0.25">
      <c r="A88" s="22" t="s">
        <v>94</v>
      </c>
      <c r="B88" s="196">
        <v>0</v>
      </c>
      <c r="C88" s="195">
        <v>0</v>
      </c>
      <c r="D88" s="196">
        <v>0</v>
      </c>
      <c r="E88" s="196">
        <v>0</v>
      </c>
      <c r="F88" s="195">
        <v>0</v>
      </c>
      <c r="G88" s="196">
        <v>0</v>
      </c>
      <c r="H88" s="33">
        <f t="shared" si="10"/>
        <v>0</v>
      </c>
      <c r="I88" s="1"/>
      <c r="R88" s="4"/>
      <c r="S88" s="1"/>
    </row>
    <row r="89" spans="1:19" x14ac:dyDescent="0.25">
      <c r="A89" s="81" t="s">
        <v>108</v>
      </c>
      <c r="B89" s="199">
        <v>46</v>
      </c>
      <c r="C89" s="200">
        <v>568</v>
      </c>
      <c r="D89" s="199">
        <v>227</v>
      </c>
      <c r="E89" s="199">
        <v>62</v>
      </c>
      <c r="F89" s="201"/>
      <c r="G89" s="199"/>
      <c r="H89" s="84">
        <f>SUM(B89:G89)</f>
        <v>903</v>
      </c>
      <c r="I89" s="1"/>
      <c r="R89" s="4"/>
      <c r="S89" s="1"/>
    </row>
    <row r="90" spans="1:19" x14ac:dyDescent="0.25">
      <c r="A90" s="32" t="s">
        <v>63</v>
      </c>
      <c r="B90" s="198">
        <v>0</v>
      </c>
      <c r="C90" s="197">
        <v>0</v>
      </c>
      <c r="D90" s="198">
        <v>2</v>
      </c>
      <c r="E90" s="198">
        <v>0</v>
      </c>
      <c r="F90" s="197">
        <v>0</v>
      </c>
      <c r="G90" s="198">
        <v>0</v>
      </c>
      <c r="H90" s="26">
        <f t="shared" si="10"/>
        <v>2</v>
      </c>
      <c r="I90" s="1"/>
      <c r="R90" s="4"/>
      <c r="S90" s="1"/>
    </row>
    <row r="91" spans="1:19" x14ac:dyDescent="0.25">
      <c r="A91" s="22" t="s">
        <v>153</v>
      </c>
      <c r="B91" s="196">
        <v>4</v>
      </c>
      <c r="C91" s="195">
        <v>0</v>
      </c>
      <c r="D91" s="196">
        <v>1</v>
      </c>
      <c r="E91" s="196">
        <v>0</v>
      </c>
      <c r="F91" s="195">
        <v>0</v>
      </c>
      <c r="G91" s="196">
        <v>0</v>
      </c>
      <c r="H91" s="26">
        <f t="shared" si="10"/>
        <v>5</v>
      </c>
      <c r="I91" s="1"/>
      <c r="R91" s="4"/>
      <c r="S91" s="1"/>
    </row>
    <row r="92" spans="1:19" x14ac:dyDescent="0.25">
      <c r="A92" s="22" t="s">
        <v>107</v>
      </c>
      <c r="B92" s="196">
        <v>8</v>
      </c>
      <c r="C92" s="195">
        <v>0</v>
      </c>
      <c r="D92" s="196">
        <v>80</v>
      </c>
      <c r="E92" s="196">
        <v>0</v>
      </c>
      <c r="F92" s="195">
        <v>0</v>
      </c>
      <c r="G92" s="196">
        <v>0</v>
      </c>
      <c r="H92" s="26">
        <f t="shared" si="10"/>
        <v>88</v>
      </c>
      <c r="I92" s="1"/>
      <c r="R92" s="4"/>
      <c r="S92" s="1"/>
    </row>
    <row r="93" spans="1:19" x14ac:dyDescent="0.25">
      <c r="A93" s="22" t="s">
        <v>210</v>
      </c>
      <c r="B93" s="196">
        <v>0</v>
      </c>
      <c r="C93" s="195">
        <v>0</v>
      </c>
      <c r="D93" s="196">
        <v>0</v>
      </c>
      <c r="E93" s="196">
        <v>0</v>
      </c>
      <c r="F93" s="195">
        <v>0</v>
      </c>
      <c r="G93" s="196">
        <v>0</v>
      </c>
      <c r="H93" s="26">
        <f t="shared" si="10"/>
        <v>0</v>
      </c>
      <c r="I93" s="1"/>
      <c r="R93" s="4"/>
      <c r="S93" s="1"/>
    </row>
    <row r="94" spans="1:19" x14ac:dyDescent="0.25">
      <c r="A94" s="22" t="s">
        <v>182</v>
      </c>
      <c r="B94" s="196">
        <v>7</v>
      </c>
      <c r="C94" s="195">
        <v>0</v>
      </c>
      <c r="D94" s="196">
        <v>5</v>
      </c>
      <c r="E94" s="196">
        <v>0</v>
      </c>
      <c r="F94" s="195">
        <v>0</v>
      </c>
      <c r="G94" s="196">
        <v>0</v>
      </c>
      <c r="H94" s="26">
        <f t="shared" si="10"/>
        <v>12</v>
      </c>
      <c r="I94" s="1"/>
      <c r="R94" s="4"/>
      <c r="S94" s="1"/>
    </row>
    <row r="95" spans="1:19" x14ac:dyDescent="0.25">
      <c r="A95" s="73" t="s">
        <v>3</v>
      </c>
      <c r="B95" s="74">
        <f t="shared" ref="B95:G95" si="13">SUM(B96:B153)</f>
        <v>1175</v>
      </c>
      <c r="C95" s="74">
        <f t="shared" si="13"/>
        <v>931</v>
      </c>
      <c r="D95" s="74">
        <f t="shared" si="13"/>
        <v>2832</v>
      </c>
      <c r="E95" s="74">
        <f t="shared" si="13"/>
        <v>61</v>
      </c>
      <c r="F95" s="74">
        <f t="shared" si="13"/>
        <v>15</v>
      </c>
      <c r="G95" s="74">
        <f t="shared" si="13"/>
        <v>0</v>
      </c>
      <c r="H95" s="75">
        <f t="shared" si="10"/>
        <v>5014</v>
      </c>
      <c r="I95" s="1"/>
      <c r="R95" s="4"/>
      <c r="S95" s="1"/>
    </row>
    <row r="96" spans="1:19" x14ac:dyDescent="0.25">
      <c r="A96" s="7" t="s">
        <v>113</v>
      </c>
      <c r="B96" s="202">
        <v>92</v>
      </c>
      <c r="C96" s="202">
        <v>202</v>
      </c>
      <c r="D96" s="202">
        <v>375</v>
      </c>
      <c r="E96" s="202">
        <v>8</v>
      </c>
      <c r="F96" s="203">
        <v>1</v>
      </c>
      <c r="G96" s="202">
        <v>0</v>
      </c>
      <c r="H96" s="14">
        <f t="shared" si="10"/>
        <v>678</v>
      </c>
      <c r="I96" s="1"/>
      <c r="R96" s="4"/>
      <c r="S96" s="1"/>
    </row>
    <row r="97" spans="1:19" x14ac:dyDescent="0.25">
      <c r="A97" s="7" t="s">
        <v>112</v>
      </c>
      <c r="B97" s="202">
        <v>0</v>
      </c>
      <c r="C97" s="202">
        <v>0</v>
      </c>
      <c r="D97" s="202">
        <v>0</v>
      </c>
      <c r="E97" s="202">
        <v>0</v>
      </c>
      <c r="F97" s="203">
        <v>0</v>
      </c>
      <c r="G97" s="202">
        <v>0</v>
      </c>
      <c r="H97" s="14">
        <f t="shared" si="10"/>
        <v>0</v>
      </c>
      <c r="I97" s="1"/>
      <c r="R97" s="4"/>
      <c r="S97" s="1"/>
    </row>
    <row r="98" spans="1:19" x14ac:dyDescent="0.25">
      <c r="A98" s="7" t="s">
        <v>41</v>
      </c>
      <c r="B98" s="202">
        <v>0</v>
      </c>
      <c r="C98" s="202">
        <v>0</v>
      </c>
      <c r="D98" s="202">
        <v>0</v>
      </c>
      <c r="E98" s="202">
        <v>0</v>
      </c>
      <c r="F98" s="203">
        <v>0</v>
      </c>
      <c r="G98" s="202">
        <v>0</v>
      </c>
      <c r="H98" s="14">
        <f t="shared" si="10"/>
        <v>0</v>
      </c>
      <c r="I98" s="1"/>
      <c r="R98" s="4"/>
      <c r="S98" s="1"/>
    </row>
    <row r="99" spans="1:19" x14ac:dyDescent="0.25">
      <c r="A99" s="7" t="s">
        <v>192</v>
      </c>
      <c r="B99" s="202">
        <v>0</v>
      </c>
      <c r="C99" s="202">
        <v>0</v>
      </c>
      <c r="D99" s="202">
        <v>0</v>
      </c>
      <c r="E99" s="202">
        <v>0</v>
      </c>
      <c r="F99" s="203">
        <v>0</v>
      </c>
      <c r="G99" s="202">
        <v>0</v>
      </c>
      <c r="H99" s="14">
        <f t="shared" si="10"/>
        <v>0</v>
      </c>
      <c r="I99" s="1"/>
      <c r="R99" s="4"/>
      <c r="S99" s="1"/>
    </row>
    <row r="100" spans="1:19" x14ac:dyDescent="0.25">
      <c r="A100" s="7" t="s">
        <v>213</v>
      </c>
      <c r="B100" s="202">
        <v>0</v>
      </c>
      <c r="C100" s="202">
        <v>0</v>
      </c>
      <c r="D100" s="202">
        <v>0</v>
      </c>
      <c r="E100" s="202">
        <v>0</v>
      </c>
      <c r="F100" s="203">
        <v>0</v>
      </c>
      <c r="G100" s="202">
        <v>0</v>
      </c>
      <c r="H100" s="14">
        <f t="shared" si="10"/>
        <v>0</v>
      </c>
      <c r="I100" s="1"/>
      <c r="R100" s="4"/>
      <c r="S100" s="1"/>
    </row>
    <row r="101" spans="1:19" x14ac:dyDescent="0.25">
      <c r="A101" s="7" t="s">
        <v>214</v>
      </c>
      <c r="B101" s="202">
        <v>0</v>
      </c>
      <c r="C101" s="202">
        <v>0</v>
      </c>
      <c r="D101" s="202">
        <v>0</v>
      </c>
      <c r="E101" s="202">
        <v>0</v>
      </c>
      <c r="F101" s="203">
        <v>0</v>
      </c>
      <c r="G101" s="202">
        <v>0</v>
      </c>
      <c r="H101" s="14">
        <f t="shared" si="10"/>
        <v>0</v>
      </c>
      <c r="I101" s="1"/>
      <c r="R101" s="4"/>
      <c r="S101" s="1"/>
    </row>
    <row r="102" spans="1:19" x14ac:dyDescent="0.25">
      <c r="A102" s="7" t="s">
        <v>215</v>
      </c>
      <c r="B102" s="202">
        <v>2</v>
      </c>
      <c r="C102" s="202">
        <v>0</v>
      </c>
      <c r="D102" s="202">
        <v>0</v>
      </c>
      <c r="E102" s="202">
        <v>0</v>
      </c>
      <c r="F102" s="203">
        <v>0</v>
      </c>
      <c r="G102" s="202">
        <v>0</v>
      </c>
      <c r="H102" s="14">
        <f t="shared" si="10"/>
        <v>2</v>
      </c>
      <c r="I102" s="1"/>
      <c r="R102" s="4"/>
      <c r="S102" s="1"/>
    </row>
    <row r="103" spans="1:19" x14ac:dyDescent="0.25">
      <c r="A103" s="7" t="s">
        <v>219</v>
      </c>
      <c r="B103" s="202">
        <v>0</v>
      </c>
      <c r="C103" s="202">
        <v>0</v>
      </c>
      <c r="D103" s="202">
        <v>0</v>
      </c>
      <c r="E103" s="202">
        <v>0</v>
      </c>
      <c r="F103" s="203">
        <v>0</v>
      </c>
      <c r="G103" s="202">
        <v>0</v>
      </c>
      <c r="H103" s="14">
        <f t="shared" si="10"/>
        <v>0</v>
      </c>
      <c r="I103" s="1"/>
      <c r="R103" s="4"/>
      <c r="S103" s="1"/>
    </row>
    <row r="104" spans="1:19" x14ac:dyDescent="0.25">
      <c r="A104" s="7" t="s">
        <v>220</v>
      </c>
      <c r="B104" s="202">
        <v>0</v>
      </c>
      <c r="C104" s="202">
        <v>0</v>
      </c>
      <c r="D104" s="202">
        <v>0</v>
      </c>
      <c r="E104" s="202">
        <v>0</v>
      </c>
      <c r="F104" s="203">
        <v>0</v>
      </c>
      <c r="G104" s="202">
        <v>0</v>
      </c>
      <c r="H104" s="14">
        <f t="shared" si="10"/>
        <v>0</v>
      </c>
      <c r="I104" s="1"/>
      <c r="R104" s="4"/>
      <c r="S104" s="1"/>
    </row>
    <row r="105" spans="1:19" x14ac:dyDescent="0.25">
      <c r="A105" s="7" t="s">
        <v>216</v>
      </c>
      <c r="B105" s="202">
        <v>0</v>
      </c>
      <c r="C105" s="202">
        <v>0</v>
      </c>
      <c r="D105" s="202">
        <v>0</v>
      </c>
      <c r="E105" s="202">
        <v>0</v>
      </c>
      <c r="F105" s="203">
        <v>0</v>
      </c>
      <c r="G105" s="202">
        <v>0</v>
      </c>
      <c r="H105" s="14">
        <f t="shared" si="10"/>
        <v>0</v>
      </c>
      <c r="I105" s="1"/>
      <c r="R105" s="4"/>
      <c r="S105" s="1"/>
    </row>
    <row r="106" spans="1:19" x14ac:dyDescent="0.25">
      <c r="A106" s="7" t="s">
        <v>174</v>
      </c>
      <c r="B106" s="202">
        <v>0</v>
      </c>
      <c r="C106" s="202">
        <v>0</v>
      </c>
      <c r="D106" s="202">
        <v>0</v>
      </c>
      <c r="E106" s="202">
        <v>0</v>
      </c>
      <c r="F106" s="203">
        <v>0</v>
      </c>
      <c r="G106" s="202">
        <v>0</v>
      </c>
      <c r="H106" s="14">
        <f t="shared" si="10"/>
        <v>0</v>
      </c>
      <c r="I106" s="1"/>
      <c r="R106" s="4"/>
      <c r="S106" s="1"/>
    </row>
    <row r="107" spans="1:19" x14ac:dyDescent="0.25">
      <c r="A107" s="7" t="s">
        <v>175</v>
      </c>
      <c r="B107" s="202">
        <v>0</v>
      </c>
      <c r="C107" s="202">
        <v>0</v>
      </c>
      <c r="D107" s="202">
        <v>0</v>
      </c>
      <c r="E107" s="202">
        <v>0</v>
      </c>
      <c r="F107" s="203">
        <v>0</v>
      </c>
      <c r="G107" s="202">
        <v>0</v>
      </c>
      <c r="H107" s="14">
        <f t="shared" si="10"/>
        <v>0</v>
      </c>
      <c r="I107" s="1"/>
      <c r="R107" s="4"/>
      <c r="S107" s="1"/>
    </row>
    <row r="108" spans="1:19" x14ac:dyDescent="0.25">
      <c r="A108" s="143" t="s">
        <v>109</v>
      </c>
      <c r="B108" s="143"/>
      <c r="C108" s="143"/>
      <c r="D108" s="143"/>
      <c r="E108" s="143"/>
      <c r="F108" s="143"/>
      <c r="G108" s="143"/>
      <c r="H108" s="143"/>
      <c r="I108" s="1"/>
      <c r="R108" s="4"/>
      <c r="S108" s="1"/>
    </row>
    <row r="109" spans="1:19" x14ac:dyDescent="0.25">
      <c r="A109" s="7" t="s">
        <v>123</v>
      </c>
      <c r="B109" s="205">
        <v>94</v>
      </c>
      <c r="C109" s="205">
        <v>223</v>
      </c>
      <c r="D109" s="205">
        <v>360</v>
      </c>
      <c r="E109" s="205">
        <v>4</v>
      </c>
      <c r="F109" s="205">
        <v>1</v>
      </c>
      <c r="G109" s="205">
        <v>0</v>
      </c>
      <c r="H109" s="28">
        <f t="shared" si="10"/>
        <v>682</v>
      </c>
      <c r="I109" s="1"/>
      <c r="J109" s="133"/>
      <c r="K109" s="133"/>
      <c r="R109" s="4"/>
      <c r="S109" s="1"/>
    </row>
    <row r="110" spans="1:19" x14ac:dyDescent="0.25">
      <c r="A110" s="7" t="s">
        <v>122</v>
      </c>
      <c r="B110" s="205">
        <v>92</v>
      </c>
      <c r="C110" s="205">
        <v>202</v>
      </c>
      <c r="D110" s="204">
        <v>379</v>
      </c>
      <c r="E110" s="205">
        <v>5</v>
      </c>
      <c r="F110" s="205">
        <v>1</v>
      </c>
      <c r="G110" s="205">
        <v>0</v>
      </c>
      <c r="H110" s="14">
        <f t="shared" si="10"/>
        <v>679</v>
      </c>
      <c r="I110" s="1"/>
      <c r="J110" s="133"/>
      <c r="K110" s="133"/>
      <c r="R110" s="4"/>
      <c r="S110" s="1"/>
    </row>
    <row r="111" spans="1:19" x14ac:dyDescent="0.25">
      <c r="A111" s="7" t="s">
        <v>121</v>
      </c>
      <c r="B111" s="205">
        <v>18</v>
      </c>
      <c r="C111" s="205">
        <v>83</v>
      </c>
      <c r="D111" s="205">
        <v>26</v>
      </c>
      <c r="E111" s="205">
        <v>1</v>
      </c>
      <c r="F111" s="205">
        <v>0</v>
      </c>
      <c r="G111" s="205">
        <v>0</v>
      </c>
      <c r="H111" s="14">
        <f t="shared" si="10"/>
        <v>128</v>
      </c>
      <c r="I111" s="1"/>
      <c r="R111" s="4"/>
      <c r="S111" s="1"/>
    </row>
    <row r="112" spans="1:19" x14ac:dyDescent="0.25">
      <c r="A112" s="7" t="s">
        <v>120</v>
      </c>
      <c r="B112" s="205">
        <v>14</v>
      </c>
      <c r="C112" s="205">
        <v>19</v>
      </c>
      <c r="D112" s="205">
        <v>52</v>
      </c>
      <c r="E112" s="205">
        <v>2</v>
      </c>
      <c r="F112" s="205">
        <v>0</v>
      </c>
      <c r="G112" s="205">
        <v>0</v>
      </c>
      <c r="H112" s="14">
        <f t="shared" si="10"/>
        <v>87</v>
      </c>
      <c r="I112" s="1"/>
      <c r="R112" s="4"/>
      <c r="S112" s="1"/>
    </row>
    <row r="113" spans="1:19" x14ac:dyDescent="0.25">
      <c r="A113" s="7" t="s">
        <v>124</v>
      </c>
      <c r="B113" s="205">
        <v>33</v>
      </c>
      <c r="C113" s="205">
        <v>0</v>
      </c>
      <c r="D113" s="205">
        <v>10</v>
      </c>
      <c r="E113" s="205">
        <v>0</v>
      </c>
      <c r="F113" s="205">
        <v>0</v>
      </c>
      <c r="G113" s="205">
        <v>0</v>
      </c>
      <c r="H113" s="14">
        <f t="shared" si="10"/>
        <v>43</v>
      </c>
      <c r="I113" s="1"/>
      <c r="R113" s="4"/>
      <c r="S113" s="1"/>
    </row>
    <row r="114" spans="1:19" x14ac:dyDescent="0.25">
      <c r="A114" s="7" t="s">
        <v>48</v>
      </c>
      <c r="B114" s="205">
        <v>0</v>
      </c>
      <c r="C114" s="205">
        <v>0</v>
      </c>
      <c r="D114" s="205">
        <v>0</v>
      </c>
      <c r="E114" s="205">
        <v>0</v>
      </c>
      <c r="F114" s="205">
        <v>0</v>
      </c>
      <c r="G114" s="205">
        <v>0</v>
      </c>
      <c r="H114" s="14">
        <f>SUM(B114:G114)</f>
        <v>0</v>
      </c>
      <c r="I114" s="1"/>
      <c r="R114" s="4"/>
      <c r="S114" s="1"/>
    </row>
    <row r="115" spans="1:19" x14ac:dyDescent="0.25">
      <c r="A115" s="162" t="s">
        <v>110</v>
      </c>
      <c r="B115" s="163"/>
      <c r="C115" s="163"/>
      <c r="D115" s="163"/>
      <c r="E115" s="163"/>
      <c r="F115" s="163"/>
      <c r="G115" s="163"/>
      <c r="H115" s="142"/>
      <c r="I115" s="1"/>
      <c r="R115" s="4"/>
      <c r="S115" s="1"/>
    </row>
    <row r="116" spans="1:19" x14ac:dyDescent="0.25">
      <c r="A116" s="8" t="s">
        <v>111</v>
      </c>
      <c r="B116" s="206">
        <v>12</v>
      </c>
      <c r="C116" s="206">
        <v>7</v>
      </c>
      <c r="D116" s="206">
        <v>34</v>
      </c>
      <c r="E116" s="206">
        <v>0</v>
      </c>
      <c r="F116" s="206">
        <v>0</v>
      </c>
      <c r="G116" s="206">
        <v>0</v>
      </c>
      <c r="H116" s="26">
        <f t="shared" ref="H116:H155" si="14">SUM(B116:G116)</f>
        <v>53</v>
      </c>
      <c r="I116" s="1"/>
      <c r="R116" s="4"/>
      <c r="S116" s="1"/>
    </row>
    <row r="117" spans="1:19" x14ac:dyDescent="0.25">
      <c r="A117" s="7" t="s">
        <v>158</v>
      </c>
      <c r="B117" s="206">
        <v>10</v>
      </c>
      <c r="C117" s="206">
        <v>0</v>
      </c>
      <c r="D117" s="206">
        <v>22</v>
      </c>
      <c r="E117" s="206">
        <v>0</v>
      </c>
      <c r="F117" s="206">
        <v>0</v>
      </c>
      <c r="G117" s="206">
        <v>0</v>
      </c>
      <c r="H117" s="26">
        <f t="shared" si="14"/>
        <v>32</v>
      </c>
      <c r="I117" s="1"/>
      <c r="R117" s="4"/>
      <c r="S117" s="1"/>
    </row>
    <row r="118" spans="1:19" x14ac:dyDescent="0.25">
      <c r="A118" s="7" t="s">
        <v>156</v>
      </c>
      <c r="B118" s="206">
        <v>72</v>
      </c>
      <c r="C118" s="206">
        <v>3</v>
      </c>
      <c r="D118" s="206">
        <v>317</v>
      </c>
      <c r="E118" s="206">
        <v>2</v>
      </c>
      <c r="F118" s="206">
        <v>0</v>
      </c>
      <c r="G118" s="206">
        <v>0</v>
      </c>
      <c r="H118" s="26">
        <f t="shared" si="14"/>
        <v>394</v>
      </c>
      <c r="I118" s="1"/>
      <c r="R118" s="4"/>
      <c r="S118" s="1"/>
    </row>
    <row r="119" spans="1:19" x14ac:dyDescent="0.25">
      <c r="A119" s="7" t="s">
        <v>187</v>
      </c>
      <c r="B119" s="206">
        <v>0</v>
      </c>
      <c r="C119" s="206">
        <v>0</v>
      </c>
      <c r="D119" s="206">
        <v>0</v>
      </c>
      <c r="E119" s="206">
        <v>0</v>
      </c>
      <c r="F119" s="206">
        <v>0</v>
      </c>
      <c r="G119" s="206">
        <v>0</v>
      </c>
      <c r="H119" s="26">
        <f t="shared" si="14"/>
        <v>0</v>
      </c>
      <c r="I119" s="1"/>
      <c r="R119" s="4"/>
      <c r="S119" s="1"/>
    </row>
    <row r="120" spans="1:19" x14ac:dyDescent="0.25">
      <c r="A120" s="7" t="s">
        <v>157</v>
      </c>
      <c r="B120" s="206">
        <v>77</v>
      </c>
      <c r="C120" s="206">
        <v>0</v>
      </c>
      <c r="D120" s="206">
        <v>125</v>
      </c>
      <c r="E120" s="206">
        <v>2</v>
      </c>
      <c r="F120" s="206">
        <v>0</v>
      </c>
      <c r="G120" s="206">
        <v>0</v>
      </c>
      <c r="H120" s="26">
        <f t="shared" si="14"/>
        <v>204</v>
      </c>
      <c r="I120" s="1"/>
      <c r="R120" s="4"/>
      <c r="S120" s="1"/>
    </row>
    <row r="121" spans="1:19" x14ac:dyDescent="0.25">
      <c r="A121" s="7" t="s">
        <v>125</v>
      </c>
      <c r="B121" s="206">
        <v>59</v>
      </c>
      <c r="C121" s="206">
        <v>8</v>
      </c>
      <c r="D121" s="206">
        <v>49</v>
      </c>
      <c r="E121" s="206">
        <v>0</v>
      </c>
      <c r="F121" s="206">
        <v>0</v>
      </c>
      <c r="G121" s="206">
        <v>0</v>
      </c>
      <c r="H121" s="26">
        <f t="shared" si="14"/>
        <v>116</v>
      </c>
      <c r="I121" s="1"/>
      <c r="R121" s="4"/>
      <c r="S121" s="1"/>
    </row>
    <row r="122" spans="1:19" x14ac:dyDescent="0.25">
      <c r="A122" s="7" t="s">
        <v>126</v>
      </c>
      <c r="B122" s="206">
        <v>0</v>
      </c>
      <c r="C122" s="206">
        <v>0</v>
      </c>
      <c r="D122" s="206">
        <v>0</v>
      </c>
      <c r="E122" s="206">
        <v>0</v>
      </c>
      <c r="F122" s="206">
        <v>0</v>
      </c>
      <c r="G122" s="206">
        <v>0</v>
      </c>
      <c r="H122" s="26">
        <f t="shared" si="14"/>
        <v>0</v>
      </c>
      <c r="I122" s="1"/>
      <c r="R122" s="4"/>
      <c r="S122" s="1"/>
    </row>
    <row r="123" spans="1:19" x14ac:dyDescent="0.25">
      <c r="A123" s="7" t="s">
        <v>103</v>
      </c>
      <c r="B123" s="206">
        <v>14</v>
      </c>
      <c r="C123" s="206">
        <v>4</v>
      </c>
      <c r="D123" s="206">
        <v>64</v>
      </c>
      <c r="E123" s="206">
        <v>3</v>
      </c>
      <c r="F123" s="206">
        <v>2</v>
      </c>
      <c r="G123" s="206">
        <v>0</v>
      </c>
      <c r="H123" s="26">
        <f t="shared" si="14"/>
        <v>87</v>
      </c>
      <c r="I123" s="1"/>
      <c r="R123" s="4"/>
      <c r="S123" s="1"/>
    </row>
    <row r="124" spans="1:19" x14ac:dyDescent="0.25">
      <c r="A124" s="7" t="s">
        <v>127</v>
      </c>
      <c r="B124" s="206">
        <v>12</v>
      </c>
      <c r="C124" s="206">
        <v>2</v>
      </c>
      <c r="D124" s="206">
        <v>10</v>
      </c>
      <c r="E124" s="206">
        <v>1</v>
      </c>
      <c r="F124" s="206">
        <v>0</v>
      </c>
      <c r="G124" s="206">
        <v>0</v>
      </c>
      <c r="H124" s="26">
        <f t="shared" si="14"/>
        <v>25</v>
      </c>
      <c r="I124" s="1"/>
      <c r="R124" s="4"/>
      <c r="S124" s="1"/>
    </row>
    <row r="125" spans="1:19" x14ac:dyDescent="0.25">
      <c r="A125" s="7" t="s">
        <v>128</v>
      </c>
      <c r="B125" s="206">
        <v>39</v>
      </c>
      <c r="C125" s="206">
        <v>2</v>
      </c>
      <c r="D125" s="206">
        <v>37</v>
      </c>
      <c r="E125" s="206">
        <v>1</v>
      </c>
      <c r="F125" s="206">
        <v>0</v>
      </c>
      <c r="G125" s="206">
        <v>0</v>
      </c>
      <c r="H125" s="26">
        <f t="shared" si="14"/>
        <v>79</v>
      </c>
      <c r="I125" s="1"/>
      <c r="R125" s="4"/>
      <c r="S125" s="1"/>
    </row>
    <row r="126" spans="1:19" x14ac:dyDescent="0.25">
      <c r="A126" s="7" t="s">
        <v>129</v>
      </c>
      <c r="B126" s="206">
        <v>43</v>
      </c>
      <c r="C126" s="206">
        <v>2</v>
      </c>
      <c r="D126" s="206">
        <v>33</v>
      </c>
      <c r="E126" s="206">
        <v>0</v>
      </c>
      <c r="F126" s="206">
        <v>0</v>
      </c>
      <c r="G126" s="206">
        <v>0</v>
      </c>
      <c r="H126" s="26">
        <f t="shared" si="14"/>
        <v>78</v>
      </c>
      <c r="I126" s="1"/>
      <c r="R126" s="4"/>
      <c r="S126" s="1"/>
    </row>
    <row r="127" spans="1:19" x14ac:dyDescent="0.25">
      <c r="A127" s="7" t="s">
        <v>44</v>
      </c>
      <c r="B127" s="206">
        <v>25</v>
      </c>
      <c r="C127" s="206">
        <v>5</v>
      </c>
      <c r="D127" s="206">
        <v>95</v>
      </c>
      <c r="E127" s="206">
        <v>4</v>
      </c>
      <c r="F127" s="206">
        <v>4</v>
      </c>
      <c r="G127" s="206">
        <v>0</v>
      </c>
      <c r="H127" s="26">
        <f t="shared" si="14"/>
        <v>133</v>
      </c>
      <c r="I127" s="1"/>
      <c r="R127" s="4"/>
      <c r="S127" s="1"/>
    </row>
    <row r="128" spans="1:19" x14ac:dyDescent="0.25">
      <c r="A128" s="7" t="s">
        <v>92</v>
      </c>
      <c r="B128" s="206">
        <v>7</v>
      </c>
      <c r="C128" s="206">
        <v>0</v>
      </c>
      <c r="D128" s="206">
        <v>40</v>
      </c>
      <c r="E128" s="206">
        <v>0</v>
      </c>
      <c r="F128" s="206">
        <v>1</v>
      </c>
      <c r="G128" s="206">
        <v>0</v>
      </c>
      <c r="H128" s="26">
        <f t="shared" si="14"/>
        <v>48</v>
      </c>
      <c r="I128" s="1"/>
      <c r="R128" s="4"/>
      <c r="S128" s="1"/>
    </row>
    <row r="129" spans="1:19" x14ac:dyDescent="0.25">
      <c r="A129" s="7" t="s">
        <v>45</v>
      </c>
      <c r="B129" s="206">
        <v>38</v>
      </c>
      <c r="C129" s="206">
        <v>16</v>
      </c>
      <c r="D129" s="206">
        <v>14</v>
      </c>
      <c r="E129" s="206">
        <v>0</v>
      </c>
      <c r="F129" s="206">
        <v>0</v>
      </c>
      <c r="G129" s="206">
        <v>0</v>
      </c>
      <c r="H129" s="26">
        <f t="shared" si="14"/>
        <v>68</v>
      </c>
      <c r="I129" s="1"/>
      <c r="R129" s="4"/>
      <c r="S129" s="1"/>
    </row>
    <row r="130" spans="1:19" x14ac:dyDescent="0.25">
      <c r="A130" s="7" t="s">
        <v>99</v>
      </c>
      <c r="B130" s="206">
        <v>102</v>
      </c>
      <c r="C130" s="206">
        <v>56</v>
      </c>
      <c r="D130" s="206">
        <v>6</v>
      </c>
      <c r="E130" s="206">
        <v>1</v>
      </c>
      <c r="F130" s="206">
        <v>0</v>
      </c>
      <c r="G130" s="206">
        <v>0</v>
      </c>
      <c r="H130" s="26">
        <f t="shared" si="14"/>
        <v>165</v>
      </c>
      <c r="I130" s="1"/>
      <c r="R130" s="4"/>
      <c r="S130" s="1"/>
    </row>
    <row r="131" spans="1:19" ht="15.75" customHeight="1" x14ac:dyDescent="0.25">
      <c r="A131" s="7" t="s">
        <v>100</v>
      </c>
      <c r="B131" s="206">
        <v>8</v>
      </c>
      <c r="C131" s="206">
        <v>0</v>
      </c>
      <c r="D131" s="206">
        <v>37</v>
      </c>
      <c r="E131" s="206">
        <v>2</v>
      </c>
      <c r="F131" s="206">
        <v>0</v>
      </c>
      <c r="G131" s="206">
        <v>0</v>
      </c>
      <c r="H131" s="26">
        <f t="shared" si="14"/>
        <v>47</v>
      </c>
      <c r="I131" s="1"/>
      <c r="R131" s="4"/>
      <c r="S131" s="1"/>
    </row>
    <row r="132" spans="1:19" x14ac:dyDescent="0.25">
      <c r="A132" s="7" t="s">
        <v>46</v>
      </c>
      <c r="B132" s="206">
        <v>12</v>
      </c>
      <c r="C132" s="206">
        <v>0</v>
      </c>
      <c r="D132" s="206">
        <v>9</v>
      </c>
      <c r="E132" s="206">
        <v>1</v>
      </c>
      <c r="F132" s="206">
        <v>0</v>
      </c>
      <c r="G132" s="206">
        <v>0</v>
      </c>
      <c r="H132" s="26">
        <f t="shared" si="14"/>
        <v>22</v>
      </c>
      <c r="I132" s="1"/>
      <c r="R132" s="4"/>
      <c r="S132" s="1"/>
    </row>
    <row r="133" spans="1:19" x14ac:dyDescent="0.25">
      <c r="A133" s="7" t="s">
        <v>47</v>
      </c>
      <c r="B133" s="206">
        <v>0</v>
      </c>
      <c r="C133" s="206">
        <v>0</v>
      </c>
      <c r="D133" s="206">
        <v>0</v>
      </c>
      <c r="E133" s="206">
        <v>0</v>
      </c>
      <c r="F133" s="206">
        <v>0</v>
      </c>
      <c r="G133" s="206">
        <v>0</v>
      </c>
      <c r="H133" s="26">
        <f t="shared" si="14"/>
        <v>0</v>
      </c>
      <c r="I133" s="1"/>
      <c r="R133" s="4"/>
      <c r="S133" s="1"/>
    </row>
    <row r="134" spans="1:19" x14ac:dyDescent="0.25">
      <c r="A134" s="7" t="s">
        <v>53</v>
      </c>
      <c r="B134" s="206">
        <v>1</v>
      </c>
      <c r="C134" s="206">
        <v>0</v>
      </c>
      <c r="D134" s="206">
        <v>5</v>
      </c>
      <c r="E134" s="206">
        <v>1</v>
      </c>
      <c r="F134" s="206">
        <v>0</v>
      </c>
      <c r="G134" s="206">
        <v>0</v>
      </c>
      <c r="H134" s="26">
        <f t="shared" si="14"/>
        <v>7</v>
      </c>
      <c r="I134" s="1"/>
      <c r="R134" s="4"/>
      <c r="S134" s="1"/>
    </row>
    <row r="135" spans="1:19" x14ac:dyDescent="0.25">
      <c r="A135" s="7" t="s">
        <v>134</v>
      </c>
      <c r="B135" s="206">
        <v>69</v>
      </c>
      <c r="C135" s="206">
        <v>6</v>
      </c>
      <c r="D135" s="206">
        <v>145</v>
      </c>
      <c r="E135" s="206">
        <v>4</v>
      </c>
      <c r="F135" s="206">
        <v>1</v>
      </c>
      <c r="G135" s="206">
        <v>0</v>
      </c>
      <c r="H135" s="26">
        <f t="shared" si="14"/>
        <v>225</v>
      </c>
      <c r="I135" s="1"/>
      <c r="R135" s="4"/>
      <c r="S135" s="1"/>
    </row>
    <row r="136" spans="1:19" x14ac:dyDescent="0.25">
      <c r="A136" s="7" t="s">
        <v>135</v>
      </c>
      <c r="B136" s="206">
        <v>74</v>
      </c>
      <c r="C136" s="206">
        <v>9</v>
      </c>
      <c r="D136" s="206">
        <v>244</v>
      </c>
      <c r="E136" s="206">
        <v>7</v>
      </c>
      <c r="F136" s="206">
        <v>2</v>
      </c>
      <c r="G136" s="206">
        <v>0</v>
      </c>
      <c r="H136" s="26">
        <f t="shared" si="14"/>
        <v>336</v>
      </c>
      <c r="I136" s="1"/>
      <c r="R136" s="4"/>
      <c r="S136" s="1"/>
    </row>
    <row r="137" spans="1:19" x14ac:dyDescent="0.25">
      <c r="A137" s="7" t="s">
        <v>49</v>
      </c>
      <c r="B137" s="206">
        <v>0</v>
      </c>
      <c r="C137" s="206">
        <v>0</v>
      </c>
      <c r="D137" s="206">
        <v>202</v>
      </c>
      <c r="E137" s="206">
        <v>7</v>
      </c>
      <c r="F137" s="206">
        <v>2</v>
      </c>
      <c r="G137" s="206">
        <v>0</v>
      </c>
      <c r="H137" s="33">
        <f t="shared" si="14"/>
        <v>211</v>
      </c>
      <c r="I137" s="1"/>
      <c r="R137" s="4"/>
      <c r="S137" s="1"/>
    </row>
    <row r="138" spans="1:19" x14ac:dyDescent="0.25">
      <c r="A138" s="7" t="s">
        <v>189</v>
      </c>
      <c r="B138" s="206">
        <v>18</v>
      </c>
      <c r="C138" s="206">
        <v>2</v>
      </c>
      <c r="D138" s="206">
        <v>23</v>
      </c>
      <c r="E138" s="206">
        <v>0</v>
      </c>
      <c r="F138" s="206">
        <v>0</v>
      </c>
      <c r="G138" s="206">
        <v>0</v>
      </c>
      <c r="H138" s="33">
        <f t="shared" si="14"/>
        <v>43</v>
      </c>
      <c r="I138" s="1"/>
      <c r="R138" s="4"/>
      <c r="S138" s="1"/>
    </row>
    <row r="139" spans="1:19" x14ac:dyDescent="0.25">
      <c r="A139" s="7" t="s">
        <v>50</v>
      </c>
      <c r="B139" s="206">
        <v>21</v>
      </c>
      <c r="C139" s="206">
        <v>57</v>
      </c>
      <c r="D139" s="206">
        <v>0</v>
      </c>
      <c r="E139" s="206">
        <v>0</v>
      </c>
      <c r="F139" s="206">
        <v>0</v>
      </c>
      <c r="G139" s="206">
        <v>0</v>
      </c>
      <c r="H139" s="26">
        <f t="shared" si="14"/>
        <v>78</v>
      </c>
      <c r="I139" s="1"/>
      <c r="R139" s="4"/>
      <c r="S139" s="1"/>
    </row>
    <row r="140" spans="1:19" x14ac:dyDescent="0.25">
      <c r="A140" s="7" t="s">
        <v>104</v>
      </c>
      <c r="B140" s="206">
        <v>5</v>
      </c>
      <c r="C140" s="206">
        <v>0</v>
      </c>
      <c r="D140" s="206">
        <v>2</v>
      </c>
      <c r="E140" s="206">
        <v>0</v>
      </c>
      <c r="F140" s="206">
        <v>0</v>
      </c>
      <c r="G140" s="206">
        <v>0</v>
      </c>
      <c r="H140" s="26">
        <f t="shared" si="14"/>
        <v>7</v>
      </c>
      <c r="I140" s="1"/>
      <c r="R140" s="6"/>
      <c r="S140" s="1"/>
    </row>
    <row r="141" spans="1:19" x14ac:dyDescent="0.25">
      <c r="A141" s="7" t="s">
        <v>51</v>
      </c>
      <c r="B141" s="206">
        <v>14</v>
      </c>
      <c r="C141" s="206">
        <v>0</v>
      </c>
      <c r="D141" s="206">
        <v>4</v>
      </c>
      <c r="E141" s="206">
        <v>2</v>
      </c>
      <c r="F141" s="206">
        <v>0</v>
      </c>
      <c r="G141" s="206">
        <v>0</v>
      </c>
      <c r="H141" s="26">
        <f t="shared" si="14"/>
        <v>20</v>
      </c>
    </row>
    <row r="142" spans="1:19" x14ac:dyDescent="0.25">
      <c r="A142" s="7" t="s">
        <v>52</v>
      </c>
      <c r="B142" s="206">
        <v>16</v>
      </c>
      <c r="C142" s="206">
        <v>0</v>
      </c>
      <c r="D142" s="206">
        <v>6</v>
      </c>
      <c r="E142" s="206">
        <v>2</v>
      </c>
      <c r="F142" s="206">
        <v>0</v>
      </c>
      <c r="G142" s="206">
        <v>0</v>
      </c>
      <c r="H142" s="26">
        <f t="shared" si="14"/>
        <v>24</v>
      </c>
    </row>
    <row r="143" spans="1:19" x14ac:dyDescent="0.25">
      <c r="A143" s="7" t="s">
        <v>115</v>
      </c>
      <c r="B143" s="206">
        <v>2</v>
      </c>
      <c r="C143" s="206">
        <v>3</v>
      </c>
      <c r="D143" s="206">
        <v>2</v>
      </c>
      <c r="E143" s="206">
        <v>0</v>
      </c>
      <c r="F143" s="206">
        <v>0</v>
      </c>
      <c r="G143" s="206">
        <v>0</v>
      </c>
      <c r="H143" s="26">
        <f t="shared" si="14"/>
        <v>7</v>
      </c>
    </row>
    <row r="144" spans="1:19" x14ac:dyDescent="0.25">
      <c r="A144" s="7" t="s">
        <v>116</v>
      </c>
      <c r="B144" s="206">
        <v>7</v>
      </c>
      <c r="C144" s="206">
        <v>0</v>
      </c>
      <c r="D144" s="206">
        <v>5</v>
      </c>
      <c r="E144" s="206">
        <v>0</v>
      </c>
      <c r="F144" s="206">
        <v>0</v>
      </c>
      <c r="G144" s="206">
        <v>0</v>
      </c>
      <c r="H144" s="26">
        <f t="shared" si="14"/>
        <v>12</v>
      </c>
    </row>
    <row r="145" spans="1:13" x14ac:dyDescent="0.25">
      <c r="A145" s="7" t="s">
        <v>102</v>
      </c>
      <c r="B145" s="206">
        <v>26</v>
      </c>
      <c r="C145" s="206">
        <v>10</v>
      </c>
      <c r="D145" s="206">
        <v>28</v>
      </c>
      <c r="E145" s="206">
        <v>0</v>
      </c>
      <c r="F145" s="206">
        <v>0</v>
      </c>
      <c r="G145" s="206">
        <v>0</v>
      </c>
      <c r="H145" s="26">
        <f t="shared" si="14"/>
        <v>64</v>
      </c>
    </row>
    <row r="146" spans="1:13" x14ac:dyDescent="0.25">
      <c r="A146" s="7" t="s">
        <v>203</v>
      </c>
      <c r="B146" s="206">
        <v>6</v>
      </c>
      <c r="C146" s="206">
        <v>3</v>
      </c>
      <c r="D146" s="206">
        <v>40</v>
      </c>
      <c r="E146" s="206">
        <v>0</v>
      </c>
      <c r="F146" s="206">
        <v>0</v>
      </c>
      <c r="G146" s="206">
        <v>0</v>
      </c>
      <c r="H146" s="26">
        <f t="shared" si="14"/>
        <v>49</v>
      </c>
    </row>
    <row r="147" spans="1:13" x14ac:dyDescent="0.25">
      <c r="A147" s="7" t="s">
        <v>197</v>
      </c>
      <c r="B147" s="206">
        <v>4</v>
      </c>
      <c r="C147" s="206">
        <v>0</v>
      </c>
      <c r="D147" s="206">
        <v>2</v>
      </c>
      <c r="E147" s="206">
        <v>0</v>
      </c>
      <c r="F147" s="206">
        <v>0</v>
      </c>
      <c r="G147" s="206">
        <v>0</v>
      </c>
      <c r="H147" s="26">
        <f t="shared" si="14"/>
        <v>6</v>
      </c>
    </row>
    <row r="148" spans="1:13" x14ac:dyDescent="0.25">
      <c r="A148" s="7" t="s">
        <v>217</v>
      </c>
      <c r="B148" s="206">
        <v>2</v>
      </c>
      <c r="C148" s="206">
        <v>0</v>
      </c>
      <c r="D148" s="206">
        <v>3</v>
      </c>
      <c r="E148" s="206">
        <v>0</v>
      </c>
      <c r="F148" s="206">
        <v>0</v>
      </c>
      <c r="G148" s="206">
        <v>0</v>
      </c>
      <c r="H148" s="26">
        <f t="shared" si="14"/>
        <v>5</v>
      </c>
    </row>
    <row r="149" spans="1:13" x14ac:dyDescent="0.25">
      <c r="A149" s="7" t="s">
        <v>198</v>
      </c>
      <c r="B149" s="206">
        <v>3</v>
      </c>
      <c r="C149" s="206">
        <v>0</v>
      </c>
      <c r="D149" s="206">
        <v>3</v>
      </c>
      <c r="E149" s="206">
        <v>0</v>
      </c>
      <c r="F149" s="206">
        <v>0</v>
      </c>
      <c r="G149" s="206">
        <v>0</v>
      </c>
      <c r="H149" s="26">
        <f t="shared" si="14"/>
        <v>6</v>
      </c>
    </row>
    <row r="150" spans="1:13" x14ac:dyDescent="0.25">
      <c r="A150" s="7" t="s">
        <v>199</v>
      </c>
      <c r="B150" s="206">
        <v>3</v>
      </c>
      <c r="C150" s="206">
        <v>0</v>
      </c>
      <c r="D150" s="206">
        <v>6</v>
      </c>
      <c r="E150" s="206">
        <v>0</v>
      </c>
      <c r="F150" s="206">
        <v>0</v>
      </c>
      <c r="G150" s="206">
        <v>0</v>
      </c>
      <c r="H150" s="26">
        <f t="shared" si="14"/>
        <v>9</v>
      </c>
    </row>
    <row r="151" spans="1:13" x14ac:dyDescent="0.25">
      <c r="A151" s="7" t="s">
        <v>200</v>
      </c>
      <c r="B151" s="206">
        <v>0</v>
      </c>
      <c r="C151" s="206">
        <v>0</v>
      </c>
      <c r="D151" s="206">
        <v>0</v>
      </c>
      <c r="E151" s="206">
        <v>0</v>
      </c>
      <c r="F151" s="206">
        <v>0</v>
      </c>
      <c r="G151" s="206">
        <v>0</v>
      </c>
      <c r="H151" s="26">
        <f t="shared" si="14"/>
        <v>0</v>
      </c>
    </row>
    <row r="152" spans="1:13" x14ac:dyDescent="0.25">
      <c r="A152" s="7" t="s">
        <v>223</v>
      </c>
      <c r="B152" s="206">
        <v>0</v>
      </c>
      <c r="C152" s="206">
        <v>0</v>
      </c>
      <c r="D152" s="206">
        <v>0</v>
      </c>
      <c r="E152" s="206">
        <v>0</v>
      </c>
      <c r="F152" s="206">
        <v>0</v>
      </c>
      <c r="G152" s="206">
        <v>0</v>
      </c>
      <c r="H152" s="26">
        <f t="shared" si="14"/>
        <v>0</v>
      </c>
    </row>
    <row r="153" spans="1:13" x14ac:dyDescent="0.25">
      <c r="A153" s="7" t="s">
        <v>105</v>
      </c>
      <c r="B153" s="206">
        <v>29</v>
      </c>
      <c r="C153" s="206">
        <v>7</v>
      </c>
      <c r="D153" s="206">
        <v>18</v>
      </c>
      <c r="E153" s="206">
        <v>1</v>
      </c>
      <c r="F153" s="206">
        <v>0</v>
      </c>
      <c r="G153" s="206">
        <v>0</v>
      </c>
      <c r="H153" s="26">
        <f t="shared" si="14"/>
        <v>55</v>
      </c>
    </row>
    <row r="154" spans="1:13" x14ac:dyDescent="0.25">
      <c r="A154" s="7" t="s">
        <v>206</v>
      </c>
      <c r="B154" s="207">
        <v>0</v>
      </c>
      <c r="C154" s="207">
        <v>0</v>
      </c>
      <c r="D154" s="206">
        <v>0</v>
      </c>
      <c r="E154" s="207">
        <v>0</v>
      </c>
      <c r="F154" s="206">
        <v>0</v>
      </c>
      <c r="G154" s="206">
        <v>0</v>
      </c>
      <c r="H154" s="26">
        <f t="shared" si="14"/>
        <v>0</v>
      </c>
    </row>
    <row r="155" spans="1:13" x14ac:dyDescent="0.25">
      <c r="A155" s="107" t="s">
        <v>207</v>
      </c>
      <c r="B155" s="207">
        <v>0</v>
      </c>
      <c r="C155" s="207">
        <v>0</v>
      </c>
      <c r="D155" s="206">
        <v>0</v>
      </c>
      <c r="E155" s="207">
        <v>0</v>
      </c>
      <c r="F155" s="206">
        <v>0</v>
      </c>
      <c r="G155" s="206">
        <v>0</v>
      </c>
      <c r="H155" s="26">
        <f t="shared" si="14"/>
        <v>0</v>
      </c>
    </row>
    <row r="158" spans="1:13" x14ac:dyDescent="0.25">
      <c r="J158" s="133"/>
      <c r="K158" s="133"/>
      <c r="L158" s="133"/>
      <c r="M158" s="133"/>
    </row>
    <row r="159" spans="1:13" x14ac:dyDescent="0.25">
      <c r="J159" s="133"/>
    </row>
    <row r="166" spans="10:17" x14ac:dyDescent="0.25">
      <c r="P166" s="5"/>
      <c r="Q166" s="5"/>
    </row>
    <row r="168" spans="10:17" x14ac:dyDescent="0.25">
      <c r="J168" s="5"/>
      <c r="K168" s="5"/>
      <c r="L168" s="5"/>
      <c r="M168" s="5"/>
      <c r="N168" s="1"/>
      <c r="O168" s="1"/>
    </row>
  </sheetData>
  <mergeCells count="30">
    <mergeCell ref="K109:K110"/>
    <mergeCell ref="J52:Q52"/>
    <mergeCell ref="A3:R3"/>
    <mergeCell ref="B4:J4"/>
    <mergeCell ref="L4:R4"/>
    <mergeCell ref="A9:A10"/>
    <mergeCell ref="B9:H9"/>
    <mergeCell ref="J9:J10"/>
    <mergeCell ref="K9:Q9"/>
    <mergeCell ref="J26:J27"/>
    <mergeCell ref="K26:Q26"/>
    <mergeCell ref="J39:J40"/>
    <mergeCell ref="K39:Q39"/>
    <mergeCell ref="J50:M50"/>
    <mergeCell ref="A115:H115"/>
    <mergeCell ref="J158:J159"/>
    <mergeCell ref="K158:M158"/>
    <mergeCell ref="A108:H108"/>
    <mergeCell ref="J53:P53"/>
    <mergeCell ref="J54:P54"/>
    <mergeCell ref="J55:P55"/>
    <mergeCell ref="J56:P56"/>
    <mergeCell ref="J57:P57"/>
    <mergeCell ref="J58:P58"/>
    <mergeCell ref="J59:P59"/>
    <mergeCell ref="J60:P60"/>
    <mergeCell ref="J61:P61"/>
    <mergeCell ref="J62:P62"/>
    <mergeCell ref="K86:M86"/>
    <mergeCell ref="J109:J110"/>
  </mergeCells>
  <pageMargins left="1" right="1" top="1" bottom="1" header="0.5" footer="0.5"/>
  <pageSetup paperSize="9" scale="50" fitToHeight="0" orientation="landscape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6A270-730C-402A-B814-F3747D14724A}">
  <sheetPr>
    <pageSetUpPr fitToPage="1"/>
  </sheetPr>
  <dimension ref="A3:S169"/>
  <sheetViews>
    <sheetView zoomScale="80" zoomScaleNormal="80" workbookViewId="0">
      <selection activeCell="J68" sqref="J68"/>
    </sheetView>
  </sheetViews>
  <sheetFormatPr baseColWidth="10" defaultRowHeight="15" x14ac:dyDescent="0.25"/>
  <cols>
    <col min="1" max="1" width="49.85546875" customWidth="1"/>
    <col min="2" max="6" width="9.85546875" customWidth="1"/>
    <col min="7" max="7" width="13.5703125" customWidth="1"/>
    <col min="8" max="8" width="9.28515625" customWidth="1"/>
    <col min="9" max="9" width="9.42578125" customWidth="1"/>
    <col min="10" max="10" width="43.7109375" customWidth="1"/>
    <col min="11" max="15" width="9.28515625" customWidth="1"/>
    <col min="16" max="16" width="10.42578125" customWidth="1"/>
    <col min="17" max="17" width="10" customWidth="1"/>
    <col min="18" max="18" width="2.85546875" customWidth="1"/>
  </cols>
  <sheetData>
    <row r="3" spans="1:19" ht="26.25" x14ac:dyDescent="0.25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"/>
    </row>
    <row r="4" spans="1:19" ht="15.75" x14ac:dyDescent="0.25">
      <c r="A4" s="1" t="s">
        <v>12</v>
      </c>
      <c r="B4" s="155" t="s">
        <v>16</v>
      </c>
      <c r="C4" s="156"/>
      <c r="D4" s="156"/>
      <c r="E4" s="156"/>
      <c r="F4" s="156"/>
      <c r="G4" s="156"/>
      <c r="H4" s="156"/>
      <c r="I4" s="156"/>
      <c r="J4" s="157"/>
      <c r="K4" s="9" t="s">
        <v>14</v>
      </c>
      <c r="L4" s="147" t="s">
        <v>205</v>
      </c>
      <c r="M4" s="148"/>
      <c r="N4" s="148"/>
      <c r="O4" s="148"/>
      <c r="P4" s="148"/>
      <c r="Q4" s="148"/>
      <c r="R4" s="149"/>
      <c r="S4" s="1"/>
    </row>
    <row r="5" spans="1:19" x14ac:dyDescent="0.25">
      <c r="A5" s="1"/>
      <c r="B5" s="1"/>
      <c r="C5" s="1"/>
      <c r="D5" s="10"/>
      <c r="E5" s="1"/>
      <c r="F5" s="1"/>
      <c r="G5" s="1"/>
      <c r="H5" s="1"/>
      <c r="I5" s="1"/>
      <c r="J5" s="1"/>
      <c r="K5" s="9"/>
      <c r="L5" s="10"/>
      <c r="M5" s="10"/>
      <c r="N5" s="10"/>
      <c r="O5" s="10"/>
      <c r="P5" s="10"/>
      <c r="Q5" s="10"/>
      <c r="R5" s="10"/>
      <c r="S5" s="1"/>
    </row>
    <row r="6" spans="1:19" x14ac:dyDescent="0.25">
      <c r="A6" s="1" t="s">
        <v>204</v>
      </c>
      <c r="B6" s="30">
        <v>3</v>
      </c>
      <c r="C6" s="1"/>
      <c r="D6" s="10"/>
      <c r="E6" s="1"/>
      <c r="F6" s="1"/>
      <c r="G6" s="1"/>
      <c r="H6" s="1"/>
      <c r="I6" s="1"/>
      <c r="J6" s="1"/>
      <c r="K6" s="9" t="s">
        <v>13</v>
      </c>
      <c r="L6" s="30">
        <v>2025</v>
      </c>
      <c r="M6" s="1"/>
      <c r="N6" s="1"/>
      <c r="O6" s="1"/>
      <c r="P6" s="1"/>
      <c r="Q6" s="1"/>
      <c r="R6" s="1"/>
      <c r="S6" s="1"/>
    </row>
    <row r="7" spans="1:19" x14ac:dyDescent="0.25">
      <c r="A7" s="1"/>
      <c r="B7" s="1"/>
      <c r="C7" s="1"/>
      <c r="D7" s="10"/>
      <c r="E7" s="1"/>
      <c r="F7" s="1"/>
      <c r="G7" s="1"/>
      <c r="H7" s="1"/>
      <c r="I7" s="1"/>
      <c r="J7" s="1"/>
      <c r="K7" s="1"/>
      <c r="L7" s="44"/>
      <c r="M7" s="1"/>
      <c r="N7" s="1"/>
      <c r="O7" s="1"/>
      <c r="P7" s="1"/>
      <c r="Q7" s="1"/>
      <c r="R7" s="1"/>
      <c r="S7" s="1"/>
    </row>
    <row r="8" spans="1:19" ht="15.75" thickBot="1" x14ac:dyDescent="0.3">
      <c r="A8" s="2"/>
      <c r="B8" s="2"/>
      <c r="C8" s="2"/>
      <c r="D8" s="20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3"/>
      <c r="S8" s="1"/>
    </row>
    <row r="9" spans="1:19" x14ac:dyDescent="0.25">
      <c r="A9" s="150" t="s">
        <v>148</v>
      </c>
      <c r="B9" s="152" t="s">
        <v>11</v>
      </c>
      <c r="C9" s="152"/>
      <c r="D9" s="152"/>
      <c r="E9" s="152"/>
      <c r="F9" s="152"/>
      <c r="G9" s="152"/>
      <c r="H9" s="152"/>
      <c r="I9" s="1"/>
      <c r="J9" s="153" t="s">
        <v>149</v>
      </c>
      <c r="K9" s="136" t="s">
        <v>11</v>
      </c>
      <c r="L9" s="136"/>
      <c r="M9" s="136"/>
      <c r="N9" s="136"/>
      <c r="O9" s="136"/>
      <c r="P9" s="136"/>
      <c r="Q9" s="137"/>
      <c r="R9" s="4"/>
      <c r="S9" s="1"/>
    </row>
    <row r="10" spans="1:19" x14ac:dyDescent="0.25">
      <c r="A10" s="151"/>
      <c r="B10" s="30" t="s">
        <v>8</v>
      </c>
      <c r="C10" s="30" t="s">
        <v>9</v>
      </c>
      <c r="D10" s="30" t="s">
        <v>10</v>
      </c>
      <c r="E10" s="30" t="s">
        <v>154</v>
      </c>
      <c r="F10" s="30" t="s">
        <v>155</v>
      </c>
      <c r="G10" s="30" t="s">
        <v>147</v>
      </c>
      <c r="H10" s="30" t="s">
        <v>11</v>
      </c>
      <c r="I10" s="1"/>
      <c r="J10" s="154"/>
      <c r="K10" s="30" t="s">
        <v>8</v>
      </c>
      <c r="L10" s="30" t="s">
        <v>9</v>
      </c>
      <c r="M10" s="30" t="s">
        <v>10</v>
      </c>
      <c r="N10" s="30" t="s">
        <v>154</v>
      </c>
      <c r="O10" s="30" t="s">
        <v>155</v>
      </c>
      <c r="P10" s="30" t="s">
        <v>147</v>
      </c>
      <c r="Q10" s="54" t="s">
        <v>11</v>
      </c>
      <c r="R10" s="4"/>
      <c r="S10" s="1"/>
    </row>
    <row r="11" spans="1:19" x14ac:dyDescent="0.25">
      <c r="A11" s="15" t="s">
        <v>0</v>
      </c>
      <c r="B11" s="16">
        <f t="shared" ref="B11:G11" si="0">B12+B51+B69+B82+B95</f>
        <v>10855</v>
      </c>
      <c r="C11" s="16">
        <f t="shared" si="0"/>
        <v>15931</v>
      </c>
      <c r="D11" s="16">
        <f t="shared" si="0"/>
        <v>9794</v>
      </c>
      <c r="E11" s="16">
        <f t="shared" si="0"/>
        <v>427</v>
      </c>
      <c r="F11" s="16">
        <f t="shared" si="0"/>
        <v>222</v>
      </c>
      <c r="G11" s="16">
        <f t="shared" si="0"/>
        <v>8</v>
      </c>
      <c r="H11" s="12">
        <f>SUM(B11:G11)</f>
        <v>37237</v>
      </c>
      <c r="I11" s="1"/>
      <c r="J11" s="79" t="s">
        <v>85</v>
      </c>
      <c r="K11" s="74">
        <f t="shared" ref="K11:P11" si="1">SUM(K12:K23)</f>
        <v>970</v>
      </c>
      <c r="L11" s="74">
        <f t="shared" si="1"/>
        <v>0</v>
      </c>
      <c r="M11" s="74">
        <f t="shared" si="1"/>
        <v>1282</v>
      </c>
      <c r="N11" s="74">
        <f t="shared" si="1"/>
        <v>3</v>
      </c>
      <c r="O11" s="74">
        <f t="shared" si="1"/>
        <v>5</v>
      </c>
      <c r="P11" s="74">
        <f t="shared" si="1"/>
        <v>0</v>
      </c>
      <c r="Q11" s="80">
        <f t="shared" ref="Q11:Q23" si="2">SUM(K11:P11)</f>
        <v>2260</v>
      </c>
      <c r="R11" s="4"/>
      <c r="S11" s="1"/>
    </row>
    <row r="12" spans="1:19" x14ac:dyDescent="0.25">
      <c r="A12" s="73" t="s">
        <v>1</v>
      </c>
      <c r="B12" s="74">
        <f t="shared" ref="B12:G12" si="3">SUM(B13:B50)</f>
        <v>7356</v>
      </c>
      <c r="C12" s="74">
        <f t="shared" si="3"/>
        <v>9572</v>
      </c>
      <c r="D12" s="74">
        <f t="shared" si="3"/>
        <v>6206</v>
      </c>
      <c r="E12" s="74">
        <f t="shared" si="3"/>
        <v>298</v>
      </c>
      <c r="F12" s="74">
        <f t="shared" si="3"/>
        <v>142</v>
      </c>
      <c r="G12" s="74">
        <f t="shared" si="3"/>
        <v>4</v>
      </c>
      <c r="H12" s="74">
        <f>SUM(B12:G12)</f>
        <v>23578</v>
      </c>
      <c r="I12" s="1"/>
      <c r="J12" s="55" t="s">
        <v>4</v>
      </c>
      <c r="K12" s="68">
        <v>0</v>
      </c>
      <c r="L12" s="68">
        <v>0</v>
      </c>
      <c r="M12" s="68">
        <v>53</v>
      </c>
      <c r="N12" s="68">
        <v>1</v>
      </c>
      <c r="O12" s="68">
        <v>0</v>
      </c>
      <c r="P12" s="68">
        <v>0</v>
      </c>
      <c r="Q12" s="40">
        <f t="shared" si="2"/>
        <v>54</v>
      </c>
      <c r="R12" s="4"/>
      <c r="S12" s="1"/>
    </row>
    <row r="13" spans="1:19" x14ac:dyDescent="0.25">
      <c r="A13" s="8" t="s">
        <v>17</v>
      </c>
      <c r="B13" s="17">
        <v>24</v>
      </c>
      <c r="C13" s="11">
        <v>1</v>
      </c>
      <c r="D13" s="11">
        <v>66</v>
      </c>
      <c r="E13" s="11">
        <v>1</v>
      </c>
      <c r="F13" s="11">
        <v>2</v>
      </c>
      <c r="G13" s="11">
        <v>0</v>
      </c>
      <c r="H13" s="12">
        <f>SUM(B13:G13)</f>
        <v>94</v>
      </c>
      <c r="I13" s="1"/>
      <c r="J13" s="55" t="s">
        <v>81</v>
      </c>
      <c r="K13" s="68">
        <v>0</v>
      </c>
      <c r="L13" s="68">
        <v>0</v>
      </c>
      <c r="M13" s="68">
        <v>10</v>
      </c>
      <c r="N13" s="68">
        <v>0</v>
      </c>
      <c r="O13" s="68">
        <v>0</v>
      </c>
      <c r="P13" s="68">
        <v>0</v>
      </c>
      <c r="Q13" s="40">
        <f t="shared" si="2"/>
        <v>10</v>
      </c>
      <c r="R13" s="4"/>
      <c r="S13" s="1"/>
    </row>
    <row r="14" spans="1:19" x14ac:dyDescent="0.25">
      <c r="A14" s="7" t="s">
        <v>18</v>
      </c>
      <c r="B14" s="17">
        <v>38</v>
      </c>
      <c r="C14" s="11">
        <v>5</v>
      </c>
      <c r="D14" s="11">
        <v>64</v>
      </c>
      <c r="E14" s="11">
        <v>0</v>
      </c>
      <c r="F14" s="11">
        <v>0</v>
      </c>
      <c r="G14" s="11">
        <v>0</v>
      </c>
      <c r="H14" s="12">
        <f t="shared" ref="H14:H48" si="4">SUM(B14:G14)</f>
        <v>107</v>
      </c>
      <c r="I14" s="1"/>
      <c r="J14" s="56" t="s">
        <v>5</v>
      </c>
      <c r="K14" s="68">
        <v>3</v>
      </c>
      <c r="L14" s="68">
        <v>0</v>
      </c>
      <c r="M14" s="68">
        <v>69</v>
      </c>
      <c r="N14" s="68">
        <v>2</v>
      </c>
      <c r="O14" s="68">
        <v>5</v>
      </c>
      <c r="P14" s="68">
        <v>0</v>
      </c>
      <c r="Q14" s="40">
        <f>SUM(K14:P14)</f>
        <v>79</v>
      </c>
      <c r="R14" s="4"/>
      <c r="S14" s="1"/>
    </row>
    <row r="15" spans="1:19" x14ac:dyDescent="0.25">
      <c r="A15" s="7" t="s">
        <v>19</v>
      </c>
      <c r="B15" s="17">
        <v>41</v>
      </c>
      <c r="C15" s="11">
        <v>102</v>
      </c>
      <c r="D15" s="13">
        <v>10</v>
      </c>
      <c r="E15" s="13">
        <v>1</v>
      </c>
      <c r="F15" s="13">
        <v>0</v>
      </c>
      <c r="G15" s="13">
        <v>0</v>
      </c>
      <c r="H15" s="12">
        <f>SUM(B15:G15)</f>
        <v>154</v>
      </c>
      <c r="I15" s="1"/>
      <c r="J15" s="56" t="s">
        <v>80</v>
      </c>
      <c r="K15" s="68">
        <v>59</v>
      </c>
      <c r="L15" s="68">
        <v>0</v>
      </c>
      <c r="M15" s="68">
        <v>34</v>
      </c>
      <c r="N15" s="68">
        <v>0</v>
      </c>
      <c r="O15" s="68">
        <v>0</v>
      </c>
      <c r="P15" s="68">
        <v>0</v>
      </c>
      <c r="Q15" s="40">
        <f t="shared" si="2"/>
        <v>93</v>
      </c>
      <c r="R15" s="4"/>
      <c r="S15" s="1"/>
    </row>
    <row r="16" spans="1:19" x14ac:dyDescent="0.25">
      <c r="A16" s="7" t="s">
        <v>27</v>
      </c>
      <c r="B16" s="10">
        <v>738</v>
      </c>
      <c r="C16" s="11">
        <v>1559</v>
      </c>
      <c r="D16" s="11">
        <v>745</v>
      </c>
      <c r="E16" s="11">
        <v>62</v>
      </c>
      <c r="F16" s="11">
        <v>16</v>
      </c>
      <c r="G16" s="11">
        <v>1</v>
      </c>
      <c r="H16" s="12">
        <f t="shared" si="4"/>
        <v>3121</v>
      </c>
      <c r="I16" s="1"/>
      <c r="J16" s="57" t="s">
        <v>83</v>
      </c>
      <c r="K16" s="69">
        <v>8</v>
      </c>
      <c r="L16" s="69">
        <v>0</v>
      </c>
      <c r="M16" s="69">
        <v>0</v>
      </c>
      <c r="N16" s="69">
        <v>0</v>
      </c>
      <c r="O16" s="69">
        <v>0</v>
      </c>
      <c r="P16" s="69">
        <v>0</v>
      </c>
      <c r="Q16" s="40">
        <f t="shared" si="2"/>
        <v>8</v>
      </c>
      <c r="R16" s="4"/>
      <c r="S16" s="1"/>
    </row>
    <row r="17" spans="1:19" x14ac:dyDescent="0.25">
      <c r="A17" s="7" t="s">
        <v>186</v>
      </c>
      <c r="B17" s="10">
        <v>0</v>
      </c>
      <c r="C17" s="11">
        <v>0</v>
      </c>
      <c r="D17" s="11">
        <v>6</v>
      </c>
      <c r="E17" s="11">
        <v>0</v>
      </c>
      <c r="F17" s="11">
        <v>1</v>
      </c>
      <c r="G17" s="11">
        <v>0</v>
      </c>
      <c r="H17" s="12">
        <f t="shared" si="4"/>
        <v>7</v>
      </c>
      <c r="I17" s="1"/>
      <c r="J17" s="50" t="s">
        <v>162</v>
      </c>
      <c r="K17" s="69">
        <v>300</v>
      </c>
      <c r="L17" s="69">
        <v>0</v>
      </c>
      <c r="M17" s="69">
        <v>362</v>
      </c>
      <c r="N17" s="69">
        <v>0</v>
      </c>
      <c r="O17" s="69">
        <v>0</v>
      </c>
      <c r="P17" s="69">
        <v>0</v>
      </c>
      <c r="Q17" s="40">
        <f t="shared" si="2"/>
        <v>662</v>
      </c>
      <c r="R17" s="4"/>
      <c r="S17" s="1"/>
    </row>
    <row r="18" spans="1:19" x14ac:dyDescent="0.25">
      <c r="A18" s="7" t="s">
        <v>188</v>
      </c>
      <c r="B18" s="10">
        <v>29</v>
      </c>
      <c r="C18" s="11">
        <v>0</v>
      </c>
      <c r="D18" s="11">
        <v>15</v>
      </c>
      <c r="E18" s="11">
        <v>0</v>
      </c>
      <c r="F18" s="11">
        <v>0</v>
      </c>
      <c r="G18" s="11">
        <v>0</v>
      </c>
      <c r="H18" s="12">
        <f t="shared" si="4"/>
        <v>44</v>
      </c>
      <c r="I18" s="1"/>
      <c r="J18" s="50" t="s">
        <v>163</v>
      </c>
      <c r="K18" s="69">
        <v>300</v>
      </c>
      <c r="L18" s="69">
        <v>0</v>
      </c>
      <c r="M18" s="69">
        <v>365</v>
      </c>
      <c r="N18" s="69">
        <v>0</v>
      </c>
      <c r="O18" s="69">
        <v>0</v>
      </c>
      <c r="P18" s="69">
        <v>0</v>
      </c>
      <c r="Q18" s="40">
        <f t="shared" si="2"/>
        <v>665</v>
      </c>
      <c r="R18" s="4"/>
      <c r="S18" s="1"/>
    </row>
    <row r="19" spans="1:19" x14ac:dyDescent="0.25">
      <c r="A19" s="7" t="s">
        <v>28</v>
      </c>
      <c r="B19" s="17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2">
        <f t="shared" si="4"/>
        <v>0</v>
      </c>
      <c r="I19" s="1"/>
      <c r="J19" s="50" t="s">
        <v>164</v>
      </c>
      <c r="K19" s="69">
        <v>300</v>
      </c>
      <c r="L19" s="69">
        <v>0</v>
      </c>
      <c r="M19" s="69">
        <v>365</v>
      </c>
      <c r="N19" s="69">
        <v>0</v>
      </c>
      <c r="O19" s="69">
        <v>0</v>
      </c>
      <c r="P19" s="69">
        <v>0</v>
      </c>
      <c r="Q19" s="40">
        <f t="shared" si="2"/>
        <v>665</v>
      </c>
      <c r="R19" s="4"/>
      <c r="S19" s="1"/>
    </row>
    <row r="20" spans="1:19" x14ac:dyDescent="0.25">
      <c r="A20" s="7" t="s">
        <v>29</v>
      </c>
      <c r="B20" s="10">
        <v>7</v>
      </c>
      <c r="C20" s="11">
        <v>0</v>
      </c>
      <c r="D20" s="11">
        <v>30</v>
      </c>
      <c r="E20" s="11">
        <v>1</v>
      </c>
      <c r="F20" s="11">
        <v>0</v>
      </c>
      <c r="G20" s="11">
        <v>0</v>
      </c>
      <c r="H20" s="12">
        <f t="shared" si="4"/>
        <v>38</v>
      </c>
      <c r="I20" s="1"/>
      <c r="J20" s="50" t="s">
        <v>194</v>
      </c>
      <c r="K20" s="69">
        <v>0</v>
      </c>
      <c r="L20" s="69">
        <v>0</v>
      </c>
      <c r="M20" s="69">
        <v>4</v>
      </c>
      <c r="N20" s="69">
        <v>0</v>
      </c>
      <c r="O20" s="69">
        <v>0</v>
      </c>
      <c r="P20" s="69">
        <v>0</v>
      </c>
      <c r="Q20" s="40">
        <f t="shared" si="2"/>
        <v>4</v>
      </c>
      <c r="R20" s="4"/>
      <c r="S20" s="1"/>
    </row>
    <row r="21" spans="1:19" x14ac:dyDescent="0.25">
      <c r="A21" s="7" t="s">
        <v>20</v>
      </c>
      <c r="B21" s="17">
        <v>851</v>
      </c>
      <c r="C21" s="11">
        <v>1635</v>
      </c>
      <c r="D21" s="11">
        <v>784</v>
      </c>
      <c r="E21" s="11">
        <v>58</v>
      </c>
      <c r="F21" s="11">
        <v>20</v>
      </c>
      <c r="G21" s="11">
        <v>1</v>
      </c>
      <c r="H21" s="12">
        <f t="shared" si="4"/>
        <v>3349</v>
      </c>
      <c r="I21" s="1"/>
      <c r="J21" s="50" t="s">
        <v>221</v>
      </c>
      <c r="K21" s="69">
        <v>0</v>
      </c>
      <c r="L21" s="69">
        <v>0</v>
      </c>
      <c r="M21" s="69">
        <v>20</v>
      </c>
      <c r="N21" s="69">
        <v>0</v>
      </c>
      <c r="O21" s="69">
        <v>0</v>
      </c>
      <c r="P21" s="69">
        <v>0</v>
      </c>
      <c r="Q21" s="40">
        <f t="shared" si="2"/>
        <v>20</v>
      </c>
      <c r="R21" s="4"/>
      <c r="S21" s="1"/>
    </row>
    <row r="22" spans="1:19" x14ac:dyDescent="0.25">
      <c r="A22" s="7" t="s">
        <v>25</v>
      </c>
      <c r="B22" s="17">
        <v>0</v>
      </c>
      <c r="C22" s="11">
        <v>0</v>
      </c>
      <c r="D22" s="11">
        <v>2</v>
      </c>
      <c r="E22" s="11">
        <v>0</v>
      </c>
      <c r="F22" s="11">
        <v>0</v>
      </c>
      <c r="G22" s="11">
        <v>0</v>
      </c>
      <c r="H22" s="12">
        <f t="shared" si="4"/>
        <v>2</v>
      </c>
      <c r="I22" s="1"/>
      <c r="J22" s="58" t="s">
        <v>6</v>
      </c>
      <c r="K22" s="68">
        <v>0</v>
      </c>
      <c r="L22" s="68">
        <v>0</v>
      </c>
      <c r="M22" s="68">
        <v>0</v>
      </c>
      <c r="N22" s="68">
        <v>0</v>
      </c>
      <c r="O22" s="68">
        <v>0</v>
      </c>
      <c r="P22" s="68">
        <v>0</v>
      </c>
      <c r="Q22" s="40">
        <f t="shared" si="2"/>
        <v>0</v>
      </c>
      <c r="R22" s="4"/>
      <c r="S22" s="1"/>
    </row>
    <row r="23" spans="1:19" ht="15.75" thickBot="1" x14ac:dyDescent="0.3">
      <c r="A23" s="7" t="s">
        <v>218</v>
      </c>
      <c r="B23" s="17">
        <v>1</v>
      </c>
      <c r="C23" s="11">
        <v>1</v>
      </c>
      <c r="D23" s="11">
        <v>2</v>
      </c>
      <c r="E23" s="11">
        <v>0</v>
      </c>
      <c r="F23" s="11">
        <v>0</v>
      </c>
      <c r="G23" s="11">
        <v>0</v>
      </c>
      <c r="H23" s="12">
        <f t="shared" si="4"/>
        <v>4</v>
      </c>
      <c r="I23" s="1"/>
      <c r="J23" s="59" t="s">
        <v>7</v>
      </c>
      <c r="K23" s="94">
        <v>0</v>
      </c>
      <c r="L23" s="94">
        <v>0</v>
      </c>
      <c r="M23" s="94">
        <v>0</v>
      </c>
      <c r="N23" s="94">
        <v>0</v>
      </c>
      <c r="O23" s="94">
        <v>0</v>
      </c>
      <c r="P23" s="94">
        <v>0</v>
      </c>
      <c r="Q23" s="46">
        <f t="shared" si="2"/>
        <v>0</v>
      </c>
      <c r="R23" s="4"/>
      <c r="S23" s="1"/>
    </row>
    <row r="24" spans="1:19" x14ac:dyDescent="0.25">
      <c r="A24" s="7" t="s">
        <v>21</v>
      </c>
      <c r="B24" s="17">
        <v>325</v>
      </c>
      <c r="C24" s="11">
        <v>413</v>
      </c>
      <c r="D24" s="11">
        <v>748</v>
      </c>
      <c r="E24" s="11">
        <v>20</v>
      </c>
      <c r="F24" s="11">
        <v>5</v>
      </c>
      <c r="G24" s="11">
        <v>1</v>
      </c>
      <c r="H24" s="12">
        <f>SUM(B24:G24)</f>
        <v>1512</v>
      </c>
      <c r="I24" s="1"/>
      <c r="J24" s="1"/>
      <c r="K24" s="1"/>
      <c r="L24" s="1"/>
      <c r="M24" s="1"/>
      <c r="N24" s="1"/>
      <c r="O24" s="1"/>
      <c r="P24" s="1"/>
      <c r="Q24" s="1"/>
      <c r="R24" s="4"/>
      <c r="S24" s="1"/>
    </row>
    <row r="25" spans="1:19" ht="15.75" thickBot="1" x14ac:dyDescent="0.3">
      <c r="A25" s="7" t="s">
        <v>24</v>
      </c>
      <c r="B25" s="17">
        <v>21</v>
      </c>
      <c r="C25" s="11">
        <v>2</v>
      </c>
      <c r="D25" s="11">
        <v>30</v>
      </c>
      <c r="E25" s="11">
        <v>0</v>
      </c>
      <c r="F25" s="11">
        <v>0</v>
      </c>
      <c r="G25" s="11">
        <v>0</v>
      </c>
      <c r="H25" s="12">
        <f t="shared" si="4"/>
        <v>53</v>
      </c>
      <c r="I25" s="1"/>
      <c r="J25" s="1"/>
      <c r="K25" s="1"/>
      <c r="L25" s="1"/>
      <c r="M25" s="1"/>
      <c r="N25" s="1"/>
      <c r="O25" s="1"/>
      <c r="P25" s="1"/>
      <c r="Q25" s="1"/>
      <c r="R25" s="4"/>
      <c r="S25" s="1"/>
    </row>
    <row r="26" spans="1:19" x14ac:dyDescent="0.25">
      <c r="A26" s="7" t="s">
        <v>79</v>
      </c>
      <c r="B26" s="17">
        <v>650</v>
      </c>
      <c r="C26" s="11">
        <v>618</v>
      </c>
      <c r="D26" s="11">
        <v>356</v>
      </c>
      <c r="E26" s="11">
        <v>9</v>
      </c>
      <c r="F26" s="11">
        <v>8</v>
      </c>
      <c r="G26" s="11">
        <v>0</v>
      </c>
      <c r="H26" s="12">
        <f t="shared" si="4"/>
        <v>1641</v>
      </c>
      <c r="I26" s="1"/>
      <c r="J26" s="134" t="s">
        <v>169</v>
      </c>
      <c r="K26" s="136" t="s">
        <v>11</v>
      </c>
      <c r="L26" s="136"/>
      <c r="M26" s="136"/>
      <c r="N26" s="136"/>
      <c r="O26" s="136"/>
      <c r="P26" s="136"/>
      <c r="Q26" s="137"/>
      <c r="R26" s="4"/>
      <c r="S26" s="1"/>
    </row>
    <row r="27" spans="1:19" x14ac:dyDescent="0.25">
      <c r="A27" s="7" t="s">
        <v>75</v>
      </c>
      <c r="B27" s="17">
        <v>650</v>
      </c>
      <c r="C27" s="11">
        <v>618</v>
      </c>
      <c r="D27" s="11">
        <v>356</v>
      </c>
      <c r="E27" s="11">
        <v>11</v>
      </c>
      <c r="F27" s="11">
        <v>8</v>
      </c>
      <c r="G27" s="11">
        <v>0</v>
      </c>
      <c r="H27" s="12">
        <f t="shared" si="4"/>
        <v>1643</v>
      </c>
      <c r="I27" s="1"/>
      <c r="J27" s="135"/>
      <c r="K27" s="30" t="s">
        <v>8</v>
      </c>
      <c r="L27" s="30" t="s">
        <v>9</v>
      </c>
      <c r="M27" s="30" t="s">
        <v>176</v>
      </c>
      <c r="N27" s="30" t="s">
        <v>154</v>
      </c>
      <c r="O27" s="30" t="s">
        <v>155</v>
      </c>
      <c r="P27" s="60" t="s">
        <v>147</v>
      </c>
      <c r="Q27" s="54" t="s">
        <v>11</v>
      </c>
      <c r="R27" s="4"/>
      <c r="S27" s="1"/>
    </row>
    <row r="28" spans="1:19" x14ac:dyDescent="0.25">
      <c r="A28" s="7" t="s">
        <v>76</v>
      </c>
      <c r="B28" s="17">
        <v>570</v>
      </c>
      <c r="C28" s="11">
        <v>632</v>
      </c>
      <c r="D28" s="11">
        <v>409</v>
      </c>
      <c r="E28" s="11">
        <v>12</v>
      </c>
      <c r="F28" s="11">
        <v>8</v>
      </c>
      <c r="G28" s="11">
        <v>0</v>
      </c>
      <c r="H28" s="12">
        <f t="shared" si="4"/>
        <v>1631</v>
      </c>
      <c r="I28" s="1"/>
      <c r="J28" s="79" t="s">
        <v>146</v>
      </c>
      <c r="K28" s="74">
        <f t="shared" ref="K28:P28" si="5">SUM(K29:K37)</f>
        <v>47</v>
      </c>
      <c r="L28" s="74">
        <f t="shared" si="5"/>
        <v>222</v>
      </c>
      <c r="M28" s="74">
        <f t="shared" si="5"/>
        <v>151</v>
      </c>
      <c r="N28" s="74">
        <f t="shared" si="5"/>
        <v>0</v>
      </c>
      <c r="O28" s="74">
        <f t="shared" si="5"/>
        <v>0</v>
      </c>
      <c r="P28" s="74">
        <f t="shared" si="5"/>
        <v>0</v>
      </c>
      <c r="Q28" s="80">
        <f>SUM(K28:P28)</f>
        <v>420</v>
      </c>
      <c r="R28" s="4"/>
      <c r="S28" s="1"/>
    </row>
    <row r="29" spans="1:19" x14ac:dyDescent="0.25">
      <c r="A29" s="7" t="s">
        <v>74</v>
      </c>
      <c r="B29" s="17">
        <v>577</v>
      </c>
      <c r="C29" s="11">
        <v>632</v>
      </c>
      <c r="D29" s="11">
        <v>405</v>
      </c>
      <c r="E29" s="11">
        <v>7</v>
      </c>
      <c r="F29" s="11">
        <v>8</v>
      </c>
      <c r="G29" s="11">
        <v>0</v>
      </c>
      <c r="H29" s="12">
        <f t="shared" si="4"/>
        <v>1629</v>
      </c>
      <c r="I29" s="1"/>
      <c r="J29" s="45" t="s">
        <v>64</v>
      </c>
      <c r="K29" s="68">
        <v>15</v>
      </c>
      <c r="L29" s="68">
        <v>0</v>
      </c>
      <c r="M29" s="68">
        <v>74</v>
      </c>
      <c r="N29" s="68">
        <v>0</v>
      </c>
      <c r="O29" s="68">
        <v>0</v>
      </c>
      <c r="P29" s="69">
        <v>0</v>
      </c>
      <c r="Q29" s="40">
        <f>SUM(K29:P29)</f>
        <v>89</v>
      </c>
      <c r="R29" s="4"/>
      <c r="S29" s="1"/>
    </row>
    <row r="30" spans="1:19" x14ac:dyDescent="0.25">
      <c r="A30" s="7" t="s">
        <v>22</v>
      </c>
      <c r="B30" s="17">
        <v>560</v>
      </c>
      <c r="C30" s="11">
        <v>661</v>
      </c>
      <c r="D30" s="11">
        <v>506</v>
      </c>
      <c r="E30" s="11">
        <v>23</v>
      </c>
      <c r="F30" s="11">
        <v>13</v>
      </c>
      <c r="G30" s="11">
        <v>0</v>
      </c>
      <c r="H30" s="12">
        <f t="shared" si="4"/>
        <v>1763</v>
      </c>
      <c r="I30" s="1"/>
      <c r="J30" s="45" t="s">
        <v>170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9">
        <v>0</v>
      </c>
      <c r="Q30" s="40">
        <f>SUM(K30:P30)</f>
        <v>0</v>
      </c>
      <c r="R30" s="4"/>
      <c r="S30" s="1"/>
    </row>
    <row r="31" spans="1:19" x14ac:dyDescent="0.25">
      <c r="A31" s="7" t="s">
        <v>23</v>
      </c>
      <c r="B31" s="17">
        <v>560</v>
      </c>
      <c r="C31" s="11">
        <v>661</v>
      </c>
      <c r="D31" s="11">
        <v>506</v>
      </c>
      <c r="E31" s="11">
        <v>23</v>
      </c>
      <c r="F31" s="11">
        <v>13</v>
      </c>
      <c r="G31" s="11">
        <v>0</v>
      </c>
      <c r="H31" s="12">
        <f t="shared" si="4"/>
        <v>1763</v>
      </c>
      <c r="I31" s="1"/>
      <c r="J31" s="45" t="s">
        <v>171</v>
      </c>
      <c r="K31" s="68">
        <v>0</v>
      </c>
      <c r="L31" s="68">
        <v>0</v>
      </c>
      <c r="M31" s="68">
        <v>12</v>
      </c>
      <c r="N31" s="68">
        <v>0</v>
      </c>
      <c r="O31" s="68">
        <v>0</v>
      </c>
      <c r="P31" s="69">
        <v>0</v>
      </c>
      <c r="Q31" s="40">
        <f>SUM(K31:P31)</f>
        <v>12</v>
      </c>
      <c r="R31" s="4"/>
      <c r="S31" s="1"/>
    </row>
    <row r="32" spans="1:19" ht="14.25" customHeight="1" x14ac:dyDescent="0.25">
      <c r="A32" s="7" t="s">
        <v>202</v>
      </c>
      <c r="B32" s="17">
        <v>82</v>
      </c>
      <c r="C32" s="11">
        <v>0</v>
      </c>
      <c r="D32" s="11">
        <v>1</v>
      </c>
      <c r="E32" s="11">
        <v>0</v>
      </c>
      <c r="F32" s="11">
        <v>0</v>
      </c>
      <c r="G32" s="11">
        <v>0</v>
      </c>
      <c r="H32" s="12">
        <f t="shared" si="4"/>
        <v>83</v>
      </c>
      <c r="I32" s="1"/>
      <c r="J32" s="49" t="s">
        <v>65</v>
      </c>
      <c r="K32" s="68">
        <v>32</v>
      </c>
      <c r="L32" s="68">
        <v>185</v>
      </c>
      <c r="M32" s="68">
        <v>4</v>
      </c>
      <c r="N32" s="68">
        <v>0</v>
      </c>
      <c r="O32" s="68">
        <v>0</v>
      </c>
      <c r="P32" s="69">
        <v>0</v>
      </c>
      <c r="Q32" s="40">
        <f t="shared" ref="Q32:Q37" si="6">SUM(K32:P32)</f>
        <v>221</v>
      </c>
      <c r="R32" s="4"/>
      <c r="S32" s="1"/>
    </row>
    <row r="33" spans="1:19" ht="15.75" customHeight="1" x14ac:dyDescent="0.25">
      <c r="A33" s="7" t="s">
        <v>159</v>
      </c>
      <c r="B33" s="17">
        <v>153</v>
      </c>
      <c r="C33" s="11">
        <v>130</v>
      </c>
      <c r="D33" s="11">
        <v>59</v>
      </c>
      <c r="E33" s="11">
        <v>0</v>
      </c>
      <c r="F33" s="11">
        <v>0</v>
      </c>
      <c r="G33" s="11">
        <v>0</v>
      </c>
      <c r="H33" s="12">
        <f t="shared" si="4"/>
        <v>342</v>
      </c>
      <c r="I33" s="1"/>
      <c r="J33" s="50" t="s">
        <v>130</v>
      </c>
      <c r="K33" s="70">
        <v>0</v>
      </c>
      <c r="L33" s="70">
        <v>0</v>
      </c>
      <c r="M33" s="70">
        <v>40</v>
      </c>
      <c r="N33" s="70">
        <v>0</v>
      </c>
      <c r="O33" s="70">
        <v>0</v>
      </c>
      <c r="P33" s="69">
        <v>0</v>
      </c>
      <c r="Q33" s="40">
        <f t="shared" si="6"/>
        <v>40</v>
      </c>
      <c r="R33" s="4"/>
      <c r="S33" s="1"/>
    </row>
    <row r="34" spans="1:19" x14ac:dyDescent="0.25">
      <c r="A34" s="7" t="s">
        <v>26</v>
      </c>
      <c r="B34" s="17">
        <v>0</v>
      </c>
      <c r="C34" s="11">
        <v>73</v>
      </c>
      <c r="D34" s="11">
        <v>0</v>
      </c>
      <c r="E34" s="11">
        <v>0</v>
      </c>
      <c r="F34" s="11">
        <v>0</v>
      </c>
      <c r="G34" s="11">
        <v>1</v>
      </c>
      <c r="H34" s="12">
        <f t="shared" si="4"/>
        <v>74</v>
      </c>
      <c r="I34" s="1"/>
      <c r="J34" s="67" t="s">
        <v>131</v>
      </c>
      <c r="K34" s="65">
        <v>0</v>
      </c>
      <c r="L34" s="65">
        <v>0</v>
      </c>
      <c r="M34" s="65">
        <v>17</v>
      </c>
      <c r="N34" s="65">
        <v>0</v>
      </c>
      <c r="O34" s="65">
        <v>0</v>
      </c>
      <c r="P34" s="31">
        <v>0</v>
      </c>
      <c r="Q34" s="40">
        <f t="shared" si="6"/>
        <v>17</v>
      </c>
      <c r="R34" s="4"/>
      <c r="S34" s="1"/>
    </row>
    <row r="35" spans="1:19" x14ac:dyDescent="0.25">
      <c r="A35" s="7" t="s">
        <v>82</v>
      </c>
      <c r="B35" s="17">
        <v>466</v>
      </c>
      <c r="C35" s="11">
        <v>487</v>
      </c>
      <c r="D35" s="11">
        <v>320</v>
      </c>
      <c r="E35" s="11">
        <v>17</v>
      </c>
      <c r="F35" s="11">
        <v>8</v>
      </c>
      <c r="G35" s="11">
        <v>0</v>
      </c>
      <c r="H35" s="12">
        <f t="shared" si="4"/>
        <v>1298</v>
      </c>
      <c r="I35" s="1"/>
      <c r="J35" s="67" t="s">
        <v>160</v>
      </c>
      <c r="K35" s="65">
        <v>0</v>
      </c>
      <c r="L35" s="65">
        <v>16</v>
      </c>
      <c r="M35" s="65">
        <v>0</v>
      </c>
      <c r="N35" s="65">
        <v>0</v>
      </c>
      <c r="O35" s="65">
        <v>0</v>
      </c>
      <c r="P35" s="31">
        <v>0</v>
      </c>
      <c r="Q35" s="40">
        <f t="shared" si="6"/>
        <v>16</v>
      </c>
      <c r="R35" s="4"/>
      <c r="S35" s="1"/>
    </row>
    <row r="36" spans="1:19" x14ac:dyDescent="0.25">
      <c r="A36" s="7" t="s">
        <v>30</v>
      </c>
      <c r="B36" s="17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2">
        <f t="shared" si="4"/>
        <v>0</v>
      </c>
      <c r="I36" s="1"/>
      <c r="J36" s="67" t="s">
        <v>211</v>
      </c>
      <c r="K36" s="65">
        <v>0</v>
      </c>
      <c r="L36" s="65">
        <v>21</v>
      </c>
      <c r="M36" s="65">
        <v>4</v>
      </c>
      <c r="N36" s="65">
        <v>0</v>
      </c>
      <c r="O36" s="65">
        <v>0</v>
      </c>
      <c r="P36" s="31">
        <v>0</v>
      </c>
      <c r="Q36" s="40">
        <f t="shared" si="6"/>
        <v>25</v>
      </c>
      <c r="R36" s="4"/>
      <c r="S36" s="1"/>
    </row>
    <row r="37" spans="1:19" ht="15.75" thickBot="1" x14ac:dyDescent="0.3">
      <c r="A37" s="7" t="s">
        <v>31</v>
      </c>
      <c r="B37" s="17">
        <v>14</v>
      </c>
      <c r="C37" s="11">
        <v>15</v>
      </c>
      <c r="D37" s="11">
        <v>0</v>
      </c>
      <c r="E37" s="11">
        <v>1</v>
      </c>
      <c r="F37" s="11">
        <v>0</v>
      </c>
      <c r="G37" s="11">
        <v>0</v>
      </c>
      <c r="H37" s="12">
        <f t="shared" si="4"/>
        <v>30</v>
      </c>
      <c r="I37" s="1"/>
      <c r="J37" s="51" t="s">
        <v>161</v>
      </c>
      <c r="K37" s="71">
        <v>0</v>
      </c>
      <c r="L37" s="71">
        <v>0</v>
      </c>
      <c r="M37" s="71">
        <v>0</v>
      </c>
      <c r="N37" s="71">
        <v>0</v>
      </c>
      <c r="O37" s="71">
        <v>0</v>
      </c>
      <c r="P37" s="72">
        <v>0</v>
      </c>
      <c r="Q37" s="46">
        <f t="shared" si="6"/>
        <v>0</v>
      </c>
      <c r="R37" s="4"/>
      <c r="S37" s="1"/>
    </row>
    <row r="38" spans="1:19" ht="15.75" thickBot="1" x14ac:dyDescent="0.3">
      <c r="A38" s="7" t="s">
        <v>66</v>
      </c>
      <c r="B38" s="17">
        <v>112</v>
      </c>
      <c r="C38" s="11">
        <v>54</v>
      </c>
      <c r="D38" s="11">
        <v>256</v>
      </c>
      <c r="E38" s="11">
        <v>14</v>
      </c>
      <c r="F38" s="11">
        <v>8</v>
      </c>
      <c r="G38" s="11">
        <v>0</v>
      </c>
      <c r="H38" s="12">
        <f t="shared" si="4"/>
        <v>444</v>
      </c>
      <c r="I38" s="1"/>
      <c r="J38" s="34"/>
      <c r="K38" s="34"/>
      <c r="L38" s="34"/>
      <c r="M38" s="34"/>
      <c r="N38" s="34"/>
      <c r="O38" s="34"/>
      <c r="P38" s="34"/>
      <c r="R38" s="4"/>
      <c r="S38" s="1"/>
    </row>
    <row r="39" spans="1:19" x14ac:dyDescent="0.25">
      <c r="A39" s="7" t="s">
        <v>67</v>
      </c>
      <c r="B39" s="17">
        <v>111</v>
      </c>
      <c r="C39" s="11">
        <v>55</v>
      </c>
      <c r="D39" s="11">
        <v>255</v>
      </c>
      <c r="E39" s="11">
        <v>13</v>
      </c>
      <c r="F39" s="11">
        <v>8</v>
      </c>
      <c r="G39" s="11">
        <v>0</v>
      </c>
      <c r="H39" s="12">
        <f t="shared" si="4"/>
        <v>442</v>
      </c>
      <c r="I39" s="1"/>
      <c r="J39" s="134" t="s">
        <v>136</v>
      </c>
      <c r="K39" s="136" t="s">
        <v>11</v>
      </c>
      <c r="L39" s="136"/>
      <c r="M39" s="136"/>
      <c r="N39" s="136"/>
      <c r="O39" s="136"/>
      <c r="P39" s="136"/>
      <c r="Q39" s="137"/>
      <c r="R39" s="4"/>
      <c r="S39" s="1"/>
    </row>
    <row r="40" spans="1:19" x14ac:dyDescent="0.25">
      <c r="A40" s="7" t="s">
        <v>77</v>
      </c>
      <c r="B40" s="17">
        <v>0</v>
      </c>
      <c r="C40" s="11">
        <v>0</v>
      </c>
      <c r="D40" s="11">
        <v>0</v>
      </c>
      <c r="E40" s="11">
        <v>0</v>
      </c>
      <c r="F40" s="11">
        <v>7</v>
      </c>
      <c r="G40" s="11">
        <v>0</v>
      </c>
      <c r="H40" s="12">
        <f t="shared" si="4"/>
        <v>7</v>
      </c>
      <c r="I40" s="1"/>
      <c r="J40" s="135"/>
      <c r="K40" s="30" t="s">
        <v>8</v>
      </c>
      <c r="L40" s="30" t="s">
        <v>9</v>
      </c>
      <c r="M40" s="30" t="s">
        <v>10</v>
      </c>
      <c r="N40" s="30" t="s">
        <v>154</v>
      </c>
      <c r="O40" s="30" t="s">
        <v>155</v>
      </c>
      <c r="P40" s="30" t="s">
        <v>147</v>
      </c>
      <c r="Q40" s="54" t="s">
        <v>11</v>
      </c>
      <c r="R40" s="4"/>
      <c r="S40" s="1"/>
    </row>
    <row r="41" spans="1:19" ht="15" customHeight="1" thickBot="1" x14ac:dyDescent="0.3">
      <c r="A41" s="7" t="s">
        <v>78</v>
      </c>
      <c r="B41" s="17">
        <v>75</v>
      </c>
      <c r="C41" s="11">
        <v>48</v>
      </c>
      <c r="D41" s="11">
        <v>191</v>
      </c>
      <c r="E41" s="11">
        <v>5</v>
      </c>
      <c r="F41" s="11">
        <v>7</v>
      </c>
      <c r="G41" s="11">
        <v>0</v>
      </c>
      <c r="H41" s="12">
        <f t="shared" si="4"/>
        <v>326</v>
      </c>
      <c r="I41" s="1"/>
      <c r="J41" s="95" t="s">
        <v>150</v>
      </c>
      <c r="K41" s="29">
        <f t="shared" ref="K41:P41" si="7">SUM(K42:K49)</f>
        <v>769</v>
      </c>
      <c r="L41" s="29">
        <f t="shared" si="7"/>
        <v>261</v>
      </c>
      <c r="M41" s="29">
        <f t="shared" si="7"/>
        <v>0</v>
      </c>
      <c r="N41" s="29">
        <f t="shared" si="7"/>
        <v>3</v>
      </c>
      <c r="O41" s="29">
        <f t="shared" si="7"/>
        <v>0</v>
      </c>
      <c r="P41" s="29">
        <f t="shared" si="7"/>
        <v>0</v>
      </c>
      <c r="Q41" s="96">
        <f>SUM(K41:P41)</f>
        <v>1033</v>
      </c>
      <c r="R41" s="4"/>
      <c r="S41" s="1"/>
    </row>
    <row r="42" spans="1:19" x14ac:dyDescent="0.25">
      <c r="A42" s="7" t="s">
        <v>42</v>
      </c>
      <c r="B42" s="17">
        <v>2</v>
      </c>
      <c r="C42" s="11">
        <v>1</v>
      </c>
      <c r="D42" s="11">
        <v>3</v>
      </c>
      <c r="E42" s="11">
        <v>1</v>
      </c>
      <c r="F42" s="11">
        <v>0</v>
      </c>
      <c r="G42" s="11">
        <v>0</v>
      </c>
      <c r="H42" s="12">
        <f t="shared" si="4"/>
        <v>7</v>
      </c>
      <c r="I42" s="1"/>
      <c r="J42" s="97" t="s">
        <v>165</v>
      </c>
      <c r="K42" s="98">
        <v>0</v>
      </c>
      <c r="L42" s="98">
        <v>0</v>
      </c>
      <c r="M42" s="98">
        <v>0</v>
      </c>
      <c r="N42" s="98">
        <v>0</v>
      </c>
      <c r="O42" s="98">
        <v>0</v>
      </c>
      <c r="P42" s="98">
        <v>0</v>
      </c>
      <c r="Q42" s="99">
        <f t="shared" ref="Q42:Q49" si="8">SUM(K42:P42)</f>
        <v>0</v>
      </c>
      <c r="R42" s="4"/>
      <c r="S42" s="1"/>
    </row>
    <row r="43" spans="1:19" x14ac:dyDescent="0.25">
      <c r="A43" s="7" t="s">
        <v>43</v>
      </c>
      <c r="B43" s="17">
        <v>0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2">
        <f t="shared" si="4"/>
        <v>0</v>
      </c>
      <c r="I43" s="1"/>
      <c r="J43" s="86" t="s">
        <v>166</v>
      </c>
      <c r="K43" s="89">
        <v>186</v>
      </c>
      <c r="L43" s="89">
        <v>76</v>
      </c>
      <c r="M43" s="89">
        <v>0</v>
      </c>
      <c r="N43" s="89">
        <v>1</v>
      </c>
      <c r="O43" s="89">
        <v>0</v>
      </c>
      <c r="P43" s="89">
        <v>0</v>
      </c>
      <c r="Q43" s="40">
        <f t="shared" si="8"/>
        <v>263</v>
      </c>
      <c r="R43" s="4"/>
      <c r="S43" s="1"/>
    </row>
    <row r="44" spans="1:19" x14ac:dyDescent="0.25">
      <c r="A44" s="7" t="s">
        <v>101</v>
      </c>
      <c r="B44" s="17">
        <v>16</v>
      </c>
      <c r="C44" s="11">
        <v>0</v>
      </c>
      <c r="D44" s="11">
        <v>6</v>
      </c>
      <c r="E44" s="11">
        <v>0</v>
      </c>
      <c r="F44" s="11">
        <v>0</v>
      </c>
      <c r="G44" s="11">
        <v>0</v>
      </c>
      <c r="H44" s="12">
        <f t="shared" si="4"/>
        <v>22</v>
      </c>
      <c r="I44" s="1"/>
      <c r="J44" s="86" t="s">
        <v>167</v>
      </c>
      <c r="K44" s="89">
        <v>42</v>
      </c>
      <c r="L44" s="89">
        <v>1</v>
      </c>
      <c r="M44" s="89">
        <v>0</v>
      </c>
      <c r="N44" s="89">
        <v>0</v>
      </c>
      <c r="O44" s="89">
        <v>0</v>
      </c>
      <c r="P44" s="89">
        <v>0</v>
      </c>
      <c r="Q44" s="40">
        <f t="shared" si="8"/>
        <v>43</v>
      </c>
      <c r="R44" s="4"/>
      <c r="S44" s="1"/>
    </row>
    <row r="45" spans="1:19" x14ac:dyDescent="0.25">
      <c r="A45" s="7" t="s">
        <v>95</v>
      </c>
      <c r="B45" s="37">
        <v>0</v>
      </c>
      <c r="C45" s="11">
        <v>56</v>
      </c>
      <c r="D45" s="11">
        <v>0</v>
      </c>
      <c r="E45" s="11">
        <v>0</v>
      </c>
      <c r="F45" s="11">
        <v>0</v>
      </c>
      <c r="G45" s="11">
        <v>0</v>
      </c>
      <c r="H45" s="12">
        <f t="shared" si="4"/>
        <v>56</v>
      </c>
      <c r="I45" s="1"/>
      <c r="J45" s="86" t="s">
        <v>168</v>
      </c>
      <c r="K45" s="89">
        <v>32</v>
      </c>
      <c r="L45" s="89">
        <v>0</v>
      </c>
      <c r="M45" s="89">
        <v>0</v>
      </c>
      <c r="N45" s="89">
        <v>0</v>
      </c>
      <c r="O45" s="89">
        <v>0</v>
      </c>
      <c r="P45" s="89">
        <v>0</v>
      </c>
      <c r="Q45" s="40">
        <f>SUM(K45:P45)</f>
        <v>32</v>
      </c>
      <c r="R45" s="4"/>
      <c r="S45" s="1"/>
    </row>
    <row r="46" spans="1:19" x14ac:dyDescent="0.25">
      <c r="A46" s="7" t="s">
        <v>96</v>
      </c>
      <c r="B46" s="37">
        <v>15</v>
      </c>
      <c r="C46" s="11">
        <v>0</v>
      </c>
      <c r="D46" s="11">
        <v>4</v>
      </c>
      <c r="E46" s="11">
        <v>0</v>
      </c>
      <c r="F46" s="11">
        <v>0</v>
      </c>
      <c r="G46" s="11">
        <v>0</v>
      </c>
      <c r="H46" s="12">
        <f t="shared" si="4"/>
        <v>19</v>
      </c>
      <c r="J46" s="86" t="s">
        <v>34</v>
      </c>
      <c r="K46" s="89">
        <v>13</v>
      </c>
      <c r="L46" s="89">
        <v>9</v>
      </c>
      <c r="M46" s="89">
        <v>0</v>
      </c>
      <c r="N46" s="89">
        <v>0</v>
      </c>
      <c r="O46" s="89">
        <v>0</v>
      </c>
      <c r="P46" s="89">
        <v>0</v>
      </c>
      <c r="Q46" s="40">
        <f t="shared" si="8"/>
        <v>22</v>
      </c>
      <c r="R46" s="4"/>
      <c r="S46" s="1"/>
    </row>
    <row r="47" spans="1:19" x14ac:dyDescent="0.25">
      <c r="A47" s="7" t="s">
        <v>97</v>
      </c>
      <c r="B47" s="37">
        <v>22</v>
      </c>
      <c r="C47" s="11">
        <v>1</v>
      </c>
      <c r="D47" s="11">
        <v>16</v>
      </c>
      <c r="E47" s="11">
        <v>0</v>
      </c>
      <c r="F47" s="11">
        <v>0</v>
      </c>
      <c r="G47" s="11">
        <v>0</v>
      </c>
      <c r="H47" s="12">
        <f t="shared" si="4"/>
        <v>39</v>
      </c>
      <c r="I47" s="1"/>
      <c r="J47" s="86" t="s">
        <v>179</v>
      </c>
      <c r="K47" s="89">
        <v>174</v>
      </c>
      <c r="L47" s="89">
        <v>85</v>
      </c>
      <c r="M47" s="89">
        <v>0</v>
      </c>
      <c r="N47" s="89">
        <v>1</v>
      </c>
      <c r="O47" s="89">
        <v>0</v>
      </c>
      <c r="P47" s="89">
        <v>0</v>
      </c>
      <c r="Q47" s="40">
        <f t="shared" si="8"/>
        <v>260</v>
      </c>
      <c r="R47" s="4"/>
      <c r="S47" s="1"/>
    </row>
    <row r="48" spans="1:19" x14ac:dyDescent="0.25">
      <c r="A48" s="36" t="s">
        <v>98</v>
      </c>
      <c r="B48" s="37">
        <v>22</v>
      </c>
      <c r="C48" s="11">
        <v>1</v>
      </c>
      <c r="D48" s="11">
        <v>16</v>
      </c>
      <c r="E48" s="11">
        <v>0</v>
      </c>
      <c r="F48" s="11">
        <v>0</v>
      </c>
      <c r="G48" s="11">
        <v>0</v>
      </c>
      <c r="H48" s="12">
        <f t="shared" si="4"/>
        <v>39</v>
      </c>
      <c r="I48" s="1"/>
      <c r="J48" s="86" t="s">
        <v>177</v>
      </c>
      <c r="K48" s="89">
        <v>76</v>
      </c>
      <c r="L48" s="89">
        <v>84</v>
      </c>
      <c r="M48" s="89">
        <v>0</v>
      </c>
      <c r="N48" s="89">
        <v>1</v>
      </c>
      <c r="O48" s="89">
        <v>0</v>
      </c>
      <c r="P48" s="89">
        <v>0</v>
      </c>
      <c r="Q48" s="40">
        <f t="shared" si="8"/>
        <v>161</v>
      </c>
      <c r="R48" s="4"/>
      <c r="S48" s="1"/>
    </row>
    <row r="49" spans="1:19" ht="15.75" thickBot="1" x14ac:dyDescent="0.3">
      <c r="A49" s="7" t="s">
        <v>86</v>
      </c>
      <c r="B49" s="17">
        <v>0</v>
      </c>
      <c r="C49" s="11">
        <v>351</v>
      </c>
      <c r="D49" s="11">
        <v>0</v>
      </c>
      <c r="E49" s="11">
        <v>0</v>
      </c>
      <c r="F49" s="11">
        <v>0</v>
      </c>
      <c r="G49" s="11">
        <v>0</v>
      </c>
      <c r="H49" s="14">
        <f>SUM(B49:G49)</f>
        <v>351</v>
      </c>
      <c r="I49" s="1"/>
      <c r="J49" s="87" t="s">
        <v>178</v>
      </c>
      <c r="K49" s="71">
        <v>246</v>
      </c>
      <c r="L49" s="71">
        <v>6</v>
      </c>
      <c r="M49" s="71">
        <v>0</v>
      </c>
      <c r="N49" s="71">
        <v>0</v>
      </c>
      <c r="O49" s="71">
        <v>0</v>
      </c>
      <c r="P49" s="71">
        <v>0</v>
      </c>
      <c r="Q49" s="46">
        <f t="shared" si="8"/>
        <v>252</v>
      </c>
      <c r="R49" s="4"/>
      <c r="S49" s="1"/>
    </row>
    <row r="50" spans="1:19" x14ac:dyDescent="0.25">
      <c r="A50" s="18" t="s">
        <v>87</v>
      </c>
      <c r="B50" s="38">
        <v>624</v>
      </c>
      <c r="C50" s="19">
        <v>760</v>
      </c>
      <c r="D50" s="19">
        <v>39</v>
      </c>
      <c r="E50" s="19">
        <v>19</v>
      </c>
      <c r="F50" s="21">
        <v>2</v>
      </c>
      <c r="G50" s="19">
        <v>0</v>
      </c>
      <c r="H50" s="14">
        <f>SUM(B50:G50)</f>
        <v>1444</v>
      </c>
      <c r="I50" s="1"/>
      <c r="J50" s="158"/>
      <c r="K50" s="158"/>
      <c r="L50" s="158"/>
      <c r="M50" s="158"/>
      <c r="N50" s="34"/>
      <c r="O50" s="34"/>
      <c r="P50" s="34"/>
      <c r="Q50" s="35"/>
      <c r="R50" s="4"/>
      <c r="S50" s="1"/>
    </row>
    <row r="51" spans="1:19" ht="15.75" thickBot="1" x14ac:dyDescent="0.3">
      <c r="A51" s="73" t="s">
        <v>139</v>
      </c>
      <c r="B51" s="75">
        <f t="shared" ref="B51:G51" si="9">SUM(B52:B68)</f>
        <v>2171</v>
      </c>
      <c r="C51" s="75">
        <f t="shared" si="9"/>
        <v>5200</v>
      </c>
      <c r="D51" s="77">
        <f t="shared" si="9"/>
        <v>2005</v>
      </c>
      <c r="E51" s="75">
        <f t="shared" si="9"/>
        <v>80</v>
      </c>
      <c r="F51" s="75">
        <f t="shared" si="9"/>
        <v>52</v>
      </c>
      <c r="G51" s="78">
        <f t="shared" si="9"/>
        <v>4</v>
      </c>
      <c r="H51" s="75">
        <f>SUM(B51:G51)</f>
        <v>9512</v>
      </c>
      <c r="I51" s="1"/>
      <c r="Q51" s="24"/>
      <c r="R51" s="4"/>
      <c r="S51" s="1"/>
    </row>
    <row r="52" spans="1:19" x14ac:dyDescent="0.25">
      <c r="A52" s="7" t="s">
        <v>90</v>
      </c>
      <c r="B52" s="13">
        <v>327</v>
      </c>
      <c r="C52" s="13">
        <v>123</v>
      </c>
      <c r="D52" s="25">
        <v>22</v>
      </c>
      <c r="E52" s="65">
        <v>0</v>
      </c>
      <c r="F52" s="65">
        <v>2</v>
      </c>
      <c r="G52" s="65">
        <v>0</v>
      </c>
      <c r="H52" s="26">
        <f t="shared" ref="H52:H113" si="10">SUM(B52:G52)</f>
        <v>474</v>
      </c>
      <c r="I52" s="1"/>
      <c r="J52" s="159" t="s">
        <v>152</v>
      </c>
      <c r="K52" s="160"/>
      <c r="L52" s="160"/>
      <c r="M52" s="160"/>
      <c r="N52" s="160"/>
      <c r="O52" s="160"/>
      <c r="P52" s="160"/>
      <c r="Q52" s="161"/>
      <c r="R52" s="4"/>
      <c r="S52" s="1"/>
    </row>
    <row r="53" spans="1:19" x14ac:dyDescent="0.25">
      <c r="A53" s="7" t="s">
        <v>91</v>
      </c>
      <c r="B53" s="13">
        <v>0</v>
      </c>
      <c r="C53" s="13">
        <v>0</v>
      </c>
      <c r="D53" s="25">
        <v>2</v>
      </c>
      <c r="E53" s="66">
        <v>0</v>
      </c>
      <c r="F53" s="66">
        <v>4</v>
      </c>
      <c r="G53" s="66">
        <v>0</v>
      </c>
      <c r="H53" s="26">
        <f t="shared" si="10"/>
        <v>6</v>
      </c>
      <c r="I53" s="1"/>
      <c r="J53" s="138" t="s">
        <v>72</v>
      </c>
      <c r="K53" s="139"/>
      <c r="L53" s="139"/>
      <c r="M53" s="139"/>
      <c r="N53" s="139"/>
      <c r="O53" s="139"/>
      <c r="P53" s="139"/>
      <c r="Q53" s="62" t="s">
        <v>11</v>
      </c>
      <c r="R53" s="4"/>
      <c r="S53" s="1"/>
    </row>
    <row r="54" spans="1:19" x14ac:dyDescent="0.25">
      <c r="A54" s="7" t="s">
        <v>32</v>
      </c>
      <c r="B54" s="13">
        <v>687</v>
      </c>
      <c r="C54" s="13">
        <v>2280</v>
      </c>
      <c r="D54" s="25">
        <v>881</v>
      </c>
      <c r="E54" s="66">
        <v>22</v>
      </c>
      <c r="F54" s="66">
        <v>18</v>
      </c>
      <c r="G54" s="66">
        <v>2</v>
      </c>
      <c r="H54" s="26">
        <f t="shared" si="10"/>
        <v>3890</v>
      </c>
      <c r="I54" s="1"/>
      <c r="J54" s="138" t="s">
        <v>71</v>
      </c>
      <c r="K54" s="139"/>
      <c r="L54" s="139"/>
      <c r="M54" s="139"/>
      <c r="N54" s="139"/>
      <c r="O54" s="139"/>
      <c r="P54" s="139"/>
      <c r="Q54" s="47">
        <v>4</v>
      </c>
      <c r="R54" s="4"/>
      <c r="S54" s="1"/>
    </row>
    <row r="55" spans="1:19" x14ac:dyDescent="0.25">
      <c r="A55" s="7" t="s">
        <v>34</v>
      </c>
      <c r="B55" s="11">
        <v>2</v>
      </c>
      <c r="C55" s="13">
        <v>5</v>
      </c>
      <c r="D55" s="23">
        <v>1</v>
      </c>
      <c r="E55" s="66">
        <v>0</v>
      </c>
      <c r="F55" s="66">
        <v>0</v>
      </c>
      <c r="G55" s="66">
        <v>0</v>
      </c>
      <c r="H55" s="26">
        <f t="shared" si="10"/>
        <v>8</v>
      </c>
      <c r="I55" s="1"/>
      <c r="J55" s="138" t="s">
        <v>137</v>
      </c>
      <c r="K55" s="139"/>
      <c r="L55" s="139"/>
      <c r="M55" s="139"/>
      <c r="N55" s="139"/>
      <c r="O55" s="139"/>
      <c r="P55" s="139"/>
      <c r="Q55" s="47">
        <f>(H12)</f>
        <v>23578</v>
      </c>
      <c r="R55" s="4"/>
      <c r="S55" s="1"/>
    </row>
    <row r="56" spans="1:19" x14ac:dyDescent="0.25">
      <c r="A56" s="7" t="s">
        <v>181</v>
      </c>
      <c r="B56" s="13">
        <v>72</v>
      </c>
      <c r="C56" s="13">
        <v>794</v>
      </c>
      <c r="D56" s="25">
        <v>271</v>
      </c>
      <c r="E56" s="66">
        <v>19</v>
      </c>
      <c r="F56" s="66">
        <v>10</v>
      </c>
      <c r="G56" s="66">
        <v>1</v>
      </c>
      <c r="H56" s="26">
        <f t="shared" si="10"/>
        <v>1167</v>
      </c>
      <c r="I56" s="1"/>
      <c r="J56" s="138" t="s">
        <v>138</v>
      </c>
      <c r="K56" s="139"/>
      <c r="L56" s="139"/>
      <c r="M56" s="139"/>
      <c r="N56" s="139"/>
      <c r="O56" s="139"/>
      <c r="P56" s="139"/>
      <c r="Q56" s="48">
        <f>(H51)</f>
        <v>9512</v>
      </c>
      <c r="R56" s="4"/>
      <c r="S56" s="1"/>
    </row>
    <row r="57" spans="1:19" x14ac:dyDescent="0.25">
      <c r="A57" s="7" t="s">
        <v>184</v>
      </c>
      <c r="B57" s="11">
        <v>86</v>
      </c>
      <c r="C57" s="11">
        <v>7</v>
      </c>
      <c r="D57" s="23">
        <v>27</v>
      </c>
      <c r="E57" s="66">
        <v>1</v>
      </c>
      <c r="F57" s="66">
        <v>0</v>
      </c>
      <c r="G57" s="66">
        <v>0</v>
      </c>
      <c r="H57" s="26">
        <f t="shared" si="10"/>
        <v>121</v>
      </c>
      <c r="I57" s="1"/>
      <c r="J57" s="138" t="s">
        <v>140</v>
      </c>
      <c r="K57" s="139"/>
      <c r="L57" s="139"/>
      <c r="M57" s="139"/>
      <c r="N57" s="139"/>
      <c r="O57" s="139"/>
      <c r="P57" s="139"/>
      <c r="Q57" s="48">
        <f>(H69)</f>
        <v>754</v>
      </c>
      <c r="R57" s="4"/>
      <c r="S57" s="1"/>
    </row>
    <row r="58" spans="1:19" x14ac:dyDescent="0.25">
      <c r="A58" s="7" t="s">
        <v>88</v>
      </c>
      <c r="B58" s="11">
        <v>4</v>
      </c>
      <c r="C58" s="11">
        <v>1</v>
      </c>
      <c r="D58" s="23">
        <v>7</v>
      </c>
      <c r="E58" s="66">
        <v>0</v>
      </c>
      <c r="F58" s="66">
        <v>0</v>
      </c>
      <c r="G58" s="66">
        <v>0</v>
      </c>
      <c r="H58" s="26">
        <f t="shared" si="10"/>
        <v>12</v>
      </c>
      <c r="I58" s="1"/>
      <c r="J58" s="138" t="s">
        <v>144</v>
      </c>
      <c r="K58" s="139"/>
      <c r="L58" s="139"/>
      <c r="M58" s="139"/>
      <c r="N58" s="139"/>
      <c r="O58" s="139"/>
      <c r="P58" s="139"/>
      <c r="Q58" s="48">
        <f>H82</f>
        <v>1399</v>
      </c>
      <c r="R58" s="4"/>
      <c r="S58" s="1"/>
    </row>
    <row r="59" spans="1:19" x14ac:dyDescent="0.25">
      <c r="A59" s="7" t="s">
        <v>89</v>
      </c>
      <c r="B59" s="11">
        <v>0</v>
      </c>
      <c r="C59" s="11">
        <v>0</v>
      </c>
      <c r="D59" s="23">
        <v>0</v>
      </c>
      <c r="E59" s="66">
        <v>0</v>
      </c>
      <c r="F59" s="66">
        <v>0</v>
      </c>
      <c r="G59" s="66">
        <v>0</v>
      </c>
      <c r="H59" s="26">
        <f t="shared" si="10"/>
        <v>0</v>
      </c>
      <c r="I59" s="1"/>
      <c r="J59" s="138" t="s">
        <v>141</v>
      </c>
      <c r="K59" s="139"/>
      <c r="L59" s="139"/>
      <c r="M59" s="139"/>
      <c r="N59" s="139"/>
      <c r="O59" s="139"/>
      <c r="P59" s="139"/>
      <c r="Q59" s="48">
        <f>H95</f>
        <v>1994</v>
      </c>
      <c r="R59" s="4"/>
      <c r="S59" s="1"/>
    </row>
    <row r="60" spans="1:19" x14ac:dyDescent="0.25">
      <c r="A60" s="7" t="s">
        <v>183</v>
      </c>
      <c r="B60" s="11">
        <v>187</v>
      </c>
      <c r="C60" s="11">
        <v>760</v>
      </c>
      <c r="D60" s="23">
        <v>163</v>
      </c>
      <c r="E60" s="66">
        <v>13</v>
      </c>
      <c r="F60" s="66">
        <v>10</v>
      </c>
      <c r="G60" s="66">
        <v>1</v>
      </c>
      <c r="H60" s="26">
        <f t="shared" si="10"/>
        <v>1134</v>
      </c>
      <c r="I60" s="1"/>
      <c r="J60" s="138" t="s">
        <v>143</v>
      </c>
      <c r="K60" s="139"/>
      <c r="L60" s="139"/>
      <c r="M60" s="139"/>
      <c r="N60" s="139"/>
      <c r="O60" s="139"/>
      <c r="P60" s="139"/>
      <c r="Q60" s="63">
        <f>Q11</f>
        <v>2260</v>
      </c>
      <c r="R60" s="4"/>
      <c r="S60" s="1"/>
    </row>
    <row r="61" spans="1:19" x14ac:dyDescent="0.25">
      <c r="A61" s="7" t="s">
        <v>36</v>
      </c>
      <c r="B61" s="11">
        <v>5</v>
      </c>
      <c r="C61" s="11">
        <v>0</v>
      </c>
      <c r="D61" s="23">
        <v>8</v>
      </c>
      <c r="E61" s="66">
        <v>0</v>
      </c>
      <c r="F61" s="66">
        <v>0</v>
      </c>
      <c r="G61" s="66">
        <v>0</v>
      </c>
      <c r="H61" s="26">
        <f t="shared" si="10"/>
        <v>13</v>
      </c>
      <c r="I61" s="1"/>
      <c r="J61" s="138" t="s">
        <v>145</v>
      </c>
      <c r="K61" s="139"/>
      <c r="L61" s="139"/>
      <c r="M61" s="139"/>
      <c r="N61" s="139"/>
      <c r="O61" s="139"/>
      <c r="P61" s="139"/>
      <c r="Q61" s="41">
        <f>Q28</f>
        <v>420</v>
      </c>
      <c r="R61" s="4"/>
      <c r="S61" s="1"/>
    </row>
    <row r="62" spans="1:19" ht="15.75" thickBot="1" x14ac:dyDescent="0.3">
      <c r="A62" s="7" t="s">
        <v>119</v>
      </c>
      <c r="B62" s="11">
        <v>0</v>
      </c>
      <c r="C62" s="10">
        <v>0</v>
      </c>
      <c r="D62" s="23">
        <v>0</v>
      </c>
      <c r="E62" s="66">
        <v>0</v>
      </c>
      <c r="F62" s="66">
        <v>0</v>
      </c>
      <c r="G62" s="66">
        <v>0</v>
      </c>
      <c r="H62" s="26">
        <f>SUM(B62:G62)</f>
        <v>0</v>
      </c>
      <c r="I62" s="1"/>
      <c r="J62" s="144" t="s">
        <v>151</v>
      </c>
      <c r="K62" s="145"/>
      <c r="L62" s="145"/>
      <c r="M62" s="145"/>
      <c r="N62" s="145"/>
      <c r="O62" s="145"/>
      <c r="P62" s="145"/>
      <c r="Q62" s="64">
        <f>Q41</f>
        <v>1033</v>
      </c>
      <c r="R62" s="4"/>
      <c r="S62" s="1"/>
    </row>
    <row r="63" spans="1:19" ht="15.75" thickBot="1" x14ac:dyDescent="0.3">
      <c r="A63" s="7" t="s">
        <v>118</v>
      </c>
      <c r="B63" s="11">
        <v>0</v>
      </c>
      <c r="C63" s="11">
        <v>0</v>
      </c>
      <c r="D63" s="23">
        <v>0</v>
      </c>
      <c r="E63" s="66">
        <v>0</v>
      </c>
      <c r="F63" s="66">
        <v>0</v>
      </c>
      <c r="G63" s="66">
        <v>0</v>
      </c>
      <c r="H63" s="33">
        <f>SUM(B63:G63)</f>
        <v>0</v>
      </c>
      <c r="I63" s="1"/>
      <c r="M63" s="53"/>
      <c r="N63" s="53"/>
      <c r="O63" s="53"/>
      <c r="P63" s="39" t="s">
        <v>11</v>
      </c>
      <c r="Q63" s="61">
        <f>SUM(Q54:Q62)</f>
        <v>40954</v>
      </c>
      <c r="R63" s="4"/>
      <c r="S63" s="1"/>
    </row>
    <row r="64" spans="1:19" x14ac:dyDescent="0.25">
      <c r="A64" s="8" t="s">
        <v>37</v>
      </c>
      <c r="B64" s="31">
        <v>121</v>
      </c>
      <c r="C64" s="20">
        <v>161</v>
      </c>
      <c r="D64" s="42">
        <v>25</v>
      </c>
      <c r="E64" s="65">
        <v>0</v>
      </c>
      <c r="F64" s="65">
        <v>0</v>
      </c>
      <c r="G64" s="65">
        <v>0</v>
      </c>
      <c r="H64" s="26">
        <f t="shared" si="10"/>
        <v>307</v>
      </c>
      <c r="I64" s="1"/>
      <c r="P64" s="1"/>
      <c r="Q64" s="1"/>
      <c r="R64" s="4"/>
      <c r="S64" s="1"/>
    </row>
    <row r="65" spans="1:19" x14ac:dyDescent="0.25">
      <c r="A65" s="7" t="s">
        <v>38</v>
      </c>
      <c r="B65" s="11">
        <v>328</v>
      </c>
      <c r="C65" s="10">
        <v>511</v>
      </c>
      <c r="D65" s="23">
        <v>296</v>
      </c>
      <c r="E65" s="66">
        <v>16</v>
      </c>
      <c r="F65" s="66">
        <v>4</v>
      </c>
      <c r="G65" s="66">
        <v>0</v>
      </c>
      <c r="H65" s="26">
        <f t="shared" si="10"/>
        <v>1155</v>
      </c>
      <c r="I65" s="1"/>
      <c r="R65" s="4"/>
      <c r="S65" s="1"/>
    </row>
    <row r="66" spans="1:19" x14ac:dyDescent="0.25">
      <c r="A66" s="7" t="s">
        <v>73</v>
      </c>
      <c r="B66" s="11">
        <v>328</v>
      </c>
      <c r="C66" s="10">
        <v>511</v>
      </c>
      <c r="D66" s="23">
        <v>296</v>
      </c>
      <c r="E66" s="11">
        <v>8</v>
      </c>
      <c r="F66" s="11">
        <v>4</v>
      </c>
      <c r="G66" s="11">
        <v>0</v>
      </c>
      <c r="H66" s="26">
        <f t="shared" si="10"/>
        <v>1147</v>
      </c>
      <c r="I66" s="1"/>
      <c r="J66" s="1"/>
      <c r="K66" s="1"/>
      <c r="L66" s="1"/>
      <c r="M66" s="1"/>
      <c r="N66" s="1"/>
      <c r="O66" s="1"/>
      <c r="R66" s="4"/>
      <c r="S66" s="1"/>
    </row>
    <row r="67" spans="1:19" x14ac:dyDescent="0.25">
      <c r="A67" s="7" t="s">
        <v>39</v>
      </c>
      <c r="B67" s="11">
        <v>24</v>
      </c>
      <c r="C67" s="10">
        <v>47</v>
      </c>
      <c r="D67" s="23">
        <v>6</v>
      </c>
      <c r="E67" s="11">
        <v>1</v>
      </c>
      <c r="F67" s="11">
        <v>0</v>
      </c>
      <c r="G67" s="11">
        <v>0</v>
      </c>
      <c r="H67" s="26">
        <f t="shared" si="10"/>
        <v>78</v>
      </c>
      <c r="I67" s="1"/>
      <c r="R67" s="4"/>
      <c r="S67" s="1"/>
    </row>
    <row r="68" spans="1:19" x14ac:dyDescent="0.25">
      <c r="A68" s="18" t="s">
        <v>40</v>
      </c>
      <c r="B68" s="19">
        <v>0</v>
      </c>
      <c r="C68" s="21">
        <v>0</v>
      </c>
      <c r="D68" s="43">
        <v>0</v>
      </c>
      <c r="E68" s="19">
        <v>0</v>
      </c>
      <c r="F68" s="19">
        <v>0</v>
      </c>
      <c r="G68" s="19">
        <v>0</v>
      </c>
      <c r="H68" s="26">
        <f t="shared" si="10"/>
        <v>0</v>
      </c>
      <c r="I68" s="1"/>
      <c r="R68" s="4"/>
      <c r="S68" s="1"/>
    </row>
    <row r="69" spans="1:19" x14ac:dyDescent="0.25">
      <c r="A69" s="73" t="s">
        <v>54</v>
      </c>
      <c r="B69" s="74">
        <f t="shared" ref="B69:G69" si="11">SUM(B70:B81)</f>
        <v>570</v>
      </c>
      <c r="C69" s="74">
        <f t="shared" si="11"/>
        <v>45</v>
      </c>
      <c r="D69" s="74">
        <f t="shared" si="11"/>
        <v>131</v>
      </c>
      <c r="E69" s="74">
        <f t="shared" si="11"/>
        <v>8</v>
      </c>
      <c r="F69" s="74">
        <f t="shared" si="11"/>
        <v>0</v>
      </c>
      <c r="G69" s="76">
        <f t="shared" si="11"/>
        <v>0</v>
      </c>
      <c r="H69" s="75">
        <f t="shared" si="10"/>
        <v>754</v>
      </c>
      <c r="I69" s="1"/>
      <c r="R69" s="4"/>
      <c r="S69" s="1"/>
    </row>
    <row r="70" spans="1:19" x14ac:dyDescent="0.25">
      <c r="A70" s="52" t="s">
        <v>55</v>
      </c>
      <c r="B70" s="65">
        <v>96</v>
      </c>
      <c r="C70" s="10">
        <v>10</v>
      </c>
      <c r="D70" s="65">
        <v>98</v>
      </c>
      <c r="E70" s="65">
        <v>0</v>
      </c>
      <c r="F70" s="11">
        <v>0</v>
      </c>
      <c r="G70" s="65">
        <v>0</v>
      </c>
      <c r="H70" s="26">
        <f t="shared" si="10"/>
        <v>204</v>
      </c>
      <c r="I70" s="1"/>
      <c r="R70" s="4"/>
      <c r="S70" s="1"/>
    </row>
    <row r="71" spans="1:19" x14ac:dyDescent="0.25">
      <c r="A71" s="52" t="s">
        <v>56</v>
      </c>
      <c r="B71" s="66">
        <v>217</v>
      </c>
      <c r="C71" s="91">
        <v>25</v>
      </c>
      <c r="D71" s="66">
        <v>9</v>
      </c>
      <c r="E71" s="66">
        <v>0</v>
      </c>
      <c r="F71" s="11">
        <v>0</v>
      </c>
      <c r="G71" s="66">
        <v>0</v>
      </c>
      <c r="H71" s="26">
        <f t="shared" si="10"/>
        <v>251</v>
      </c>
      <c r="I71" s="1"/>
      <c r="R71" s="4"/>
      <c r="S71" s="1"/>
    </row>
    <row r="72" spans="1:19" x14ac:dyDescent="0.25">
      <c r="A72" s="52" t="s">
        <v>58</v>
      </c>
      <c r="B72" s="66">
        <v>10</v>
      </c>
      <c r="C72" s="10">
        <v>0</v>
      </c>
      <c r="D72" s="66">
        <v>0</v>
      </c>
      <c r="E72" s="66">
        <v>0</v>
      </c>
      <c r="F72" s="11">
        <v>0</v>
      </c>
      <c r="G72" s="66">
        <v>0</v>
      </c>
      <c r="H72" s="26">
        <f t="shared" si="10"/>
        <v>10</v>
      </c>
      <c r="I72" s="1"/>
      <c r="R72" s="4"/>
      <c r="S72" s="1"/>
    </row>
    <row r="73" spans="1:19" x14ac:dyDescent="0.25">
      <c r="A73" s="52" t="s">
        <v>68</v>
      </c>
      <c r="B73" s="66">
        <v>74</v>
      </c>
      <c r="C73" s="91">
        <v>3</v>
      </c>
      <c r="D73" s="66">
        <v>7</v>
      </c>
      <c r="E73" s="66">
        <v>8</v>
      </c>
      <c r="F73" s="92">
        <v>0</v>
      </c>
      <c r="G73" s="66">
        <v>0</v>
      </c>
      <c r="H73" s="26">
        <f t="shared" si="10"/>
        <v>92</v>
      </c>
      <c r="I73" s="1"/>
      <c r="R73" s="4"/>
      <c r="S73" s="1"/>
    </row>
    <row r="74" spans="1:19" x14ac:dyDescent="0.25">
      <c r="A74" s="52" t="s">
        <v>69</v>
      </c>
      <c r="B74" s="66">
        <v>24</v>
      </c>
      <c r="C74" s="91">
        <v>1</v>
      </c>
      <c r="D74" s="66">
        <v>0</v>
      </c>
      <c r="E74" s="66">
        <v>0</v>
      </c>
      <c r="F74" s="92">
        <v>0</v>
      </c>
      <c r="G74" s="66">
        <v>0</v>
      </c>
      <c r="H74" s="26">
        <f t="shared" si="10"/>
        <v>25</v>
      </c>
      <c r="I74" s="1"/>
      <c r="R74" s="4"/>
      <c r="S74" s="1"/>
    </row>
    <row r="75" spans="1:19" x14ac:dyDescent="0.25">
      <c r="A75" s="52" t="s">
        <v>57</v>
      </c>
      <c r="B75" s="66">
        <v>9</v>
      </c>
      <c r="C75" s="91">
        <v>2</v>
      </c>
      <c r="D75" s="66">
        <v>2</v>
      </c>
      <c r="E75" s="66">
        <v>0</v>
      </c>
      <c r="F75" s="91">
        <v>0</v>
      </c>
      <c r="G75" s="66">
        <v>0</v>
      </c>
      <c r="H75" s="26">
        <f t="shared" si="10"/>
        <v>13</v>
      </c>
      <c r="I75" s="1"/>
      <c r="R75" s="4"/>
      <c r="S75" s="1"/>
    </row>
    <row r="76" spans="1:19" x14ac:dyDescent="0.25">
      <c r="A76" s="52" t="s">
        <v>142</v>
      </c>
      <c r="B76" s="66">
        <v>42</v>
      </c>
      <c r="C76" s="91">
        <v>2</v>
      </c>
      <c r="D76" s="66">
        <v>5</v>
      </c>
      <c r="E76" s="66">
        <v>0</v>
      </c>
      <c r="F76" s="92">
        <v>0</v>
      </c>
      <c r="G76" s="66">
        <v>0</v>
      </c>
      <c r="H76" s="26">
        <f t="shared" si="10"/>
        <v>49</v>
      </c>
      <c r="I76" s="1"/>
      <c r="R76" s="4"/>
      <c r="S76" s="1"/>
    </row>
    <row r="77" spans="1:19" x14ac:dyDescent="0.25">
      <c r="A77" s="52" t="s">
        <v>59</v>
      </c>
      <c r="B77" s="66">
        <v>10</v>
      </c>
      <c r="C77" s="91">
        <v>0</v>
      </c>
      <c r="D77" s="66">
        <v>5</v>
      </c>
      <c r="E77" s="66">
        <v>0</v>
      </c>
      <c r="F77" s="92">
        <v>0</v>
      </c>
      <c r="G77" s="66">
        <v>0</v>
      </c>
      <c r="H77" s="26">
        <f t="shared" si="10"/>
        <v>15</v>
      </c>
      <c r="I77" s="1"/>
      <c r="R77" s="4"/>
      <c r="S77" s="1"/>
    </row>
    <row r="78" spans="1:19" x14ac:dyDescent="0.25">
      <c r="A78" s="52" t="s">
        <v>60</v>
      </c>
      <c r="B78" s="66">
        <v>33</v>
      </c>
      <c r="C78" s="91">
        <v>0</v>
      </c>
      <c r="D78" s="66">
        <v>5</v>
      </c>
      <c r="E78" s="66">
        <v>0</v>
      </c>
      <c r="F78" s="91">
        <v>0</v>
      </c>
      <c r="G78" s="66">
        <v>0</v>
      </c>
      <c r="H78" s="26">
        <f t="shared" si="10"/>
        <v>38</v>
      </c>
      <c r="I78" s="1"/>
      <c r="R78" s="4"/>
      <c r="S78" s="1"/>
    </row>
    <row r="79" spans="1:19" x14ac:dyDescent="0.25">
      <c r="A79" s="52" t="s">
        <v>106</v>
      </c>
      <c r="B79" s="66">
        <v>8</v>
      </c>
      <c r="C79" s="91">
        <v>0</v>
      </c>
      <c r="D79" s="66">
        <v>0</v>
      </c>
      <c r="E79" s="66">
        <v>0</v>
      </c>
      <c r="F79" s="91">
        <v>0</v>
      </c>
      <c r="G79" s="66">
        <v>0</v>
      </c>
      <c r="H79" s="26">
        <f t="shared" si="10"/>
        <v>8</v>
      </c>
      <c r="I79" s="1"/>
      <c r="R79" s="4"/>
      <c r="S79" s="1"/>
    </row>
    <row r="80" spans="1:19" x14ac:dyDescent="0.25">
      <c r="A80" s="52" t="s">
        <v>132</v>
      </c>
      <c r="B80" s="66">
        <v>23</v>
      </c>
      <c r="C80" s="91">
        <v>1</v>
      </c>
      <c r="D80" s="66">
        <v>0</v>
      </c>
      <c r="E80" s="66">
        <v>0</v>
      </c>
      <c r="F80" s="92">
        <v>0</v>
      </c>
      <c r="G80" s="66">
        <v>0</v>
      </c>
      <c r="H80" s="26">
        <f t="shared" si="10"/>
        <v>24</v>
      </c>
      <c r="I80" s="1"/>
      <c r="R80" s="4"/>
      <c r="S80" s="1"/>
    </row>
    <row r="81" spans="1:19" x14ac:dyDescent="0.25">
      <c r="A81" s="52" t="s">
        <v>133</v>
      </c>
      <c r="B81" s="93">
        <v>24</v>
      </c>
      <c r="C81" s="91">
        <v>1</v>
      </c>
      <c r="D81" s="93">
        <v>0</v>
      </c>
      <c r="E81" s="93">
        <v>0</v>
      </c>
      <c r="F81" s="92">
        <v>0</v>
      </c>
      <c r="G81" s="93">
        <v>0</v>
      </c>
      <c r="H81" s="26">
        <f t="shared" si="10"/>
        <v>25</v>
      </c>
      <c r="I81" s="1"/>
      <c r="R81" s="4"/>
      <c r="S81" s="1"/>
    </row>
    <row r="82" spans="1:19" x14ac:dyDescent="0.25">
      <c r="A82" s="73" t="s">
        <v>70</v>
      </c>
      <c r="B82" s="29">
        <f t="shared" ref="B82:G82" si="12">SUM(B83:B92)</f>
        <v>215</v>
      </c>
      <c r="C82" s="74">
        <f t="shared" si="12"/>
        <v>663</v>
      </c>
      <c r="D82" s="74">
        <f t="shared" si="12"/>
        <v>492</v>
      </c>
      <c r="E82" s="74">
        <f t="shared" si="12"/>
        <v>29</v>
      </c>
      <c r="F82" s="74">
        <f t="shared" si="12"/>
        <v>0</v>
      </c>
      <c r="G82" s="74">
        <f t="shared" si="12"/>
        <v>0</v>
      </c>
      <c r="H82" s="75">
        <f t="shared" si="10"/>
        <v>1399</v>
      </c>
      <c r="I82" s="1"/>
      <c r="R82" s="4"/>
      <c r="S82" s="1"/>
    </row>
    <row r="83" spans="1:19" x14ac:dyDescent="0.25">
      <c r="A83" s="22" t="s">
        <v>84</v>
      </c>
      <c r="B83" s="31">
        <v>17</v>
      </c>
      <c r="C83" s="10">
        <v>0</v>
      </c>
      <c r="D83" s="31">
        <v>32</v>
      </c>
      <c r="E83" s="31">
        <v>0</v>
      </c>
      <c r="F83" s="10">
        <v>0</v>
      </c>
      <c r="G83" s="31">
        <v>0</v>
      </c>
      <c r="H83" s="26">
        <f t="shared" si="10"/>
        <v>49</v>
      </c>
      <c r="I83" s="1"/>
      <c r="R83" s="4"/>
      <c r="S83" s="1"/>
    </row>
    <row r="84" spans="1:19" x14ac:dyDescent="0.25">
      <c r="A84" s="22" t="s">
        <v>114</v>
      </c>
      <c r="B84" s="11">
        <v>16</v>
      </c>
      <c r="C84" s="10">
        <v>0</v>
      </c>
      <c r="D84" s="11">
        <v>29</v>
      </c>
      <c r="E84" s="11">
        <v>0</v>
      </c>
      <c r="F84" s="10">
        <v>0</v>
      </c>
      <c r="G84" s="11">
        <v>0</v>
      </c>
      <c r="H84" s="26">
        <f t="shared" si="10"/>
        <v>45</v>
      </c>
      <c r="I84" s="1"/>
      <c r="R84" s="4"/>
      <c r="S84" s="1"/>
    </row>
    <row r="85" spans="1:19" ht="14.25" customHeight="1" x14ac:dyDescent="0.25">
      <c r="A85" s="22" t="s">
        <v>61</v>
      </c>
      <c r="B85" s="11">
        <v>5</v>
      </c>
      <c r="C85" s="10">
        <v>40</v>
      </c>
      <c r="D85" s="11">
        <v>2</v>
      </c>
      <c r="E85" s="11">
        <v>0</v>
      </c>
      <c r="F85" s="10">
        <v>0</v>
      </c>
      <c r="G85" s="11">
        <v>0</v>
      </c>
      <c r="H85" s="26">
        <f t="shared" si="10"/>
        <v>47</v>
      </c>
      <c r="I85" s="1"/>
      <c r="R85" s="4"/>
      <c r="S85" s="1"/>
    </row>
    <row r="86" spans="1:19" x14ac:dyDescent="0.25">
      <c r="A86" s="22" t="s">
        <v>62</v>
      </c>
      <c r="B86" s="11">
        <v>20</v>
      </c>
      <c r="C86" s="10">
        <v>0</v>
      </c>
      <c r="D86" s="11">
        <v>83</v>
      </c>
      <c r="E86" s="11">
        <v>2</v>
      </c>
      <c r="F86" s="10">
        <v>0</v>
      </c>
      <c r="G86" s="11">
        <v>0</v>
      </c>
      <c r="H86" s="26">
        <f t="shared" si="10"/>
        <v>105</v>
      </c>
      <c r="I86" s="1"/>
      <c r="K86" s="133"/>
      <c r="L86" s="133"/>
      <c r="M86" s="133"/>
      <c r="R86" s="4"/>
      <c r="S86" s="1"/>
    </row>
    <row r="87" spans="1:19" x14ac:dyDescent="0.25">
      <c r="A87" s="22" t="s">
        <v>93</v>
      </c>
      <c r="B87" s="11">
        <v>0</v>
      </c>
      <c r="C87" s="10">
        <v>0</v>
      </c>
      <c r="D87" s="11">
        <v>1</v>
      </c>
      <c r="E87" s="11">
        <v>0</v>
      </c>
      <c r="F87" s="10">
        <v>0</v>
      </c>
      <c r="G87" s="11">
        <v>0</v>
      </c>
      <c r="H87" s="26">
        <f t="shared" si="10"/>
        <v>1</v>
      </c>
      <c r="I87" s="1"/>
      <c r="R87" s="4"/>
      <c r="S87" s="1"/>
    </row>
    <row r="88" spans="1:19" x14ac:dyDescent="0.25">
      <c r="A88" s="22" t="s">
        <v>94</v>
      </c>
      <c r="B88" s="11">
        <v>0</v>
      </c>
      <c r="C88" s="10">
        <v>0</v>
      </c>
      <c r="D88" s="11">
        <v>0</v>
      </c>
      <c r="E88" s="11">
        <v>0</v>
      </c>
      <c r="F88" s="10">
        <v>0</v>
      </c>
      <c r="G88" s="11">
        <v>0</v>
      </c>
      <c r="H88" s="33">
        <f t="shared" si="10"/>
        <v>0</v>
      </c>
      <c r="I88" s="1"/>
      <c r="R88" s="4"/>
      <c r="S88" s="1"/>
    </row>
    <row r="89" spans="1:19" x14ac:dyDescent="0.25">
      <c r="A89" s="81" t="s">
        <v>108</v>
      </c>
      <c r="B89" s="82">
        <v>145</v>
      </c>
      <c r="C89" s="83">
        <v>619</v>
      </c>
      <c r="D89" s="82">
        <v>289</v>
      </c>
      <c r="E89" s="82">
        <v>23</v>
      </c>
      <c r="F89" s="85">
        <v>0</v>
      </c>
      <c r="G89" s="82">
        <v>0</v>
      </c>
      <c r="H89" s="84">
        <f>SUM(B89:G89)</f>
        <v>1076</v>
      </c>
      <c r="I89" s="1"/>
      <c r="R89" s="4"/>
      <c r="S89" s="1"/>
    </row>
    <row r="90" spans="1:19" x14ac:dyDescent="0.25">
      <c r="A90" s="32" t="s">
        <v>63</v>
      </c>
      <c r="B90" s="31">
        <v>0</v>
      </c>
      <c r="C90" s="20">
        <v>0</v>
      </c>
      <c r="D90" s="31">
        <v>0</v>
      </c>
      <c r="E90" s="31">
        <v>0</v>
      </c>
      <c r="F90" s="20">
        <v>0</v>
      </c>
      <c r="G90" s="31">
        <v>0</v>
      </c>
      <c r="H90" s="26">
        <f t="shared" si="10"/>
        <v>0</v>
      </c>
      <c r="I90" s="1"/>
      <c r="R90" s="4"/>
      <c r="S90" s="1"/>
    </row>
    <row r="91" spans="1:19" x14ac:dyDescent="0.25">
      <c r="A91" s="22" t="s">
        <v>153</v>
      </c>
      <c r="B91" s="11">
        <v>1</v>
      </c>
      <c r="C91" s="10">
        <v>0</v>
      </c>
      <c r="D91" s="11">
        <v>1</v>
      </c>
      <c r="E91" s="11">
        <v>0</v>
      </c>
      <c r="F91" s="10">
        <v>0</v>
      </c>
      <c r="G91" s="11">
        <v>0</v>
      </c>
      <c r="H91" s="26">
        <f t="shared" si="10"/>
        <v>2</v>
      </c>
      <c r="I91" s="1"/>
      <c r="R91" s="4"/>
      <c r="S91" s="1"/>
    </row>
    <row r="92" spans="1:19" x14ac:dyDescent="0.25">
      <c r="A92" s="22" t="s">
        <v>107</v>
      </c>
      <c r="B92" s="11">
        <v>11</v>
      </c>
      <c r="C92" s="10">
        <v>4</v>
      </c>
      <c r="D92" s="11">
        <v>55</v>
      </c>
      <c r="E92" s="11">
        <v>4</v>
      </c>
      <c r="F92" s="10">
        <v>0</v>
      </c>
      <c r="G92" s="11">
        <v>0</v>
      </c>
      <c r="H92" s="26">
        <f t="shared" si="10"/>
        <v>74</v>
      </c>
      <c r="I92" s="1"/>
      <c r="R92" s="4"/>
      <c r="S92" s="1"/>
    </row>
    <row r="93" spans="1:19" x14ac:dyDescent="0.25">
      <c r="A93" s="22" t="s">
        <v>210</v>
      </c>
      <c r="B93" s="11">
        <v>0</v>
      </c>
      <c r="C93" s="10">
        <v>0</v>
      </c>
      <c r="D93" s="11">
        <v>0</v>
      </c>
      <c r="E93" s="11">
        <v>0</v>
      </c>
      <c r="F93" s="10">
        <v>0</v>
      </c>
      <c r="G93" s="11">
        <v>0</v>
      </c>
      <c r="H93" s="26">
        <f t="shared" si="10"/>
        <v>0</v>
      </c>
      <c r="I93" s="1"/>
      <c r="R93" s="4"/>
      <c r="S93" s="1"/>
    </row>
    <row r="94" spans="1:19" x14ac:dyDescent="0.25">
      <c r="A94" s="22" t="s">
        <v>182</v>
      </c>
      <c r="B94" s="11">
        <v>4</v>
      </c>
      <c r="C94" s="10">
        <v>0</v>
      </c>
      <c r="D94" s="11">
        <v>1</v>
      </c>
      <c r="E94" s="11">
        <v>0</v>
      </c>
      <c r="F94" s="10">
        <v>0</v>
      </c>
      <c r="G94" s="11">
        <v>0</v>
      </c>
      <c r="H94" s="26">
        <f t="shared" si="10"/>
        <v>5</v>
      </c>
      <c r="I94" s="1"/>
      <c r="R94" s="4"/>
      <c r="S94" s="1"/>
    </row>
    <row r="95" spans="1:19" x14ac:dyDescent="0.25">
      <c r="A95" s="73" t="s">
        <v>3</v>
      </c>
      <c r="B95" s="74">
        <f t="shared" ref="B95:G95" si="13">SUM(B96:B155)</f>
        <v>543</v>
      </c>
      <c r="C95" s="74">
        <f t="shared" si="13"/>
        <v>451</v>
      </c>
      <c r="D95" s="74">
        <f t="shared" si="13"/>
        <v>960</v>
      </c>
      <c r="E95" s="74">
        <f t="shared" si="13"/>
        <v>12</v>
      </c>
      <c r="F95" s="74">
        <f t="shared" si="13"/>
        <v>28</v>
      </c>
      <c r="G95" s="74">
        <f t="shared" si="13"/>
        <v>0</v>
      </c>
      <c r="H95" s="75">
        <f t="shared" si="10"/>
        <v>1994</v>
      </c>
      <c r="I95" s="1"/>
      <c r="R95" s="4"/>
      <c r="S95" s="1"/>
    </row>
    <row r="96" spans="1:19" x14ac:dyDescent="0.25">
      <c r="A96" s="7" t="s">
        <v>113</v>
      </c>
      <c r="B96" s="11">
        <v>0</v>
      </c>
      <c r="C96" s="11">
        <v>0</v>
      </c>
      <c r="D96" s="11">
        <v>0</v>
      </c>
      <c r="E96" s="11">
        <v>0</v>
      </c>
      <c r="F96" s="17">
        <v>0</v>
      </c>
      <c r="G96" s="11">
        <v>0</v>
      </c>
      <c r="H96" s="14">
        <f t="shared" si="10"/>
        <v>0</v>
      </c>
      <c r="I96" s="1"/>
      <c r="R96" s="4"/>
      <c r="S96" s="1"/>
    </row>
    <row r="97" spans="1:19" x14ac:dyDescent="0.25">
      <c r="A97" s="7" t="s">
        <v>112</v>
      </c>
      <c r="B97" s="11">
        <v>0</v>
      </c>
      <c r="C97" s="11">
        <v>0</v>
      </c>
      <c r="D97" s="11">
        <v>0</v>
      </c>
      <c r="E97" s="11">
        <v>0</v>
      </c>
      <c r="F97" s="17">
        <v>0</v>
      </c>
      <c r="G97" s="11">
        <v>0</v>
      </c>
      <c r="H97" s="27">
        <f t="shared" si="10"/>
        <v>0</v>
      </c>
      <c r="I97" s="1"/>
      <c r="R97" s="4"/>
      <c r="S97" s="1"/>
    </row>
    <row r="98" spans="1:19" x14ac:dyDescent="0.25">
      <c r="A98" s="7" t="s">
        <v>41</v>
      </c>
      <c r="B98" s="11">
        <v>2</v>
      </c>
      <c r="C98" s="11">
        <v>0</v>
      </c>
      <c r="D98" s="11">
        <v>1</v>
      </c>
      <c r="E98" s="11">
        <v>0</v>
      </c>
      <c r="F98" s="17">
        <v>0</v>
      </c>
      <c r="G98" s="11">
        <v>0</v>
      </c>
      <c r="H98" s="27">
        <f t="shared" si="10"/>
        <v>3</v>
      </c>
      <c r="I98" s="1"/>
      <c r="R98" s="4"/>
      <c r="S98" s="1"/>
    </row>
    <row r="99" spans="1:19" x14ac:dyDescent="0.25">
      <c r="A99" s="7" t="s">
        <v>192</v>
      </c>
      <c r="B99" s="11">
        <v>0</v>
      </c>
      <c r="C99" s="11">
        <v>0</v>
      </c>
      <c r="D99" s="11">
        <v>0</v>
      </c>
      <c r="E99" s="11">
        <v>0</v>
      </c>
      <c r="F99" s="17">
        <v>0</v>
      </c>
      <c r="G99" s="11">
        <v>0</v>
      </c>
      <c r="H99" s="27">
        <f t="shared" si="10"/>
        <v>0</v>
      </c>
      <c r="I99" s="1"/>
      <c r="R99" s="4"/>
      <c r="S99" s="1"/>
    </row>
    <row r="100" spans="1:19" x14ac:dyDescent="0.25">
      <c r="A100" s="7" t="s">
        <v>213</v>
      </c>
      <c r="B100" s="11">
        <v>0</v>
      </c>
      <c r="C100" s="11">
        <v>0</v>
      </c>
      <c r="D100" s="11">
        <v>0</v>
      </c>
      <c r="E100" s="11">
        <v>0</v>
      </c>
      <c r="F100" s="17">
        <v>0</v>
      </c>
      <c r="G100" s="11">
        <v>0</v>
      </c>
      <c r="H100" s="27">
        <f t="shared" si="10"/>
        <v>0</v>
      </c>
      <c r="I100" s="1"/>
      <c r="R100" s="4"/>
      <c r="S100" s="1"/>
    </row>
    <row r="101" spans="1:19" x14ac:dyDescent="0.25">
      <c r="A101" s="7" t="s">
        <v>214</v>
      </c>
      <c r="B101" s="11">
        <v>0</v>
      </c>
      <c r="C101" s="11">
        <v>0</v>
      </c>
      <c r="D101" s="11">
        <v>0</v>
      </c>
      <c r="E101" s="11">
        <v>0</v>
      </c>
      <c r="F101" s="17">
        <v>0</v>
      </c>
      <c r="G101" s="11">
        <v>0</v>
      </c>
      <c r="H101" s="27">
        <f t="shared" si="10"/>
        <v>0</v>
      </c>
      <c r="I101" s="1"/>
      <c r="R101" s="4"/>
      <c r="S101" s="1"/>
    </row>
    <row r="102" spans="1:19" x14ac:dyDescent="0.25">
      <c r="A102" s="7" t="s">
        <v>215</v>
      </c>
      <c r="B102" s="11">
        <v>0</v>
      </c>
      <c r="C102" s="11">
        <v>0</v>
      </c>
      <c r="D102" s="11">
        <v>0</v>
      </c>
      <c r="E102" s="11">
        <v>0</v>
      </c>
      <c r="F102" s="17">
        <v>0</v>
      </c>
      <c r="G102" s="11">
        <v>0</v>
      </c>
      <c r="H102" s="27">
        <f t="shared" si="10"/>
        <v>0</v>
      </c>
      <c r="I102" s="1"/>
      <c r="R102" s="4"/>
      <c r="S102" s="1"/>
    </row>
    <row r="103" spans="1:19" x14ac:dyDescent="0.25">
      <c r="A103" s="7" t="s">
        <v>219</v>
      </c>
      <c r="B103" s="11">
        <v>0</v>
      </c>
      <c r="C103" s="11">
        <v>0</v>
      </c>
      <c r="D103" s="11">
        <v>0</v>
      </c>
      <c r="E103" s="11">
        <v>0</v>
      </c>
      <c r="F103" s="17">
        <v>0</v>
      </c>
      <c r="G103" s="11">
        <v>0</v>
      </c>
      <c r="H103" s="27">
        <f t="shared" si="10"/>
        <v>0</v>
      </c>
      <c r="I103" s="1"/>
      <c r="R103" s="4"/>
      <c r="S103" s="1"/>
    </row>
    <row r="104" spans="1:19" x14ac:dyDescent="0.25">
      <c r="A104" s="7" t="s">
        <v>220</v>
      </c>
      <c r="B104" s="11">
        <v>0</v>
      </c>
      <c r="C104" s="11">
        <v>0</v>
      </c>
      <c r="D104" s="11">
        <v>0</v>
      </c>
      <c r="E104" s="11">
        <v>0</v>
      </c>
      <c r="F104" s="17">
        <v>0</v>
      </c>
      <c r="G104" s="11">
        <v>0</v>
      </c>
      <c r="H104" s="27">
        <f t="shared" si="10"/>
        <v>0</v>
      </c>
      <c r="I104" s="1"/>
      <c r="R104" s="4"/>
      <c r="S104" s="1"/>
    </row>
    <row r="105" spans="1:19" x14ac:dyDescent="0.25">
      <c r="A105" s="7" t="s">
        <v>216</v>
      </c>
      <c r="B105" s="11">
        <v>0</v>
      </c>
      <c r="C105" s="11">
        <v>0</v>
      </c>
      <c r="D105" s="11">
        <v>0</v>
      </c>
      <c r="E105" s="11">
        <v>0</v>
      </c>
      <c r="F105" s="17">
        <v>0</v>
      </c>
      <c r="G105" s="11">
        <v>0</v>
      </c>
      <c r="H105" s="27">
        <f t="shared" si="10"/>
        <v>0</v>
      </c>
      <c r="I105" s="1"/>
      <c r="R105" s="4"/>
      <c r="S105" s="1"/>
    </row>
    <row r="106" spans="1:19" x14ac:dyDescent="0.25">
      <c r="A106" s="7" t="s">
        <v>174</v>
      </c>
      <c r="B106" s="11">
        <v>0</v>
      </c>
      <c r="C106" s="11">
        <v>0</v>
      </c>
      <c r="D106" s="11">
        <v>0</v>
      </c>
      <c r="E106" s="11">
        <v>0</v>
      </c>
      <c r="F106" s="17">
        <v>0</v>
      </c>
      <c r="G106" s="11">
        <v>0</v>
      </c>
      <c r="H106" s="27">
        <f t="shared" si="10"/>
        <v>0</v>
      </c>
      <c r="I106" s="1"/>
      <c r="R106" s="4"/>
      <c r="S106" s="1"/>
    </row>
    <row r="107" spans="1:19" x14ac:dyDescent="0.25">
      <c r="A107" s="7" t="s">
        <v>175</v>
      </c>
      <c r="B107" s="11">
        <v>0</v>
      </c>
      <c r="C107" s="11">
        <v>0</v>
      </c>
      <c r="D107" s="11">
        <v>0</v>
      </c>
      <c r="E107" s="19">
        <v>0</v>
      </c>
      <c r="F107" s="17">
        <v>0</v>
      </c>
      <c r="G107" s="11">
        <v>0</v>
      </c>
      <c r="H107" s="27">
        <f t="shared" si="10"/>
        <v>0</v>
      </c>
      <c r="I107" s="1"/>
      <c r="R107" s="4"/>
      <c r="S107" s="1"/>
    </row>
    <row r="108" spans="1:19" x14ac:dyDescent="0.25">
      <c r="A108" s="143" t="s">
        <v>109</v>
      </c>
      <c r="B108" s="143"/>
      <c r="C108" s="143"/>
      <c r="D108" s="143"/>
      <c r="E108" s="143"/>
      <c r="F108" s="143"/>
      <c r="G108" s="143"/>
      <c r="H108" s="143"/>
      <c r="I108" s="1"/>
      <c r="R108" s="4"/>
      <c r="S108" s="1"/>
    </row>
    <row r="109" spans="1:19" x14ac:dyDescent="0.25">
      <c r="A109" s="7" t="s">
        <v>123</v>
      </c>
      <c r="B109" s="11">
        <v>27</v>
      </c>
      <c r="C109" s="11">
        <v>78</v>
      </c>
      <c r="D109" s="11">
        <v>141</v>
      </c>
      <c r="E109" s="11">
        <v>2</v>
      </c>
      <c r="F109" s="11">
        <v>1</v>
      </c>
      <c r="G109" s="11">
        <v>0</v>
      </c>
      <c r="H109" s="28">
        <f t="shared" si="10"/>
        <v>249</v>
      </c>
      <c r="I109" s="1"/>
      <c r="J109" s="133"/>
      <c r="K109" s="133"/>
      <c r="R109" s="4"/>
      <c r="S109" s="1"/>
    </row>
    <row r="110" spans="1:19" x14ac:dyDescent="0.25">
      <c r="A110" s="7" t="s">
        <v>122</v>
      </c>
      <c r="B110" s="11">
        <v>71</v>
      </c>
      <c r="C110" s="11">
        <v>200</v>
      </c>
      <c r="D110" s="10">
        <v>250</v>
      </c>
      <c r="E110" s="11">
        <v>3</v>
      </c>
      <c r="F110" s="11">
        <v>10</v>
      </c>
      <c r="G110" s="11">
        <v>0</v>
      </c>
      <c r="H110" s="14">
        <f t="shared" si="10"/>
        <v>534</v>
      </c>
      <c r="I110" s="1"/>
      <c r="J110" s="133"/>
      <c r="K110" s="133"/>
      <c r="R110" s="4"/>
      <c r="S110" s="1"/>
    </row>
    <row r="111" spans="1:19" x14ac:dyDescent="0.25">
      <c r="A111" s="7" t="s">
        <v>121</v>
      </c>
      <c r="B111" s="11">
        <v>35</v>
      </c>
      <c r="C111" s="11">
        <v>59</v>
      </c>
      <c r="D111" s="11">
        <v>90</v>
      </c>
      <c r="E111" s="11">
        <v>0</v>
      </c>
      <c r="F111" s="11">
        <v>2</v>
      </c>
      <c r="G111" s="11">
        <v>0</v>
      </c>
      <c r="H111" s="14">
        <f t="shared" si="10"/>
        <v>186</v>
      </c>
      <c r="I111" s="1"/>
      <c r="R111" s="4"/>
      <c r="S111" s="1"/>
    </row>
    <row r="112" spans="1:19" x14ac:dyDescent="0.25">
      <c r="A112" s="7" t="s">
        <v>120</v>
      </c>
      <c r="B112" s="11">
        <v>31</v>
      </c>
      <c r="C112" s="11">
        <v>39</v>
      </c>
      <c r="D112" s="11">
        <v>70</v>
      </c>
      <c r="E112" s="11">
        <v>0</v>
      </c>
      <c r="F112" s="11">
        <v>2</v>
      </c>
      <c r="G112" s="11">
        <v>0</v>
      </c>
      <c r="H112" s="14">
        <f t="shared" si="10"/>
        <v>142</v>
      </c>
      <c r="I112" s="1"/>
      <c r="R112" s="4"/>
      <c r="S112" s="1"/>
    </row>
    <row r="113" spans="1:19" x14ac:dyDescent="0.25">
      <c r="A113" s="7" t="s">
        <v>124</v>
      </c>
      <c r="B113" s="11">
        <v>15</v>
      </c>
      <c r="C113" s="11">
        <v>0</v>
      </c>
      <c r="D113" s="11">
        <v>14</v>
      </c>
      <c r="E113" s="11">
        <v>0</v>
      </c>
      <c r="F113" s="11">
        <v>0</v>
      </c>
      <c r="G113" s="11">
        <v>0</v>
      </c>
      <c r="H113" s="14">
        <f t="shared" si="10"/>
        <v>29</v>
      </c>
      <c r="I113" s="1"/>
      <c r="R113" s="4"/>
      <c r="S113" s="1"/>
    </row>
    <row r="114" spans="1:19" x14ac:dyDescent="0.25">
      <c r="A114" s="7" t="s">
        <v>48</v>
      </c>
      <c r="B114" s="11">
        <v>0</v>
      </c>
      <c r="C114" s="11">
        <v>13</v>
      </c>
      <c r="D114" s="11">
        <v>6</v>
      </c>
      <c r="E114" s="11">
        <v>0</v>
      </c>
      <c r="F114" s="11">
        <v>0</v>
      </c>
      <c r="G114" s="11">
        <v>0</v>
      </c>
      <c r="H114" s="14">
        <f>SUM(B114:G114)</f>
        <v>19</v>
      </c>
      <c r="I114" s="1"/>
      <c r="R114" s="4"/>
      <c r="S114" s="1"/>
    </row>
    <row r="115" spans="1:19" x14ac:dyDescent="0.25">
      <c r="A115" s="162" t="s">
        <v>110</v>
      </c>
      <c r="B115" s="163"/>
      <c r="C115" s="163"/>
      <c r="D115" s="163"/>
      <c r="E115" s="163"/>
      <c r="F115" s="163"/>
      <c r="G115" s="163"/>
      <c r="H115" s="142"/>
      <c r="I115" s="1"/>
      <c r="R115" s="4"/>
      <c r="S115" s="1"/>
    </row>
    <row r="116" spans="1:19" x14ac:dyDescent="0.25">
      <c r="A116" s="8" t="s">
        <v>111</v>
      </c>
      <c r="B116" s="20">
        <v>0</v>
      </c>
      <c r="C116" s="31">
        <v>0</v>
      </c>
      <c r="D116" s="20">
        <v>0</v>
      </c>
      <c r="E116" s="31">
        <v>0</v>
      </c>
      <c r="F116" s="20">
        <v>0</v>
      </c>
      <c r="G116" s="31">
        <v>0</v>
      </c>
      <c r="H116" s="26">
        <f t="shared" ref="H116:H149" si="14">SUM(B116:G116)</f>
        <v>0</v>
      </c>
      <c r="I116" s="1"/>
      <c r="R116" s="4"/>
      <c r="S116" s="1"/>
    </row>
    <row r="117" spans="1:19" x14ac:dyDescent="0.25">
      <c r="A117" s="7" t="s">
        <v>158</v>
      </c>
      <c r="B117" s="10">
        <v>6</v>
      </c>
      <c r="C117" s="11">
        <v>2</v>
      </c>
      <c r="D117" s="10">
        <v>12</v>
      </c>
      <c r="E117" s="11">
        <v>1</v>
      </c>
      <c r="F117" s="10">
        <v>0</v>
      </c>
      <c r="G117" s="11">
        <v>0</v>
      </c>
      <c r="H117" s="26">
        <f t="shared" si="14"/>
        <v>21</v>
      </c>
      <c r="I117" s="1"/>
      <c r="R117" s="4"/>
      <c r="S117" s="1"/>
    </row>
    <row r="118" spans="1:19" x14ac:dyDescent="0.25">
      <c r="A118" s="7" t="s">
        <v>156</v>
      </c>
      <c r="B118" s="10">
        <v>22</v>
      </c>
      <c r="C118" s="11">
        <v>0</v>
      </c>
      <c r="D118" s="10">
        <v>57</v>
      </c>
      <c r="E118" s="11">
        <v>1</v>
      </c>
      <c r="F118" s="10">
        <v>0</v>
      </c>
      <c r="G118" s="11">
        <v>0</v>
      </c>
      <c r="H118" s="26">
        <f t="shared" si="14"/>
        <v>80</v>
      </c>
      <c r="I118" s="1"/>
      <c r="R118" s="4"/>
      <c r="S118" s="1"/>
    </row>
    <row r="119" spans="1:19" x14ac:dyDescent="0.25">
      <c r="A119" s="7" t="s">
        <v>187</v>
      </c>
      <c r="B119" s="10">
        <v>0</v>
      </c>
      <c r="C119" s="11">
        <v>0</v>
      </c>
      <c r="D119" s="10">
        <v>0</v>
      </c>
      <c r="E119" s="11">
        <v>0</v>
      </c>
      <c r="F119" s="10">
        <v>0</v>
      </c>
      <c r="G119" s="11">
        <v>0</v>
      </c>
      <c r="H119" s="26">
        <f t="shared" si="14"/>
        <v>0</v>
      </c>
      <c r="I119" s="1"/>
      <c r="R119" s="4"/>
      <c r="S119" s="1"/>
    </row>
    <row r="120" spans="1:19" x14ac:dyDescent="0.25">
      <c r="A120" s="7" t="s">
        <v>157</v>
      </c>
      <c r="B120" s="10">
        <v>28</v>
      </c>
      <c r="C120" s="11">
        <v>0</v>
      </c>
      <c r="D120" s="10">
        <v>81</v>
      </c>
      <c r="E120" s="11">
        <v>1</v>
      </c>
      <c r="F120" s="10">
        <v>0</v>
      </c>
      <c r="G120" s="11">
        <v>0</v>
      </c>
      <c r="H120" s="26">
        <f t="shared" si="14"/>
        <v>110</v>
      </c>
      <c r="I120" s="1"/>
      <c r="R120" s="4"/>
      <c r="S120" s="1"/>
    </row>
    <row r="121" spans="1:19" x14ac:dyDescent="0.25">
      <c r="A121" s="7" t="s">
        <v>125</v>
      </c>
      <c r="B121" s="10">
        <v>2</v>
      </c>
      <c r="C121" s="11">
        <v>0</v>
      </c>
      <c r="D121" s="10">
        <v>8</v>
      </c>
      <c r="E121" s="11">
        <v>0</v>
      </c>
      <c r="F121" s="10">
        <v>0</v>
      </c>
      <c r="G121" s="11">
        <v>0</v>
      </c>
      <c r="H121" s="26">
        <f t="shared" si="14"/>
        <v>10</v>
      </c>
      <c r="I121" s="1"/>
      <c r="R121" s="4"/>
      <c r="S121" s="1"/>
    </row>
    <row r="122" spans="1:19" x14ac:dyDescent="0.25">
      <c r="A122" s="7" t="s">
        <v>126</v>
      </c>
      <c r="B122" s="10">
        <v>31</v>
      </c>
      <c r="C122" s="11">
        <v>0</v>
      </c>
      <c r="D122" s="10">
        <v>16</v>
      </c>
      <c r="E122" s="11">
        <v>0</v>
      </c>
      <c r="F122" s="10">
        <v>0</v>
      </c>
      <c r="G122" s="11">
        <v>0</v>
      </c>
      <c r="H122" s="26">
        <f t="shared" si="14"/>
        <v>47</v>
      </c>
      <c r="I122" s="1"/>
      <c r="R122" s="4"/>
      <c r="S122" s="1"/>
    </row>
    <row r="123" spans="1:19" x14ac:dyDescent="0.25">
      <c r="A123" s="7" t="s">
        <v>103</v>
      </c>
      <c r="B123" s="10">
        <v>14</v>
      </c>
      <c r="C123" s="11">
        <v>0</v>
      </c>
      <c r="D123" s="10">
        <v>38</v>
      </c>
      <c r="E123" s="11">
        <v>1</v>
      </c>
      <c r="F123" s="10">
        <v>1</v>
      </c>
      <c r="G123" s="11">
        <v>0</v>
      </c>
      <c r="H123" s="26">
        <f t="shared" si="14"/>
        <v>54</v>
      </c>
      <c r="I123" s="1"/>
      <c r="R123" s="4"/>
      <c r="S123" s="1"/>
    </row>
    <row r="124" spans="1:19" x14ac:dyDescent="0.25">
      <c r="A124" s="7" t="s">
        <v>127</v>
      </c>
      <c r="B124" s="10">
        <v>0</v>
      </c>
      <c r="C124" s="11">
        <v>0</v>
      </c>
      <c r="D124" s="10">
        <v>0</v>
      </c>
      <c r="E124" s="11">
        <v>0</v>
      </c>
      <c r="F124" s="10">
        <v>0</v>
      </c>
      <c r="G124" s="11">
        <v>0</v>
      </c>
      <c r="H124" s="26">
        <f t="shared" si="14"/>
        <v>0</v>
      </c>
      <c r="I124" s="1"/>
      <c r="R124" s="4"/>
      <c r="S124" s="1"/>
    </row>
    <row r="125" spans="1:19" x14ac:dyDescent="0.25">
      <c r="A125" s="7" t="s">
        <v>128</v>
      </c>
      <c r="B125" s="10">
        <v>26</v>
      </c>
      <c r="C125" s="11">
        <v>0</v>
      </c>
      <c r="D125" s="10">
        <v>19</v>
      </c>
      <c r="E125" s="11">
        <v>0</v>
      </c>
      <c r="F125" s="10">
        <v>0</v>
      </c>
      <c r="G125" s="11">
        <v>0</v>
      </c>
      <c r="H125" s="26">
        <f t="shared" si="14"/>
        <v>45</v>
      </c>
      <c r="I125" s="1"/>
      <c r="R125" s="4"/>
      <c r="S125" s="1"/>
    </row>
    <row r="126" spans="1:19" x14ac:dyDescent="0.25">
      <c r="A126" s="7" t="s">
        <v>129</v>
      </c>
      <c r="B126" s="10">
        <v>19</v>
      </c>
      <c r="C126" s="11">
        <v>0</v>
      </c>
      <c r="D126" s="10">
        <v>8</v>
      </c>
      <c r="E126" s="11">
        <v>0</v>
      </c>
      <c r="F126" s="10">
        <v>0</v>
      </c>
      <c r="G126" s="11">
        <v>0</v>
      </c>
      <c r="H126" s="26">
        <f t="shared" si="14"/>
        <v>27</v>
      </c>
      <c r="I126" s="1"/>
      <c r="R126" s="4"/>
      <c r="S126" s="1"/>
    </row>
    <row r="127" spans="1:19" x14ac:dyDescent="0.25">
      <c r="A127" s="7" t="s">
        <v>44</v>
      </c>
      <c r="B127" s="10">
        <v>8</v>
      </c>
      <c r="C127" s="11">
        <v>0</v>
      </c>
      <c r="D127" s="10">
        <v>16</v>
      </c>
      <c r="E127" s="11">
        <v>0</v>
      </c>
      <c r="F127" s="10">
        <v>0</v>
      </c>
      <c r="G127" s="11">
        <v>0</v>
      </c>
      <c r="H127" s="26">
        <f t="shared" si="14"/>
        <v>24</v>
      </c>
      <c r="I127" s="1"/>
      <c r="R127" s="4"/>
      <c r="S127" s="1"/>
    </row>
    <row r="128" spans="1:19" x14ac:dyDescent="0.25">
      <c r="A128" s="7" t="s">
        <v>92</v>
      </c>
      <c r="B128" s="10">
        <v>4</v>
      </c>
      <c r="C128" s="11">
        <v>0</v>
      </c>
      <c r="D128" s="10">
        <v>1</v>
      </c>
      <c r="E128" s="11">
        <v>0</v>
      </c>
      <c r="F128" s="10">
        <v>0</v>
      </c>
      <c r="G128" s="11">
        <v>0</v>
      </c>
      <c r="H128" s="26">
        <f t="shared" si="14"/>
        <v>5</v>
      </c>
      <c r="I128" s="1"/>
      <c r="R128" s="4"/>
      <c r="S128" s="1"/>
    </row>
    <row r="129" spans="1:19" x14ac:dyDescent="0.25">
      <c r="A129" s="7" t="s">
        <v>45</v>
      </c>
      <c r="B129" s="10">
        <v>12</v>
      </c>
      <c r="C129" s="11">
        <v>5</v>
      </c>
      <c r="D129" s="10">
        <v>0</v>
      </c>
      <c r="E129" s="11">
        <v>0</v>
      </c>
      <c r="F129" s="10">
        <v>0</v>
      </c>
      <c r="G129" s="11">
        <v>0</v>
      </c>
      <c r="H129" s="26">
        <f t="shared" si="14"/>
        <v>17</v>
      </c>
      <c r="I129" s="1"/>
      <c r="R129" s="4"/>
      <c r="S129" s="1"/>
    </row>
    <row r="130" spans="1:19" x14ac:dyDescent="0.25">
      <c r="A130" s="7" t="s">
        <v>99</v>
      </c>
      <c r="B130" s="10">
        <v>0</v>
      </c>
      <c r="C130" s="11">
        <v>0</v>
      </c>
      <c r="D130" s="10">
        <v>0</v>
      </c>
      <c r="E130" s="11">
        <v>0</v>
      </c>
      <c r="F130" s="10">
        <v>0</v>
      </c>
      <c r="G130" s="11">
        <v>0</v>
      </c>
      <c r="H130" s="26">
        <f t="shared" si="14"/>
        <v>0</v>
      </c>
      <c r="I130" s="1"/>
      <c r="R130" s="4"/>
      <c r="S130" s="1"/>
    </row>
    <row r="131" spans="1:19" ht="15.75" customHeight="1" x14ac:dyDescent="0.25">
      <c r="A131" s="7" t="s">
        <v>100</v>
      </c>
      <c r="B131" s="10">
        <v>8</v>
      </c>
      <c r="C131" s="11">
        <v>0</v>
      </c>
      <c r="D131" s="10">
        <v>14</v>
      </c>
      <c r="E131" s="11">
        <v>0</v>
      </c>
      <c r="F131" s="10">
        <v>1</v>
      </c>
      <c r="G131" s="11">
        <v>0</v>
      </c>
      <c r="H131" s="26">
        <f t="shared" si="14"/>
        <v>23</v>
      </c>
      <c r="I131" s="1"/>
      <c r="R131" s="4"/>
      <c r="S131" s="1"/>
    </row>
    <row r="132" spans="1:19" x14ac:dyDescent="0.25">
      <c r="A132" s="7" t="s">
        <v>46</v>
      </c>
      <c r="B132" s="10">
        <v>5</v>
      </c>
      <c r="C132" s="11">
        <v>1</v>
      </c>
      <c r="D132" s="10">
        <v>9</v>
      </c>
      <c r="E132" s="11">
        <v>0</v>
      </c>
      <c r="F132" s="10">
        <v>0</v>
      </c>
      <c r="G132" s="11">
        <v>0</v>
      </c>
      <c r="H132" s="26">
        <f t="shared" si="14"/>
        <v>15</v>
      </c>
      <c r="I132" s="1"/>
      <c r="R132" s="4"/>
      <c r="S132" s="1"/>
    </row>
    <row r="133" spans="1:19" x14ac:dyDescent="0.25">
      <c r="A133" s="7" t="s">
        <v>47</v>
      </c>
      <c r="B133" s="10">
        <v>0</v>
      </c>
      <c r="C133" s="11">
        <v>0</v>
      </c>
      <c r="D133" s="10">
        <v>1</v>
      </c>
      <c r="E133" s="11">
        <v>0</v>
      </c>
      <c r="F133" s="10">
        <v>0</v>
      </c>
      <c r="G133" s="11">
        <v>0</v>
      </c>
      <c r="H133" s="26">
        <f t="shared" si="14"/>
        <v>1</v>
      </c>
      <c r="I133" s="1"/>
      <c r="R133" s="4"/>
      <c r="S133" s="1"/>
    </row>
    <row r="134" spans="1:19" x14ac:dyDescent="0.25">
      <c r="A134" s="7" t="s">
        <v>53</v>
      </c>
      <c r="B134" s="10">
        <v>0</v>
      </c>
      <c r="C134" s="11">
        <v>0</v>
      </c>
      <c r="D134" s="10">
        <v>1</v>
      </c>
      <c r="E134" s="11">
        <v>0</v>
      </c>
      <c r="F134" s="10">
        <v>0</v>
      </c>
      <c r="G134" s="11">
        <v>0</v>
      </c>
      <c r="H134" s="26">
        <f t="shared" si="14"/>
        <v>1</v>
      </c>
      <c r="I134" s="1"/>
      <c r="R134" s="4"/>
      <c r="S134" s="1"/>
    </row>
    <row r="135" spans="1:19" x14ac:dyDescent="0.25">
      <c r="A135" s="7" t="s">
        <v>134</v>
      </c>
      <c r="B135" s="10">
        <v>10</v>
      </c>
      <c r="C135" s="11">
        <v>0</v>
      </c>
      <c r="D135" s="10">
        <v>12</v>
      </c>
      <c r="E135" s="11">
        <v>0</v>
      </c>
      <c r="F135" s="10">
        <v>1</v>
      </c>
      <c r="G135" s="11">
        <v>0</v>
      </c>
      <c r="H135" s="26">
        <f t="shared" si="14"/>
        <v>23</v>
      </c>
      <c r="I135" s="1"/>
      <c r="R135" s="4"/>
      <c r="S135" s="1"/>
    </row>
    <row r="136" spans="1:19" x14ac:dyDescent="0.25">
      <c r="A136" s="7" t="s">
        <v>135</v>
      </c>
      <c r="B136" s="10">
        <v>12</v>
      </c>
      <c r="C136" s="11">
        <v>0</v>
      </c>
      <c r="D136" s="10">
        <v>16</v>
      </c>
      <c r="E136" s="11">
        <v>1</v>
      </c>
      <c r="F136" s="10">
        <v>4</v>
      </c>
      <c r="G136" s="11">
        <v>0</v>
      </c>
      <c r="H136" s="26">
        <f t="shared" si="14"/>
        <v>33</v>
      </c>
      <c r="I136" s="1"/>
      <c r="R136" s="4"/>
      <c r="S136" s="1"/>
    </row>
    <row r="137" spans="1:19" x14ac:dyDescent="0.25">
      <c r="A137" s="7" t="s">
        <v>49</v>
      </c>
      <c r="B137" s="10">
        <v>12</v>
      </c>
      <c r="C137" s="11">
        <v>0</v>
      </c>
      <c r="D137" s="10">
        <v>16</v>
      </c>
      <c r="E137" s="11">
        <v>1</v>
      </c>
      <c r="F137" s="10">
        <v>6</v>
      </c>
      <c r="G137" s="11">
        <v>0</v>
      </c>
      <c r="H137" s="33">
        <f t="shared" si="14"/>
        <v>35</v>
      </c>
      <c r="I137" s="1"/>
      <c r="R137" s="4"/>
      <c r="S137" s="1"/>
    </row>
    <row r="138" spans="1:19" x14ac:dyDescent="0.25">
      <c r="A138" s="7" t="s">
        <v>189</v>
      </c>
      <c r="B138" s="10">
        <v>18</v>
      </c>
      <c r="C138" s="11">
        <v>0</v>
      </c>
      <c r="D138" s="10">
        <v>9</v>
      </c>
      <c r="E138" s="11">
        <v>0</v>
      </c>
      <c r="F138" s="10">
        <v>0</v>
      </c>
      <c r="G138" s="11">
        <v>0</v>
      </c>
      <c r="H138" s="33">
        <f t="shared" si="14"/>
        <v>27</v>
      </c>
      <c r="I138" s="1"/>
      <c r="R138" s="4"/>
      <c r="S138" s="1"/>
    </row>
    <row r="139" spans="1:19" x14ac:dyDescent="0.25">
      <c r="A139" s="7" t="s">
        <v>50</v>
      </c>
      <c r="B139" s="10">
        <v>6</v>
      </c>
      <c r="C139" s="11">
        <v>49</v>
      </c>
      <c r="D139" s="10">
        <v>0</v>
      </c>
      <c r="E139" s="11">
        <v>0</v>
      </c>
      <c r="F139" s="10">
        <v>0</v>
      </c>
      <c r="G139" s="11">
        <v>0</v>
      </c>
      <c r="H139" s="26">
        <f t="shared" si="14"/>
        <v>55</v>
      </c>
      <c r="I139" s="1"/>
      <c r="R139" s="4"/>
      <c r="S139" s="1"/>
    </row>
    <row r="140" spans="1:19" x14ac:dyDescent="0.25">
      <c r="A140" s="7" t="s">
        <v>104</v>
      </c>
      <c r="B140" s="10">
        <v>15</v>
      </c>
      <c r="C140" s="11">
        <v>1</v>
      </c>
      <c r="D140" s="10">
        <v>4</v>
      </c>
      <c r="E140" s="11">
        <v>0</v>
      </c>
      <c r="F140" s="10">
        <v>0</v>
      </c>
      <c r="G140" s="11">
        <v>0</v>
      </c>
      <c r="H140" s="26">
        <f t="shared" si="14"/>
        <v>20</v>
      </c>
      <c r="I140" s="1"/>
      <c r="R140" s="6"/>
      <c r="S140" s="1"/>
    </row>
    <row r="141" spans="1:19" x14ac:dyDescent="0.25">
      <c r="A141" s="7" t="s">
        <v>51</v>
      </c>
      <c r="B141" s="10">
        <v>17</v>
      </c>
      <c r="C141" s="11">
        <v>1</v>
      </c>
      <c r="D141" s="10">
        <v>8</v>
      </c>
      <c r="E141" s="11">
        <v>0</v>
      </c>
      <c r="F141" s="10">
        <v>0</v>
      </c>
      <c r="G141" s="11">
        <v>0</v>
      </c>
      <c r="H141" s="26">
        <f t="shared" si="14"/>
        <v>26</v>
      </c>
    </row>
    <row r="142" spans="1:19" x14ac:dyDescent="0.25">
      <c r="A142" s="7" t="s">
        <v>52</v>
      </c>
      <c r="B142" s="10">
        <v>17</v>
      </c>
      <c r="C142" s="11">
        <v>1</v>
      </c>
      <c r="D142" s="10">
        <v>6</v>
      </c>
      <c r="E142" s="11">
        <v>0</v>
      </c>
      <c r="F142" s="10">
        <v>0</v>
      </c>
      <c r="G142" s="11">
        <v>0</v>
      </c>
      <c r="H142" s="26">
        <f t="shared" si="14"/>
        <v>24</v>
      </c>
    </row>
    <row r="143" spans="1:19" x14ac:dyDescent="0.25">
      <c r="A143" s="7" t="s">
        <v>115</v>
      </c>
      <c r="B143" s="10">
        <v>10</v>
      </c>
      <c r="C143" s="11">
        <v>0</v>
      </c>
      <c r="D143" s="10">
        <v>3</v>
      </c>
      <c r="E143" s="11">
        <v>0</v>
      </c>
      <c r="F143" s="10">
        <v>0</v>
      </c>
      <c r="G143" s="11">
        <v>0</v>
      </c>
      <c r="H143" s="26">
        <f t="shared" si="14"/>
        <v>13</v>
      </c>
    </row>
    <row r="144" spans="1:19" x14ac:dyDescent="0.25">
      <c r="A144" s="7" t="s">
        <v>116</v>
      </c>
      <c r="B144" s="10">
        <v>8</v>
      </c>
      <c r="C144" s="11">
        <v>1</v>
      </c>
      <c r="D144" s="10">
        <v>4</v>
      </c>
      <c r="E144" s="11">
        <v>0</v>
      </c>
      <c r="F144" s="10">
        <v>0</v>
      </c>
      <c r="G144" s="11">
        <v>0</v>
      </c>
      <c r="H144" s="26">
        <f t="shared" si="14"/>
        <v>13</v>
      </c>
    </row>
    <row r="145" spans="1:13" x14ac:dyDescent="0.25">
      <c r="A145" s="7" t="s">
        <v>102</v>
      </c>
      <c r="B145" s="10">
        <v>11</v>
      </c>
      <c r="C145" s="11">
        <v>1</v>
      </c>
      <c r="D145" s="10">
        <v>8</v>
      </c>
      <c r="E145" s="11">
        <v>0</v>
      </c>
      <c r="F145" s="10">
        <v>0</v>
      </c>
      <c r="G145" s="11">
        <v>0</v>
      </c>
      <c r="H145" s="26">
        <f t="shared" si="14"/>
        <v>20</v>
      </c>
    </row>
    <row r="146" spans="1:13" x14ac:dyDescent="0.25">
      <c r="A146" s="7" t="s">
        <v>203</v>
      </c>
      <c r="B146" s="10">
        <v>5</v>
      </c>
      <c r="C146" s="11">
        <v>0</v>
      </c>
      <c r="D146" s="10">
        <v>18</v>
      </c>
      <c r="E146" s="11">
        <v>0</v>
      </c>
      <c r="F146" s="10">
        <v>0</v>
      </c>
      <c r="G146" s="11">
        <v>0</v>
      </c>
      <c r="H146" s="26">
        <f t="shared" si="14"/>
        <v>23</v>
      </c>
    </row>
    <row r="147" spans="1:13" x14ac:dyDescent="0.25">
      <c r="A147" s="7" t="s">
        <v>197</v>
      </c>
      <c r="B147" s="10">
        <v>5</v>
      </c>
      <c r="C147" s="11">
        <v>0</v>
      </c>
      <c r="D147" s="10">
        <v>0</v>
      </c>
      <c r="E147" s="11">
        <v>0</v>
      </c>
      <c r="F147" s="10">
        <v>0</v>
      </c>
      <c r="G147" s="11">
        <v>0</v>
      </c>
      <c r="H147" s="26">
        <f t="shared" si="14"/>
        <v>5</v>
      </c>
    </row>
    <row r="148" spans="1:13" x14ac:dyDescent="0.25">
      <c r="A148" s="7" t="s">
        <v>217</v>
      </c>
      <c r="B148" s="10">
        <v>0</v>
      </c>
      <c r="C148" s="11">
        <v>0</v>
      </c>
      <c r="D148" s="10">
        <v>1</v>
      </c>
      <c r="E148" s="11">
        <v>0</v>
      </c>
      <c r="F148" s="10">
        <v>0</v>
      </c>
      <c r="G148" s="11">
        <v>0</v>
      </c>
      <c r="H148" s="26">
        <f t="shared" si="14"/>
        <v>1</v>
      </c>
    </row>
    <row r="149" spans="1:13" x14ac:dyDescent="0.25">
      <c r="A149" s="7" t="s">
        <v>198</v>
      </c>
      <c r="B149" s="10">
        <v>2</v>
      </c>
      <c r="C149" s="11">
        <v>0</v>
      </c>
      <c r="D149" s="10">
        <v>1</v>
      </c>
      <c r="E149" s="11">
        <v>0</v>
      </c>
      <c r="F149" s="10">
        <v>0</v>
      </c>
      <c r="G149" s="11">
        <v>0</v>
      </c>
      <c r="H149" s="26">
        <f t="shared" si="14"/>
        <v>3</v>
      </c>
    </row>
    <row r="150" spans="1:13" x14ac:dyDescent="0.25">
      <c r="A150" s="7" t="s">
        <v>199</v>
      </c>
      <c r="B150" s="10">
        <v>2</v>
      </c>
      <c r="C150" s="11">
        <v>0</v>
      </c>
      <c r="D150" s="10">
        <v>1</v>
      </c>
      <c r="E150" s="11">
        <v>0</v>
      </c>
      <c r="F150" s="10">
        <v>0</v>
      </c>
      <c r="G150" s="11">
        <v>0</v>
      </c>
      <c r="H150" s="26">
        <f>SUM(B150:G150)</f>
        <v>3</v>
      </c>
    </row>
    <row r="151" spans="1:13" x14ac:dyDescent="0.25">
      <c r="A151" s="7" t="s">
        <v>200</v>
      </c>
      <c r="B151" s="10">
        <v>0</v>
      </c>
      <c r="C151" s="11">
        <v>0</v>
      </c>
      <c r="D151" s="10">
        <v>0</v>
      </c>
      <c r="E151" s="11">
        <v>0</v>
      </c>
      <c r="F151" s="10">
        <v>0</v>
      </c>
      <c r="G151" s="11">
        <v>0</v>
      </c>
      <c r="H151" s="26">
        <f>SUM(B151:G151)</f>
        <v>0</v>
      </c>
    </row>
    <row r="152" spans="1:13" x14ac:dyDescent="0.25">
      <c r="A152" s="7" t="s">
        <v>223</v>
      </c>
      <c r="B152" s="10">
        <v>0</v>
      </c>
      <c r="C152" s="11">
        <v>0</v>
      </c>
      <c r="D152" s="10">
        <v>0</v>
      </c>
      <c r="E152" s="11">
        <v>0</v>
      </c>
      <c r="F152" s="10">
        <v>0</v>
      </c>
      <c r="G152" s="11">
        <v>0</v>
      </c>
      <c r="H152" s="26">
        <f>SUM(B152:G152)</f>
        <v>0</v>
      </c>
    </row>
    <row r="153" spans="1:13" x14ac:dyDescent="0.25">
      <c r="A153" s="7" t="s">
        <v>105</v>
      </c>
      <c r="B153" s="10">
        <v>25</v>
      </c>
      <c r="C153" s="11">
        <v>0</v>
      </c>
      <c r="D153" s="10">
        <v>0</v>
      </c>
      <c r="E153" s="11">
        <v>1</v>
      </c>
      <c r="F153" s="10">
        <v>0</v>
      </c>
      <c r="G153" s="11">
        <v>0</v>
      </c>
      <c r="H153" s="26">
        <f>SUM(B153:G153)</f>
        <v>26</v>
      </c>
    </row>
    <row r="154" spans="1:13" x14ac:dyDescent="0.25">
      <c r="A154" s="7" t="s">
        <v>206</v>
      </c>
      <c r="B154" s="10">
        <v>2</v>
      </c>
      <c r="C154" s="11">
        <v>0</v>
      </c>
      <c r="D154" s="10">
        <v>0</v>
      </c>
      <c r="E154" s="11">
        <v>0</v>
      </c>
      <c r="F154" s="10">
        <v>0</v>
      </c>
      <c r="G154" s="11">
        <v>0</v>
      </c>
      <c r="H154" s="26">
        <f t="shared" ref="H154:H155" si="15">SUM(B154:G154)</f>
        <v>2</v>
      </c>
    </row>
    <row r="155" spans="1:13" x14ac:dyDescent="0.25">
      <c r="A155" s="107" t="s">
        <v>207</v>
      </c>
      <c r="B155" s="21">
        <v>0</v>
      </c>
      <c r="C155" s="19">
        <v>0</v>
      </c>
      <c r="D155" s="21">
        <v>0</v>
      </c>
      <c r="E155" s="19">
        <v>0</v>
      </c>
      <c r="F155" s="21">
        <v>0</v>
      </c>
      <c r="G155" s="19">
        <v>0</v>
      </c>
      <c r="H155" s="26">
        <f t="shared" si="15"/>
        <v>0</v>
      </c>
    </row>
    <row r="159" spans="1:13" x14ac:dyDescent="0.25">
      <c r="J159" s="133"/>
      <c r="K159" s="133"/>
      <c r="L159" s="133"/>
      <c r="M159" s="133"/>
    </row>
    <row r="160" spans="1:13" x14ac:dyDescent="0.25">
      <c r="J160" s="133"/>
    </row>
    <row r="167" spans="10:17" x14ac:dyDescent="0.25">
      <c r="P167" s="5"/>
      <c r="Q167" s="5"/>
    </row>
    <row r="169" spans="10:17" x14ac:dyDescent="0.25">
      <c r="J169" s="5"/>
      <c r="K169" s="5"/>
      <c r="L169" s="5"/>
      <c r="M169" s="5"/>
      <c r="N169" s="1"/>
      <c r="O169" s="1"/>
    </row>
  </sheetData>
  <mergeCells count="30">
    <mergeCell ref="K109:K110"/>
    <mergeCell ref="J52:Q52"/>
    <mergeCell ref="A3:R3"/>
    <mergeCell ref="B4:J4"/>
    <mergeCell ref="L4:R4"/>
    <mergeCell ref="A9:A10"/>
    <mergeCell ref="B9:H9"/>
    <mergeCell ref="J9:J10"/>
    <mergeCell ref="K9:Q9"/>
    <mergeCell ref="J26:J27"/>
    <mergeCell ref="K26:Q26"/>
    <mergeCell ref="J39:J40"/>
    <mergeCell ref="K39:Q39"/>
    <mergeCell ref="J50:M50"/>
    <mergeCell ref="A115:H115"/>
    <mergeCell ref="J159:J160"/>
    <mergeCell ref="K159:M159"/>
    <mergeCell ref="A108:H108"/>
    <mergeCell ref="J53:P53"/>
    <mergeCell ref="J54:P54"/>
    <mergeCell ref="J55:P55"/>
    <mergeCell ref="J56:P56"/>
    <mergeCell ref="J57:P57"/>
    <mergeCell ref="J58:P58"/>
    <mergeCell ref="J59:P59"/>
    <mergeCell ref="J60:P60"/>
    <mergeCell ref="J61:P61"/>
    <mergeCell ref="J62:P62"/>
    <mergeCell ref="K86:M86"/>
    <mergeCell ref="J109:J110"/>
  </mergeCells>
  <pageMargins left="1" right="1" top="1" bottom="1" header="0.5" footer="0.5"/>
  <pageSetup paperSize="9" scale="50" fitToHeight="0" orientation="landscape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067B-494E-42A9-BEB4-F1E66ED6867B}">
  <sheetPr>
    <pageSetUpPr fitToPage="1"/>
  </sheetPr>
  <dimension ref="A3:S170"/>
  <sheetViews>
    <sheetView tabSelected="1" zoomScale="90" zoomScaleNormal="90" workbookViewId="0">
      <selection activeCell="J21" sqref="J21"/>
    </sheetView>
  </sheetViews>
  <sheetFormatPr baseColWidth="10" defaultRowHeight="15" x14ac:dyDescent="0.25"/>
  <cols>
    <col min="1" max="1" width="49.85546875" customWidth="1"/>
    <col min="2" max="6" width="9.85546875" customWidth="1"/>
    <col min="7" max="7" width="13.5703125" customWidth="1"/>
    <col min="8" max="8" width="9.28515625" customWidth="1"/>
    <col min="9" max="9" width="9.42578125" customWidth="1"/>
    <col min="10" max="10" width="43.7109375" customWidth="1"/>
    <col min="11" max="15" width="9.28515625" customWidth="1"/>
    <col min="16" max="16" width="10.42578125" customWidth="1"/>
    <col min="17" max="17" width="10" customWidth="1"/>
    <col min="18" max="18" width="2.85546875" customWidth="1"/>
  </cols>
  <sheetData>
    <row r="3" spans="1:19" ht="26.25" x14ac:dyDescent="0.25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"/>
    </row>
    <row r="4" spans="1:19" ht="15.75" x14ac:dyDescent="0.25">
      <c r="A4" s="1" t="s">
        <v>12</v>
      </c>
      <c r="B4" s="155" t="s">
        <v>16</v>
      </c>
      <c r="C4" s="156"/>
      <c r="D4" s="156"/>
      <c r="E4" s="156"/>
      <c r="F4" s="156"/>
      <c r="G4" s="156"/>
      <c r="H4" s="156"/>
      <c r="I4" s="156"/>
      <c r="J4" s="157"/>
      <c r="K4" s="9" t="s">
        <v>14</v>
      </c>
      <c r="L4" s="147" t="s">
        <v>208</v>
      </c>
      <c r="M4" s="148"/>
      <c r="N4" s="148"/>
      <c r="O4" s="148"/>
      <c r="P4" s="148"/>
      <c r="Q4" s="148"/>
      <c r="R4" s="149"/>
      <c r="S4" s="1"/>
    </row>
    <row r="5" spans="1:19" x14ac:dyDescent="0.25">
      <c r="A5" s="1"/>
      <c r="B5" s="1"/>
      <c r="C5" s="1"/>
      <c r="D5" s="10"/>
      <c r="E5" s="1"/>
      <c r="F5" s="1"/>
      <c r="G5" s="1"/>
      <c r="H5" s="1"/>
      <c r="I5" s="1"/>
      <c r="J5" s="1"/>
      <c r="K5" s="9"/>
      <c r="L5" s="10"/>
      <c r="M5" s="10"/>
      <c r="N5" s="10"/>
      <c r="O5" s="10"/>
      <c r="P5" s="10"/>
      <c r="Q5" s="10"/>
      <c r="R5" s="10"/>
      <c r="S5" s="1"/>
    </row>
    <row r="6" spans="1:19" x14ac:dyDescent="0.25">
      <c r="A6" s="1" t="s">
        <v>204</v>
      </c>
      <c r="B6" s="30">
        <v>3</v>
      </c>
      <c r="C6" s="1"/>
      <c r="D6" s="10"/>
      <c r="E6" s="1"/>
      <c r="F6" s="1"/>
      <c r="G6" s="1"/>
      <c r="H6" s="1"/>
      <c r="I6" s="1"/>
      <c r="J6" s="1"/>
      <c r="K6" s="9" t="s">
        <v>13</v>
      </c>
      <c r="L6" s="30">
        <v>2025</v>
      </c>
      <c r="M6" s="1"/>
      <c r="N6" s="1"/>
      <c r="O6" s="1"/>
      <c r="P6" s="1"/>
      <c r="Q6" s="1"/>
      <c r="R6" s="1"/>
      <c r="S6" s="1"/>
    </row>
    <row r="7" spans="1:19" x14ac:dyDescent="0.25">
      <c r="A7" s="1"/>
      <c r="B7" s="1"/>
      <c r="C7" s="1"/>
      <c r="D7" s="10"/>
      <c r="E7" s="1"/>
      <c r="F7" s="1"/>
      <c r="G7" s="1"/>
      <c r="H7" s="1"/>
      <c r="I7" s="1"/>
      <c r="J7" s="1"/>
      <c r="K7" s="1"/>
      <c r="L7" s="44"/>
      <c r="M7" s="1"/>
      <c r="N7" s="1"/>
      <c r="O7" s="1"/>
      <c r="P7" s="1"/>
      <c r="Q7" s="1"/>
      <c r="R7" s="1"/>
      <c r="S7" s="1"/>
    </row>
    <row r="8" spans="1:19" ht="15.75" thickBot="1" x14ac:dyDescent="0.3">
      <c r="A8" s="2"/>
      <c r="B8" s="2"/>
      <c r="C8" s="2"/>
      <c r="D8" s="20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3"/>
      <c r="S8" s="1"/>
    </row>
    <row r="9" spans="1:19" x14ac:dyDescent="0.25">
      <c r="A9" s="150" t="s">
        <v>148</v>
      </c>
      <c r="B9" s="152" t="s">
        <v>11</v>
      </c>
      <c r="C9" s="152"/>
      <c r="D9" s="152"/>
      <c r="E9" s="152"/>
      <c r="F9" s="152"/>
      <c r="G9" s="152"/>
      <c r="H9" s="152"/>
      <c r="I9" s="1"/>
      <c r="J9" s="153" t="s">
        <v>149</v>
      </c>
      <c r="K9" s="136" t="s">
        <v>11</v>
      </c>
      <c r="L9" s="136"/>
      <c r="M9" s="136"/>
      <c r="N9" s="136"/>
      <c r="O9" s="136"/>
      <c r="P9" s="136"/>
      <c r="Q9" s="137"/>
      <c r="R9" s="4"/>
      <c r="S9" s="1"/>
    </row>
    <row r="10" spans="1:19" x14ac:dyDescent="0.25">
      <c r="A10" s="151"/>
      <c r="B10" s="30" t="s">
        <v>8</v>
      </c>
      <c r="C10" s="30" t="s">
        <v>9</v>
      </c>
      <c r="D10" s="30" t="s">
        <v>10</v>
      </c>
      <c r="E10" s="30" t="s">
        <v>154</v>
      </c>
      <c r="F10" s="30" t="s">
        <v>155</v>
      </c>
      <c r="G10" s="30" t="s">
        <v>147</v>
      </c>
      <c r="H10" s="30" t="s">
        <v>11</v>
      </c>
      <c r="I10" s="1"/>
      <c r="J10" s="154"/>
      <c r="K10" s="30" t="s">
        <v>8</v>
      </c>
      <c r="L10" s="30" t="s">
        <v>9</v>
      </c>
      <c r="M10" s="30" t="s">
        <v>10</v>
      </c>
      <c r="N10" s="30" t="s">
        <v>154</v>
      </c>
      <c r="O10" s="30" t="s">
        <v>155</v>
      </c>
      <c r="P10" s="30" t="s">
        <v>147</v>
      </c>
      <c r="Q10" s="54" t="s">
        <v>11</v>
      </c>
      <c r="R10" s="4"/>
      <c r="S10" s="1"/>
    </row>
    <row r="11" spans="1:19" x14ac:dyDescent="0.25">
      <c r="A11" s="15" t="s">
        <v>0</v>
      </c>
      <c r="B11" s="16">
        <f t="shared" ref="B11:G11" si="0">B12+B51+B69+B82+B95</f>
        <v>159237</v>
      </c>
      <c r="C11" s="16">
        <f t="shared" si="0"/>
        <v>218548</v>
      </c>
      <c r="D11" s="16">
        <f t="shared" si="0"/>
        <v>169246</v>
      </c>
      <c r="E11" s="16">
        <f t="shared" si="0"/>
        <v>9130</v>
      </c>
      <c r="F11" s="16">
        <f t="shared" si="0"/>
        <v>5122</v>
      </c>
      <c r="G11" s="16">
        <f t="shared" si="0"/>
        <v>514</v>
      </c>
      <c r="H11" s="12">
        <f>SUM(B11:G11)</f>
        <v>561797</v>
      </c>
      <c r="I11" s="1"/>
      <c r="J11" s="79" t="s">
        <v>85</v>
      </c>
      <c r="K11" s="74">
        <f t="shared" ref="K11:P11" si="1">SUM(K12:K23)</f>
        <v>9849</v>
      </c>
      <c r="L11" s="74">
        <f t="shared" si="1"/>
        <v>1</v>
      </c>
      <c r="M11" s="74">
        <f t="shared" si="1"/>
        <v>12799</v>
      </c>
      <c r="N11" s="74">
        <f t="shared" si="1"/>
        <v>63</v>
      </c>
      <c r="O11" s="74">
        <f t="shared" si="1"/>
        <v>35</v>
      </c>
      <c r="P11" s="74">
        <f t="shared" si="1"/>
        <v>42</v>
      </c>
      <c r="Q11" s="80">
        <f t="shared" ref="Q11:Q23" si="2">SUM(K11:P11)</f>
        <v>22789</v>
      </c>
      <c r="R11" s="4"/>
      <c r="S11" s="1"/>
    </row>
    <row r="12" spans="1:19" x14ac:dyDescent="0.25">
      <c r="A12" s="73" t="s">
        <v>1</v>
      </c>
      <c r="B12" s="74">
        <f t="shared" ref="B12:G12" si="3">SUM(B13:B50)</f>
        <v>101394</v>
      </c>
      <c r="C12" s="74">
        <f t="shared" si="3"/>
        <v>136971</v>
      </c>
      <c r="D12" s="74">
        <f t="shared" si="3"/>
        <v>99661</v>
      </c>
      <c r="E12" s="74">
        <f t="shared" si="3"/>
        <v>5702</v>
      </c>
      <c r="F12" s="74">
        <f t="shared" si="3"/>
        <v>3307</v>
      </c>
      <c r="G12" s="74">
        <f t="shared" si="3"/>
        <v>352</v>
      </c>
      <c r="H12" s="74">
        <f>SUM(B12:G12)</f>
        <v>347387</v>
      </c>
      <c r="I12" s="1"/>
      <c r="J12" s="55" t="s">
        <v>4</v>
      </c>
      <c r="K12" s="68">
        <f>SUM(ENERO!K12+FEBRERO!K12+MARZO!K12+ABRIL!K12+MAYO!K12+JUN!K12+JUL!K12+AGO!K12+SET!K12+OCT!K12+NOV!K12+DIC!K12)</f>
        <v>2</v>
      </c>
      <c r="L12" s="68">
        <f>SUM(ENERO!L12+FEBRERO!L12+MARZO!L12+ABRIL!L12+MAYO!L12+JUN!L12+JUL!L12+AGO!L12+SET!L12+OCT!L12+NOV!L12+DIC!L12)</f>
        <v>0</v>
      </c>
      <c r="M12" s="68">
        <f>SUM(ENERO!M12+FEBRERO!M12+MARZO!M12+ABRIL!M12+MAYO!M12+JUN!M12+JUL!M12+AGO!M12+SET!M12+OCT!M12+NOV!M12+DIC!M12)</f>
        <v>437</v>
      </c>
      <c r="N12" s="68">
        <f>SUM(ENERO!N12+FEBRERO!N12+MARZO!N12+ABRIL!N12+MAYO!N12+JUN!N12+JUL!N12+AGO!N12+SET!N12+OCT!N12+NOV!N12+DIC!N12)</f>
        <v>40</v>
      </c>
      <c r="O12" s="68">
        <f>SUM(ENERO!O12+FEBRERO!O12+MARZO!O12+ABRIL!O12+MAYO!O12+JUN!O12+JUL!O12+AGO!O12+SET!O12+OCT!O12+NOV!O12+DIC!O12)</f>
        <v>0</v>
      </c>
      <c r="P12" s="68">
        <f>SUM(ENERO!P12+FEBRERO!P12+MARZO!P12+ABRIL!P12+MAYO!P12+JUN!P12+JUL!P12+AGO!P12+SET!P12+OCT!P12+NOV!P12+DIC!P12)</f>
        <v>42</v>
      </c>
      <c r="Q12" s="40">
        <f t="shared" si="2"/>
        <v>521</v>
      </c>
      <c r="R12" s="4"/>
      <c r="S12" s="1"/>
    </row>
    <row r="13" spans="1:19" x14ac:dyDescent="0.25">
      <c r="A13" s="8" t="s">
        <v>17</v>
      </c>
      <c r="B13" s="17">
        <f>SUM(ENERO!B13+FEBRERO!B13+MARZO!B13+ABRIL!B13+MAYO!B13+JUN!B13+JUL!B13+AGO!B13+SET!B13+OCT!B13+NOV!B13+DIC!B13)</f>
        <v>334</v>
      </c>
      <c r="C13" s="17">
        <f>SUM(ENERO!C13+FEBRERO!C13+MARZO!C13+ABRIL!C13+MAYO!C13+JUN!C13+JUL!C13+AGO!C13+SET!C13+OCT!C13+NOV!C13+DIC!C13)</f>
        <v>38</v>
      </c>
      <c r="D13" s="17">
        <f>SUM(ENERO!D13+FEBRERO!D13+MARZO!D13+ABRIL!D13+MAYO!D13+JUN!D13+JUL!D13+AGO!D13+SET!D13+OCT!D13+NOV!D13+DIC!D13)</f>
        <v>822</v>
      </c>
      <c r="E13" s="17">
        <f>SUM(ENERO!E13+FEBRERO!E13+MARZO!E13+ABRIL!E13+MAYO!E13+JUN!E13+JUL!E13+AGO!E13+SET!E13+OCT!E13+NOV!E13+DIC!E13)</f>
        <v>33</v>
      </c>
      <c r="F13" s="17">
        <f>SUM(ENERO!F13+FEBRERO!F13+MARZO!F13+ABRIL!F13+MAYO!F13+JUN!F13+JUL!F13+AGO!F13+SET!F13+OCT!F13+NOV!F13+DIC!F13)</f>
        <v>45</v>
      </c>
      <c r="G13" s="17">
        <f>SUM(ENERO!G13+FEBRERO!G13+MARZO!G13+ABRIL!G13+MAYO!G13+JUN!G13+JUL!G13+AGO!G13+SET!G13+OCT!G13+NOV!G13+DIC!G13)</f>
        <v>9</v>
      </c>
      <c r="H13" s="12">
        <f>SUM(B13:G13)</f>
        <v>1281</v>
      </c>
      <c r="I13" s="1"/>
      <c r="J13" s="55" t="s">
        <v>81</v>
      </c>
      <c r="K13" s="68">
        <f>SUM(ENERO!K13+FEBRERO!K13+MARZO!K13+ABRIL!K13+MAYO!K13+JUN!K13+JUL!K13+AGO!K13+SET!K13+OCT!K13+NOV!K13+DIC!K13)</f>
        <v>4</v>
      </c>
      <c r="L13" s="68">
        <f>SUM(ENERO!L13+FEBRERO!L13+MARZO!L13+ABRIL!L13+MAYO!L13+JUN!L13+JUL!L13+AGO!L13+SET!L13+OCT!L13+NOV!L13+DIC!L13)</f>
        <v>0</v>
      </c>
      <c r="M13" s="68">
        <f>SUM(ENERO!M13+FEBRERO!M13+MARZO!M13+ABRIL!M13+MAYO!M13+JUN!M13+JUL!M13+AGO!M13+SET!M13+OCT!M13+NOV!M13+DIC!M13)</f>
        <v>64</v>
      </c>
      <c r="N13" s="68">
        <f>SUM(ENERO!N13+FEBRERO!N13+MARZO!N13+ABRIL!N13+MAYO!N13+JUN!N13+JUL!N13+AGO!N13+SET!N13+OCT!N13+NOV!N13+DIC!N13)</f>
        <v>0</v>
      </c>
      <c r="O13" s="68">
        <f>SUM(ENERO!O13+FEBRERO!O13+MARZO!O13+ABRIL!O13+MAYO!O13+JUN!O13+JUL!O13+AGO!O13+SET!O13+OCT!O13+NOV!O13+DIC!O13)</f>
        <v>0</v>
      </c>
      <c r="P13" s="68">
        <f>SUM(ENERO!P13+FEBRERO!P13+MARZO!P13+ABRIL!P13+MAYO!P13+JUN!P13+JUL!P13+AGO!P13+SET!P13+OCT!P13+NOV!P13+DIC!P13)</f>
        <v>0</v>
      </c>
      <c r="Q13" s="40">
        <f t="shared" si="2"/>
        <v>68</v>
      </c>
      <c r="R13" s="4"/>
      <c r="S13" s="1"/>
    </row>
    <row r="14" spans="1:19" x14ac:dyDescent="0.25">
      <c r="A14" s="7" t="s">
        <v>18</v>
      </c>
      <c r="B14" s="17">
        <f>SUM(ENERO!B14+FEBRERO!B14+MARZO!B14+ABRIL!B14+MAYO!B14+JUN!B14+JUL!B14+AGO!B14+SET!B14+OCT!B14+NOV!B14+DIC!B14)</f>
        <v>494</v>
      </c>
      <c r="C14" s="17">
        <f>SUM(ENERO!C14+FEBRERO!C14+MARZO!C14+ABRIL!C14+MAYO!C14+JUN!C14+JUL!C14+AGO!C14+SET!C14+OCT!C14+NOV!C14+DIC!C14)</f>
        <v>64</v>
      </c>
      <c r="D14" s="17">
        <f>SUM(ENERO!D14+FEBRERO!D14+MARZO!D14+ABRIL!D14+MAYO!D14+JUN!D14+JUL!D14+AGO!D14+SET!D14+OCT!D14+NOV!D14+DIC!D14)</f>
        <v>614</v>
      </c>
      <c r="E14" s="17">
        <f>SUM(ENERO!E14+FEBRERO!E14+MARZO!E14+ABRIL!E14+MAYO!E14+JUN!E14+JUL!E14+AGO!E14+SET!E14+OCT!E14+NOV!E14+DIC!E14)</f>
        <v>28</v>
      </c>
      <c r="F14" s="17">
        <f>SUM(ENERO!F14+FEBRERO!F14+MARZO!F14+ABRIL!F14+MAYO!F14+JUN!F14+JUL!F14+AGO!F14+SET!F14+OCT!F14+NOV!F14+DIC!F14)</f>
        <v>21</v>
      </c>
      <c r="G14" s="17">
        <f>SUM(ENERO!G14+FEBRERO!G14+MARZO!G14+ABRIL!G14+MAYO!G14+JUN!G14+JUL!G14+AGO!G14+SET!G14+OCT!G14+NOV!G14+DIC!G14)</f>
        <v>0</v>
      </c>
      <c r="H14" s="12">
        <f t="shared" ref="H14:H48" si="4">SUM(B14:G14)</f>
        <v>1221</v>
      </c>
      <c r="I14" s="1"/>
      <c r="J14" s="56" t="s">
        <v>5</v>
      </c>
      <c r="K14" s="68">
        <f>SUM(ENERO!K14+FEBRERO!K14+MARZO!K14+ABRIL!K14+MAYO!K14+JUN!K14+JUL!K14+AGO!K14+SET!K14+OCT!K14+NOV!K14+DIC!K14)</f>
        <v>137</v>
      </c>
      <c r="L14" s="68">
        <f>SUM(ENERO!L14+FEBRERO!L14+MARZO!L14+ABRIL!L14+MAYO!L14+JUN!L14+JUL!L14+AGO!L14+SET!L14+OCT!L14+NOV!L14+DIC!L14)</f>
        <v>0</v>
      </c>
      <c r="M14" s="68">
        <f>SUM(ENERO!M14+FEBRERO!M14+MARZO!M14+ABRIL!M14+MAYO!M14+JUN!M14+JUL!M14+AGO!M14+SET!M14+OCT!M14+NOV!M14+DIC!M14)</f>
        <v>775</v>
      </c>
      <c r="N14" s="68">
        <f>SUM(ENERO!N14+FEBRERO!N14+MARZO!N14+ABRIL!N14+MAYO!N14+JUN!N14+JUL!N14+AGO!N14+SET!N14+OCT!N14+NOV!N14+DIC!N14)</f>
        <v>19</v>
      </c>
      <c r="O14" s="68">
        <f>SUM(ENERO!O14+FEBRERO!O14+MARZO!O14+ABRIL!O14+MAYO!O14+JUN!O14+JUL!O14+AGO!O14+SET!O14+OCT!O14+NOV!O14+DIC!O14)</f>
        <v>30</v>
      </c>
      <c r="P14" s="68">
        <f>SUM(ENERO!P14+FEBRERO!P14+MARZO!P14+ABRIL!P14+MAYO!P14+JUN!P14+JUL!P14+AGO!P14+SET!P14+OCT!P14+NOV!P14+DIC!P14)</f>
        <v>0</v>
      </c>
      <c r="Q14" s="40">
        <f>SUM(K14:P14)</f>
        <v>961</v>
      </c>
      <c r="R14" s="4"/>
      <c r="S14" s="1"/>
    </row>
    <row r="15" spans="1:19" x14ac:dyDescent="0.25">
      <c r="A15" s="7" t="s">
        <v>19</v>
      </c>
      <c r="B15" s="17">
        <f>SUM(ENERO!B15+FEBRERO!B15+MARZO!B15+ABRIL!B15+MAYO!B15+JUN!B15+JUL!B15+AGO!B15+SET!B15+OCT!B15+NOV!B15+DIC!B15)</f>
        <v>508</v>
      </c>
      <c r="C15" s="17">
        <f>SUM(ENERO!C15+FEBRERO!C15+MARZO!C15+ABRIL!C15+MAYO!C15+JUN!C15+JUL!C15+AGO!C15+SET!C15+OCT!C15+NOV!C15+DIC!C15)</f>
        <v>1328</v>
      </c>
      <c r="D15" s="17">
        <f>SUM(ENERO!D15+FEBRERO!D15+MARZO!D15+ABRIL!D15+MAYO!D15+JUN!D15+JUL!D15+AGO!D15+SET!D15+OCT!D15+NOV!D15+DIC!D15)</f>
        <v>455</v>
      </c>
      <c r="E15" s="17">
        <f>SUM(ENERO!E15+FEBRERO!E15+MARZO!E15+ABRIL!E15+MAYO!E15+JUN!E15+JUL!E15+AGO!E15+SET!E15+OCT!E15+NOV!E15+DIC!E15)</f>
        <v>36</v>
      </c>
      <c r="F15" s="17">
        <f>SUM(ENERO!F15+FEBRERO!F15+MARZO!F15+ABRIL!F15+MAYO!F15+JUN!F15+JUL!F15+AGO!F15+SET!F15+OCT!F15+NOV!F15+DIC!F15)</f>
        <v>4</v>
      </c>
      <c r="G15" s="17">
        <f>SUM(ENERO!G15+FEBRERO!G15+MARZO!G15+ABRIL!G15+MAYO!G15+JUN!G15+JUL!G15+AGO!G15+SET!G15+OCT!G15+NOV!G15+DIC!G15)</f>
        <v>2</v>
      </c>
      <c r="H15" s="12">
        <f>SUM(B15:G15)</f>
        <v>2333</v>
      </c>
      <c r="I15" s="1"/>
      <c r="J15" s="56" t="s">
        <v>80</v>
      </c>
      <c r="K15" s="68">
        <f>SUM(ENERO!K15+FEBRERO!K15+MARZO!K15+ABRIL!K15+MAYO!K15+JUN!K15+JUL!K15+AGO!K15+SET!K15+OCT!K15+NOV!K15+DIC!K15)</f>
        <v>743</v>
      </c>
      <c r="L15" s="68">
        <f>SUM(ENERO!L15+FEBRERO!L15+MARZO!L15+ABRIL!L15+MAYO!L15+JUN!L15+JUL!L15+AGO!L15+SET!L15+OCT!L15+NOV!L15+DIC!L15)</f>
        <v>0</v>
      </c>
      <c r="M15" s="68">
        <f>SUM(ENERO!M15+FEBRERO!M15+MARZO!M15+ABRIL!M15+MAYO!M15+JUN!M15+JUL!M15+AGO!M15+SET!M15+OCT!M15+NOV!M15+DIC!M15)</f>
        <v>422</v>
      </c>
      <c r="N15" s="68">
        <f>SUM(ENERO!N15+FEBRERO!N15+MARZO!N15+ABRIL!N15+MAYO!N15+JUN!N15+JUL!N15+AGO!N15+SET!N15+OCT!N15+NOV!N15+DIC!N15)</f>
        <v>4</v>
      </c>
      <c r="O15" s="68">
        <f>SUM(ENERO!O15+FEBRERO!O15+MARZO!O15+ABRIL!O15+MAYO!O15+JUN!O15+JUL!O15+AGO!O15+SET!O15+OCT!O15+NOV!O15+DIC!O15)</f>
        <v>5</v>
      </c>
      <c r="P15" s="68">
        <f>SUM(ENERO!P15+FEBRERO!P15+MARZO!P15+ABRIL!P15+MAYO!P15+JUN!P15+JUL!P15+AGO!P15+SET!P15+OCT!P15+NOV!P15+DIC!P15)</f>
        <v>0</v>
      </c>
      <c r="Q15" s="40">
        <f t="shared" si="2"/>
        <v>1174</v>
      </c>
      <c r="R15" s="4"/>
      <c r="S15" s="1"/>
    </row>
    <row r="16" spans="1:19" x14ac:dyDescent="0.25">
      <c r="A16" s="7" t="s">
        <v>27</v>
      </c>
      <c r="B16" s="17">
        <f>SUM(ENERO!B16+FEBRERO!B16+MARZO!B16+ABRIL!B16+MAYO!B16+JUN!B16+JUL!B16+AGO!B16+SET!B16+OCT!B16+NOV!B16+DIC!B16)</f>
        <v>8850</v>
      </c>
      <c r="C16" s="17">
        <f>SUM(ENERO!C16+FEBRERO!C16+MARZO!C16+ABRIL!C16+MAYO!C16+JUN!C16+JUL!C16+AGO!C16+SET!C16+OCT!C16+NOV!C16+DIC!C16)</f>
        <v>18900</v>
      </c>
      <c r="D16" s="17">
        <f>SUM(ENERO!D16+FEBRERO!D16+MARZO!D16+ABRIL!D16+MAYO!D16+JUN!D16+JUL!D16+AGO!D16+SET!D16+OCT!D16+NOV!D16+DIC!D16)</f>
        <v>11117</v>
      </c>
      <c r="E16" s="17">
        <f>SUM(ENERO!E16+FEBRERO!E16+MARZO!E16+ABRIL!E16+MAYO!E16+JUN!E16+JUL!E16+AGO!E16+SET!E16+OCT!E16+NOV!E16+DIC!E16)</f>
        <v>813</v>
      </c>
      <c r="F16" s="17">
        <f>SUM(ENERO!F16+FEBRERO!F16+MARZO!F16+ABRIL!F16+MAYO!F16+JUN!F16+JUL!F16+AGO!F16+SET!F16+OCT!F16+NOV!F16+DIC!F16)</f>
        <v>384</v>
      </c>
      <c r="G16" s="17">
        <f>SUM(ENERO!G16+FEBRERO!G16+MARZO!G16+ABRIL!G16+MAYO!G16+JUN!G16+JUL!G16+AGO!G16+SET!G16+OCT!G16+NOV!G16+DIC!G16)</f>
        <v>54</v>
      </c>
      <c r="H16" s="12">
        <f t="shared" si="4"/>
        <v>40118</v>
      </c>
      <c r="I16" s="1"/>
      <c r="J16" s="57" t="s">
        <v>83</v>
      </c>
      <c r="K16" s="68">
        <f>SUM(ENERO!K16+FEBRERO!K16+MARZO!K16+ABRIL!K16+MAYO!K16+JUN!K16+JUL!K16+AGO!K16+SET!K16+OCT!K16+NOV!K16+DIC!K16)</f>
        <v>61</v>
      </c>
      <c r="L16" s="68">
        <f>SUM(ENERO!L16+FEBRERO!L16+MARZO!L16+ABRIL!L16+MAYO!L16+JUN!L16+JUL!L16+AGO!L16+SET!L16+OCT!L16+NOV!L16+DIC!L16)</f>
        <v>1</v>
      </c>
      <c r="M16" s="68">
        <f>SUM(ENERO!M16+FEBRERO!M16+MARZO!M16+ABRIL!M16+MAYO!M16+JUN!M16+JUL!M16+AGO!M16+SET!M16+OCT!M16+NOV!M16+DIC!M16)</f>
        <v>20</v>
      </c>
      <c r="N16" s="68">
        <f>SUM(ENERO!N16+FEBRERO!N16+MARZO!N16+ABRIL!N16+MAYO!N16+JUN!N16+JUL!N16+AGO!N16+SET!N16+OCT!N16+NOV!N16+DIC!N16)</f>
        <v>0</v>
      </c>
      <c r="O16" s="68">
        <f>SUM(ENERO!O16+FEBRERO!O16+MARZO!O16+ABRIL!O16+MAYO!O16+JUN!O16+JUL!O16+AGO!O16+SET!O16+OCT!O16+NOV!O16+DIC!O16)</f>
        <v>0</v>
      </c>
      <c r="P16" s="68">
        <f>SUM(ENERO!P16+FEBRERO!P16+MARZO!P16+ABRIL!P16+MAYO!P16+JUN!P16+JUL!P16+AGO!P16+SET!P16+OCT!P16+NOV!P16+DIC!P16)</f>
        <v>0</v>
      </c>
      <c r="Q16" s="40">
        <f t="shared" si="2"/>
        <v>82</v>
      </c>
      <c r="R16" s="4"/>
      <c r="S16" s="1"/>
    </row>
    <row r="17" spans="1:19" x14ac:dyDescent="0.25">
      <c r="A17" s="7" t="s">
        <v>186</v>
      </c>
      <c r="B17" s="17">
        <f>SUM(ENERO!B17+FEBRERO!B17+MARZO!B17+ABRIL!B17+MAYO!B17+JUN!B17+JUL!B17+AGO!B17+SET!B17+OCT!B17+NOV!B17+DIC!B17)</f>
        <v>0</v>
      </c>
      <c r="C17" s="17">
        <f>SUM(ENERO!C17+FEBRERO!C17+MARZO!C17+ABRIL!C17+MAYO!C17+JUN!C17+JUL!C17+AGO!C17+SET!C17+OCT!C17+NOV!C17+DIC!C17)</f>
        <v>0</v>
      </c>
      <c r="D17" s="17">
        <f>SUM(ENERO!D17+FEBRERO!D17+MARZO!D17+ABRIL!D17+MAYO!D17+JUN!D17+JUL!D17+AGO!D17+SET!D17+OCT!D17+NOV!D17+DIC!D17)</f>
        <v>128</v>
      </c>
      <c r="E17" s="17">
        <f>SUM(ENERO!E17+FEBRERO!E17+MARZO!E17+ABRIL!E17+MAYO!E17+JUN!E17+JUL!E17+AGO!E17+SET!E17+OCT!E17+NOV!E17+DIC!E17)</f>
        <v>3</v>
      </c>
      <c r="F17" s="17">
        <f>SUM(ENERO!F17+FEBRERO!F17+MARZO!F17+ABRIL!F17+MAYO!F17+JUN!F17+JUL!F17+AGO!F17+SET!F17+OCT!F17+NOV!F17+DIC!F17)</f>
        <v>8</v>
      </c>
      <c r="G17" s="17">
        <f>SUM(ENERO!G17+FEBRERO!G17+MARZO!G17+ABRIL!G17+MAYO!G17+JUN!G17+JUL!G17+AGO!G17+SET!G17+OCT!G17+NOV!G17+DIC!G17)</f>
        <v>0</v>
      </c>
      <c r="H17" s="12">
        <f t="shared" si="4"/>
        <v>139</v>
      </c>
      <c r="I17" s="1"/>
      <c r="J17" s="50" t="s">
        <v>162</v>
      </c>
      <c r="K17" s="68">
        <f>SUM(ENERO!K17+FEBRERO!K17+MARZO!K17+ABRIL!K17+MAYO!K17+JUN!K17+JUL!K17+AGO!K17+SET!K17+OCT!K17+NOV!K17+DIC!K17)</f>
        <v>2944</v>
      </c>
      <c r="L17" s="68">
        <f>SUM(ENERO!L17+FEBRERO!L17+MARZO!L17+ABRIL!L17+MAYO!L17+JUN!L17+JUL!L17+AGO!L17+SET!L17+OCT!L17+NOV!L17+DIC!L17)</f>
        <v>0</v>
      </c>
      <c r="M17" s="68">
        <f>SUM(ENERO!M17+FEBRERO!M17+MARZO!M17+ABRIL!M17+MAYO!M17+JUN!M17+JUL!M17+AGO!M17+SET!M17+OCT!M17+NOV!M17+DIC!M17)</f>
        <v>3645</v>
      </c>
      <c r="N17" s="68">
        <f>SUM(ENERO!N17+FEBRERO!N17+MARZO!N17+ABRIL!N17+MAYO!N17+JUN!N17+JUL!N17+AGO!N17+SET!N17+OCT!N17+NOV!N17+DIC!N17)</f>
        <v>0</v>
      </c>
      <c r="O17" s="68">
        <f>SUM(ENERO!O17+FEBRERO!O17+MARZO!O17+ABRIL!O17+MAYO!O17+JUN!O17+JUL!O17+AGO!O17+SET!O17+OCT!O17+NOV!O17+DIC!O17)</f>
        <v>0</v>
      </c>
      <c r="P17" s="68">
        <f>SUM(ENERO!P17+FEBRERO!P17+MARZO!P17+ABRIL!P17+MAYO!P17+JUN!P17+JUL!P17+AGO!P17+SET!P17+OCT!P17+NOV!P17+DIC!P17)</f>
        <v>0</v>
      </c>
      <c r="Q17" s="40">
        <f t="shared" si="2"/>
        <v>6589</v>
      </c>
      <c r="R17" s="4"/>
      <c r="S17" s="1"/>
    </row>
    <row r="18" spans="1:19" x14ac:dyDescent="0.25">
      <c r="A18" s="7" t="s">
        <v>188</v>
      </c>
      <c r="B18" s="17">
        <f>SUM(ENERO!B18+FEBRERO!B18+MARZO!B18+ABRIL!B18+MAYO!B18+JUN!B18+JUL!B18+AGO!B18+SET!B18+OCT!B18+NOV!B18+DIC!B18)</f>
        <v>244</v>
      </c>
      <c r="C18" s="17">
        <f>SUM(ENERO!C18+FEBRERO!C18+MARZO!C18+ABRIL!C18+MAYO!C18+JUN!C18+JUL!C18+AGO!C18+SET!C18+OCT!C18+NOV!C18+DIC!C18)</f>
        <v>9</v>
      </c>
      <c r="D18" s="17">
        <f>SUM(ENERO!D18+FEBRERO!D18+MARZO!D18+ABRIL!D18+MAYO!D18+JUN!D18+JUL!D18+AGO!D18+SET!D18+OCT!D18+NOV!D18+DIC!D18)</f>
        <v>354</v>
      </c>
      <c r="E18" s="17">
        <f>SUM(ENERO!E18+FEBRERO!E18+MARZO!E18+ABRIL!E18+MAYO!E18+JUN!E18+JUL!E18+AGO!E18+SET!E18+OCT!E18+NOV!E18+DIC!E18)</f>
        <v>7</v>
      </c>
      <c r="F18" s="17">
        <f>SUM(ENERO!F18+FEBRERO!F18+MARZO!F18+ABRIL!F18+MAYO!F18+JUN!F18+JUL!F18+AGO!F18+SET!F18+OCT!F18+NOV!F18+DIC!F18)</f>
        <v>11</v>
      </c>
      <c r="G18" s="17">
        <f>SUM(ENERO!G18+FEBRERO!G18+MARZO!G18+ABRIL!G18+MAYO!G18+JUN!G18+JUL!G18+AGO!G18+SET!G18+OCT!G18+NOV!G18+DIC!G18)</f>
        <v>0</v>
      </c>
      <c r="H18" s="12">
        <f t="shared" si="4"/>
        <v>625</v>
      </c>
      <c r="I18" s="1"/>
      <c r="J18" s="50" t="s">
        <v>163</v>
      </c>
      <c r="K18" s="68">
        <f>SUM(ENERO!K18+FEBRERO!K18+MARZO!K18+ABRIL!K18+MAYO!K18+JUN!K18+JUL!K18+AGO!K18+SET!K18+OCT!K18+NOV!K18+DIC!K18)</f>
        <v>2963</v>
      </c>
      <c r="L18" s="68">
        <f>SUM(ENERO!L18+FEBRERO!L18+MARZO!L18+ABRIL!L18+MAYO!L18+JUN!L18+JUL!L18+AGO!L18+SET!L18+OCT!L18+NOV!L18+DIC!L18)</f>
        <v>0</v>
      </c>
      <c r="M18" s="68">
        <f>SUM(ENERO!M18+FEBRERO!M18+MARZO!M18+ABRIL!M18+MAYO!M18+JUN!M18+JUL!M18+AGO!M18+SET!M18+OCT!M18+NOV!M18+DIC!M18)</f>
        <v>3669</v>
      </c>
      <c r="N18" s="68">
        <f>SUM(ENERO!N18+FEBRERO!N18+MARZO!N18+ABRIL!N18+MAYO!N18+JUN!N18+JUL!N18+AGO!N18+SET!N18+OCT!N18+NOV!N18+DIC!N18)</f>
        <v>0</v>
      </c>
      <c r="O18" s="68">
        <f>SUM(ENERO!O18+FEBRERO!O18+MARZO!O18+ABRIL!O18+MAYO!O18+JUN!O18+JUL!O18+AGO!O18+SET!O18+OCT!O18+NOV!O18+DIC!O18)</f>
        <v>0</v>
      </c>
      <c r="P18" s="68">
        <f>SUM(ENERO!P18+FEBRERO!P18+MARZO!P18+ABRIL!P18+MAYO!P18+JUN!P18+JUL!P18+AGO!P18+SET!P18+OCT!P18+NOV!P18+DIC!P18)</f>
        <v>0</v>
      </c>
      <c r="Q18" s="40">
        <f t="shared" si="2"/>
        <v>6632</v>
      </c>
      <c r="R18" s="4"/>
      <c r="S18" s="1"/>
    </row>
    <row r="19" spans="1:19" x14ac:dyDescent="0.25">
      <c r="A19" s="7" t="s">
        <v>28</v>
      </c>
      <c r="B19" s="17">
        <f>SUM(ENERO!B19+FEBRERO!B19+MARZO!B19+ABRIL!B19+MAYO!B19+JUN!B19+JUL!B19+AGO!B19+SET!B19+OCT!B19+NOV!B19+DIC!B19)</f>
        <v>955</v>
      </c>
      <c r="C19" s="17">
        <f>SUM(ENERO!C19+FEBRERO!C19+MARZO!C19+ABRIL!C19+MAYO!C19+JUN!C19+JUL!C19+AGO!C19+SET!C19+OCT!C19+NOV!C19+DIC!C19)</f>
        <v>340</v>
      </c>
      <c r="D19" s="17">
        <f>SUM(ENERO!D19+FEBRERO!D19+MARZO!D19+ABRIL!D19+MAYO!D19+JUN!D19+JUL!D19+AGO!D19+SET!D19+OCT!D19+NOV!D19+DIC!D19)</f>
        <v>2147</v>
      </c>
      <c r="E19" s="17">
        <f>SUM(ENERO!E19+FEBRERO!E19+MARZO!E19+ABRIL!E19+MAYO!E19+JUN!E19+JUL!E19+AGO!E19+SET!E19+OCT!E19+NOV!E19+DIC!E19)</f>
        <v>100</v>
      </c>
      <c r="F19" s="17">
        <f>SUM(ENERO!F19+FEBRERO!F19+MARZO!F19+ABRIL!F19+MAYO!F19+JUN!F19+JUL!F19+AGO!F19+SET!F19+OCT!F19+NOV!F19+DIC!F19)</f>
        <v>95</v>
      </c>
      <c r="G19" s="17">
        <f>SUM(ENERO!G19+FEBRERO!G19+MARZO!G19+ABRIL!G19+MAYO!G19+JUN!G19+JUL!G19+AGO!G19+SET!G19+OCT!G19+NOV!G19+DIC!G19)</f>
        <v>2</v>
      </c>
      <c r="H19" s="12">
        <f t="shared" si="4"/>
        <v>3639</v>
      </c>
      <c r="I19" s="1"/>
      <c r="J19" s="50" t="s">
        <v>164</v>
      </c>
      <c r="K19" s="68">
        <f>SUM(ENERO!K19+FEBRERO!K19+MARZO!K19+ABRIL!K19+MAYO!K19+JUN!K19+JUL!K19+AGO!K19+SET!K19+OCT!K19+NOV!K19+DIC!K19)</f>
        <v>2963</v>
      </c>
      <c r="L19" s="68">
        <f>SUM(ENERO!L19+FEBRERO!L19+MARZO!L19+ABRIL!L19+MAYO!L19+JUN!L19+JUL!L19+AGO!L19+SET!L19+OCT!L19+NOV!L19+DIC!L19)</f>
        <v>0</v>
      </c>
      <c r="M19" s="68">
        <f>SUM(ENERO!M19+FEBRERO!M19+MARZO!M19+ABRIL!M19+MAYO!M19+JUN!M19+JUL!M19+AGO!M19+SET!M19+OCT!M19+NOV!M19+DIC!M19)</f>
        <v>3669</v>
      </c>
      <c r="N19" s="68">
        <f>SUM(ENERO!N19+FEBRERO!N19+MARZO!N19+ABRIL!N19+MAYO!N19+JUN!N19+JUL!N19+AGO!N19+SET!N19+OCT!N19+NOV!N19+DIC!N19)</f>
        <v>0</v>
      </c>
      <c r="O19" s="68">
        <f>SUM(ENERO!O19+FEBRERO!O19+MARZO!O19+ABRIL!O19+MAYO!O19+JUN!O19+JUL!O19+AGO!O19+SET!O19+OCT!O19+NOV!O19+DIC!O19)</f>
        <v>0</v>
      </c>
      <c r="P19" s="68">
        <f>SUM(ENERO!P19+FEBRERO!P19+MARZO!P19+ABRIL!P19+MAYO!P19+JUN!P19+JUL!P19+AGO!P19+SET!P19+OCT!P19+NOV!P19+DIC!P19)</f>
        <v>0</v>
      </c>
      <c r="Q19" s="40">
        <f t="shared" si="2"/>
        <v>6632</v>
      </c>
      <c r="R19" s="4"/>
      <c r="S19" s="1"/>
    </row>
    <row r="20" spans="1:19" x14ac:dyDescent="0.25">
      <c r="A20" s="7" t="s">
        <v>29</v>
      </c>
      <c r="B20" s="17">
        <f>SUM(ENERO!B20+FEBRERO!B20+MARZO!B20+ABRIL!B20+MAYO!B20+JUN!B20+JUL!B20+AGO!B20+SET!B20+OCT!B20+NOV!B20+DIC!B20)</f>
        <v>28</v>
      </c>
      <c r="C20" s="17">
        <f>SUM(ENERO!C20+FEBRERO!C20+MARZO!C20+ABRIL!C20+MAYO!C20+JUN!C20+JUL!C20+AGO!C20+SET!C20+OCT!C20+NOV!C20+DIC!C20)</f>
        <v>1</v>
      </c>
      <c r="D20" s="17">
        <f>SUM(ENERO!D20+FEBRERO!D20+MARZO!D20+ABRIL!D20+MAYO!D20+JUN!D20+JUL!D20+AGO!D20+SET!D20+OCT!D20+NOV!D20+DIC!D20)</f>
        <v>326</v>
      </c>
      <c r="E20" s="17">
        <f>SUM(ENERO!E20+FEBRERO!E20+MARZO!E20+ABRIL!E20+MAYO!E20+JUN!E20+JUL!E20+AGO!E20+SET!E20+OCT!E20+NOV!E20+DIC!E20)</f>
        <v>12</v>
      </c>
      <c r="F20" s="17">
        <f>SUM(ENERO!F20+FEBRERO!F20+MARZO!F20+ABRIL!F20+MAYO!F20+JUN!F20+JUL!F20+AGO!F20+SET!F20+OCT!F20+NOV!F20+DIC!F20)</f>
        <v>9</v>
      </c>
      <c r="G20" s="17">
        <f>SUM(ENERO!G20+FEBRERO!G20+MARZO!G20+ABRIL!G20+MAYO!G20+JUN!G20+JUL!G20+AGO!G20+SET!G20+OCT!G20+NOV!G20+DIC!G20)</f>
        <v>9</v>
      </c>
      <c r="H20" s="12">
        <f t="shared" si="4"/>
        <v>385</v>
      </c>
      <c r="I20" s="1"/>
      <c r="J20" s="50" t="s">
        <v>194</v>
      </c>
      <c r="K20" s="68">
        <f>SUM(ENERO!K20+FEBRERO!K20+MARZO!K20+ABRIL!K20+MAYO!K20+JUN!K20+JUL!K20+AGO!K20+SET!K20+OCT!K20+NOV!K20+DIC!K20)</f>
        <v>24</v>
      </c>
      <c r="L20" s="68">
        <f>SUM(ENERO!L20+FEBRERO!L20+MARZO!L20+ABRIL!L20+MAYO!L20+JUN!L20+JUL!L20+AGO!L20+SET!L20+OCT!L20+NOV!L20+DIC!L20)</f>
        <v>0</v>
      </c>
      <c r="M20" s="68">
        <f>SUM(ENERO!M20+FEBRERO!M20+MARZO!M20+ABRIL!M20+MAYO!M20+JUN!M20+JUL!M20+AGO!M20+SET!M20+OCT!M20+NOV!M20+DIC!M20)</f>
        <v>58</v>
      </c>
      <c r="N20" s="68">
        <f>SUM(ENERO!N20+FEBRERO!N20+MARZO!N20+ABRIL!N20+MAYO!N20+JUN!N20+JUL!N20+AGO!N20+SET!N20+OCT!N20+NOV!N20+DIC!N20)</f>
        <v>0</v>
      </c>
      <c r="O20" s="68">
        <f>SUM(ENERO!O20+FEBRERO!O20+MARZO!O20+ABRIL!O20+MAYO!O20+JUN!O20+JUL!O20+AGO!O20+SET!O20+OCT!O20+NOV!O20+DIC!O20)</f>
        <v>0</v>
      </c>
      <c r="P20" s="68">
        <f>SUM(ENERO!P20+FEBRERO!P20+MARZO!P20+ABRIL!P20+MAYO!P20+JUN!P20+JUL!P20+AGO!P20+SET!P20+OCT!P20+NOV!P20+DIC!P20)</f>
        <v>0</v>
      </c>
      <c r="Q20" s="40">
        <f t="shared" si="2"/>
        <v>82</v>
      </c>
      <c r="R20" s="4"/>
      <c r="S20" s="1"/>
    </row>
    <row r="21" spans="1:19" x14ac:dyDescent="0.25">
      <c r="A21" s="7" t="s">
        <v>20</v>
      </c>
      <c r="B21" s="17">
        <f>SUM(ENERO!B21+FEBRERO!B21+MARZO!B21+ABRIL!B21+MAYO!B21+JUN!B21+JUL!B21+AGO!B21+SET!B21+OCT!B21+NOV!B21+DIC!B21)</f>
        <v>10075</v>
      </c>
      <c r="C21" s="17">
        <f>SUM(ENERO!C21+FEBRERO!C21+MARZO!C21+ABRIL!C21+MAYO!C21+JUN!C21+JUL!C21+AGO!C21+SET!C21+OCT!C21+NOV!C21+DIC!C21)</f>
        <v>17619</v>
      </c>
      <c r="D21" s="17">
        <f>SUM(ENERO!D21+FEBRERO!D21+MARZO!D21+ABRIL!D21+MAYO!D21+JUN!D21+JUL!D21+AGO!D21+SET!D21+OCT!D21+NOV!D21+DIC!D21)</f>
        <v>11310</v>
      </c>
      <c r="E21" s="17">
        <f>SUM(ENERO!E21+FEBRERO!E21+MARZO!E21+ABRIL!E21+MAYO!E21+JUN!E21+JUL!E21+AGO!E21+SET!E21+OCT!E21+NOV!E21+DIC!E21)</f>
        <v>765</v>
      </c>
      <c r="F21" s="17">
        <f>SUM(ENERO!F21+FEBRERO!F21+MARZO!F21+ABRIL!F21+MAYO!F21+JUN!F21+JUL!F21+AGO!F21+SET!F21+OCT!F21+NOV!F21+DIC!F21)</f>
        <v>396</v>
      </c>
      <c r="G21" s="17">
        <f>SUM(ENERO!G21+FEBRERO!G21+MARZO!G21+ABRIL!G21+MAYO!G21+JUN!G21+JUL!G21+AGO!G21+SET!G21+OCT!G21+NOV!G21+DIC!G21)</f>
        <v>35</v>
      </c>
      <c r="H21" s="12">
        <f t="shared" si="4"/>
        <v>40200</v>
      </c>
      <c r="I21" s="1"/>
      <c r="J21" s="50" t="s">
        <v>221</v>
      </c>
      <c r="K21" s="68">
        <f>SUM(ENERO!K21+FEBRERO!K21+MARZO!K21+ABRIL!K21+MAYO!K21+JUN!K21+JUL!K21+AGO!K21+SET!K21+OCT!K21+NOV!K21+DIC!K21)</f>
        <v>8</v>
      </c>
      <c r="L21" s="68">
        <f>SUM(ENERO!L21+FEBRERO!L21+MARZO!L21+ABRIL!L21+MAYO!L21+JUN!L21+JUL!L21+AGO!L21+SET!L21+OCT!L21+NOV!L21+DIC!L21)</f>
        <v>0</v>
      </c>
      <c r="M21" s="68">
        <f>SUM(ENERO!M21+FEBRERO!M21+MARZO!M21+ABRIL!M21+MAYO!M21+JUN!M21+JUL!M21+AGO!M21+SET!M21+OCT!M21+NOV!M21+DIC!M21)</f>
        <v>40</v>
      </c>
      <c r="N21" s="68">
        <f>SUM(ENERO!N21+FEBRERO!N21+MARZO!N21+ABRIL!N21+MAYO!N21+JUN!N21+JUL!N21+AGO!N21+SET!N21+OCT!N21+NOV!N21+DIC!N21)</f>
        <v>0</v>
      </c>
      <c r="O21" s="68">
        <f>SUM(ENERO!O21+FEBRERO!O21+MARZO!O21+ABRIL!O21+MAYO!O21+JUN!O21+JUL!O21+AGO!O21+SET!O21+OCT!O21+NOV!O21+DIC!O21)</f>
        <v>0</v>
      </c>
      <c r="P21" s="68">
        <f>SUM(ENERO!P21+FEBRERO!P21+MARZO!P21+ABRIL!P21+MAYO!P21+JUN!P21+JUL!P21+AGO!P21+SET!P21+OCT!P21+NOV!P21+DIC!P21)</f>
        <v>0</v>
      </c>
      <c r="Q21" s="40">
        <f t="shared" si="2"/>
        <v>48</v>
      </c>
      <c r="R21" s="4"/>
      <c r="S21" s="1"/>
    </row>
    <row r="22" spans="1:19" x14ac:dyDescent="0.25">
      <c r="A22" s="7" t="s">
        <v>25</v>
      </c>
      <c r="B22" s="17">
        <f>SUM(ENERO!B22+FEBRERO!B22+MARZO!B22+ABRIL!B22+MAYO!B22+JUN!B22+JUL!B22+AGO!B22+SET!B22+OCT!B22+NOV!B22+DIC!B22)</f>
        <v>29</v>
      </c>
      <c r="C22" s="17">
        <f>SUM(ENERO!C22+FEBRERO!C22+MARZO!C22+ABRIL!C22+MAYO!C22+JUN!C22+JUL!C22+AGO!C22+SET!C22+OCT!C22+NOV!C22+DIC!C22)</f>
        <v>4</v>
      </c>
      <c r="D22" s="17">
        <f>SUM(ENERO!D22+FEBRERO!D22+MARZO!D22+ABRIL!D22+MAYO!D22+JUN!D22+JUL!D22+AGO!D22+SET!D22+OCT!D22+NOV!D22+DIC!D22)</f>
        <v>79</v>
      </c>
      <c r="E22" s="17">
        <f>SUM(ENERO!E22+FEBRERO!E22+MARZO!E22+ABRIL!E22+MAYO!E22+JUN!E22+JUL!E22+AGO!E22+SET!E22+OCT!E22+NOV!E22+DIC!E22)</f>
        <v>3</v>
      </c>
      <c r="F22" s="17">
        <f>SUM(ENERO!F22+FEBRERO!F22+MARZO!F22+ABRIL!F22+MAYO!F22+JUN!F22+JUL!F22+AGO!F22+SET!F22+OCT!F22+NOV!F22+DIC!F22)</f>
        <v>5</v>
      </c>
      <c r="G22" s="17">
        <f>SUM(ENERO!G22+FEBRERO!G22+MARZO!G22+ABRIL!G22+MAYO!G22+JUN!G22+JUL!G22+AGO!G22+SET!G22+OCT!G22+NOV!G22+DIC!G22)</f>
        <v>0</v>
      </c>
      <c r="H22" s="12">
        <f t="shared" si="4"/>
        <v>120</v>
      </c>
      <c r="I22" s="1"/>
      <c r="J22" s="58" t="s">
        <v>6</v>
      </c>
      <c r="K22" s="68">
        <f>SUM(ENERO!K22+FEBRERO!K22+MARZO!K22+ABRIL!K22+MAYO!K22+JUN!K22+JUL!K22+AGO!K22+SET!K22+OCT!K22+NOV!K22+DIC!K22)</f>
        <v>0</v>
      </c>
      <c r="L22" s="68">
        <f>SUM(ENERO!L22+FEBRERO!L22+MARZO!L22+ABRIL!L22+MAYO!L22+JUN!L22+JUL!L22+AGO!L22+SET!L22+OCT!L22+NOV!L22+DIC!L22)</f>
        <v>0</v>
      </c>
      <c r="M22" s="68">
        <f>SUM(ENERO!M22+FEBRERO!M22+MARZO!M22+ABRIL!M22+MAYO!M22+JUN!M22+JUL!M22+AGO!M22+SET!M22+OCT!M22+NOV!M22+DIC!M22)</f>
        <v>0</v>
      </c>
      <c r="N22" s="68">
        <f>SUM(ENERO!N22+FEBRERO!N22+MARZO!N22+ABRIL!N22+MAYO!N22+JUN!N22+JUL!N22+AGO!N22+SET!N22+OCT!N22+NOV!N22+DIC!N22)</f>
        <v>0</v>
      </c>
      <c r="O22" s="68">
        <f>SUM(ENERO!O22+FEBRERO!O22+MARZO!O22+ABRIL!O22+MAYO!O22+JUN!O22+JUL!O22+AGO!O22+SET!O22+OCT!O22+NOV!O22+DIC!O22)</f>
        <v>0</v>
      </c>
      <c r="P22" s="68">
        <f>SUM(ENERO!P22+FEBRERO!P22+MARZO!P22+ABRIL!P22+MAYO!P22+JUN!P22+JUL!P22+AGO!P22+SET!P22+OCT!P22+NOV!P22+DIC!P22)</f>
        <v>0</v>
      </c>
      <c r="Q22" s="40">
        <f t="shared" si="2"/>
        <v>0</v>
      </c>
      <c r="R22" s="4"/>
      <c r="S22" s="1"/>
    </row>
    <row r="23" spans="1:19" ht="15.75" thickBot="1" x14ac:dyDescent="0.3">
      <c r="A23" s="7" t="s">
        <v>218</v>
      </c>
      <c r="B23" s="17">
        <f>SUM(ENERO!B23+FEBRERO!B23+MARZO!B23+ABRIL!B23+MAYO!B23+JUN!B23+JUL!B23+AGO!B23+SET!B23+OCT!B23+NOV!B23+DIC!B23)</f>
        <v>7</v>
      </c>
      <c r="C23" s="17">
        <f>SUM(ENERO!C23+FEBRERO!C23+MARZO!C23+ABRIL!C23+MAYO!C23+JUN!C23+JUL!C23+AGO!C23+SET!C23+OCT!C23+NOV!C23+DIC!C23)</f>
        <v>3</v>
      </c>
      <c r="D23" s="17">
        <f>SUM(ENERO!D23+FEBRERO!D23+MARZO!D23+ABRIL!D23+MAYO!D23+JUN!D23+JUL!D23+AGO!D23+SET!D23+OCT!D23+NOV!D23+DIC!D23)</f>
        <v>159</v>
      </c>
      <c r="E23" s="17">
        <f>SUM(ENERO!E23+FEBRERO!E23+MARZO!E23+ABRIL!E23+MAYO!E23+JUN!E23+JUL!E23+AGO!E23+SET!E23+OCT!E23+NOV!E23+DIC!E23)</f>
        <v>0</v>
      </c>
      <c r="F23" s="17">
        <f>SUM(ENERO!F23+FEBRERO!F23+MARZO!F23+ABRIL!F23+MAYO!F23+JUN!F23+JUL!F23+AGO!F23+SET!F23+OCT!F23+NOV!F23+DIC!F23)</f>
        <v>15</v>
      </c>
      <c r="G23" s="17">
        <f>SUM(ENERO!G23+FEBRERO!G23+MARZO!G23+ABRIL!G23+MAYO!G23+JUN!G23+JUL!G23+AGO!G23+SET!G23+OCT!G23+NOV!G23+DIC!G23)</f>
        <v>1</v>
      </c>
      <c r="H23" s="12">
        <f t="shared" si="4"/>
        <v>185</v>
      </c>
      <c r="I23" s="1"/>
      <c r="J23" s="59" t="s">
        <v>7</v>
      </c>
      <c r="K23" s="94">
        <f>SUM(ENERO!K23+FEBRERO!K23+MARZO!K23+ABRIL!K23+MAYO!K23+JUN!K23+JUL!K23+AGO!K23+SET!K23+OCT!K23+NOV!K23+DIC!K23)</f>
        <v>0</v>
      </c>
      <c r="L23" s="94">
        <f>SUM(ENERO!L23+FEBRERO!L23+MARZO!L23+ABRIL!L23+MAYO!L23+JUN!L23+JUL!L23+AGO!L23+SET!L23+OCT!L23+NOV!L23+DIC!L23)</f>
        <v>0</v>
      </c>
      <c r="M23" s="94">
        <f>SUM(ENERO!M23+FEBRERO!M23+MARZO!M23+ABRIL!M23+MAYO!M23+JUN!M23+JUL!M23+AGO!M23+SET!M23+OCT!M23+NOV!M23+DIC!M23)</f>
        <v>0</v>
      </c>
      <c r="N23" s="94">
        <f>SUM(ENERO!N23+FEBRERO!N23+MARZO!N23+ABRIL!N23+MAYO!N23+JUN!N23+JUL!N23+AGO!N23+SET!N23+OCT!N23+NOV!N23+DIC!N23)</f>
        <v>0</v>
      </c>
      <c r="O23" s="94">
        <f>SUM(ENERO!O23+FEBRERO!O23+MARZO!O23+ABRIL!O23+MAYO!O23+JUN!O23+JUL!O23+AGO!O23+SET!O23+OCT!O23+NOV!O23+DIC!O23)</f>
        <v>0</v>
      </c>
      <c r="P23" s="94">
        <f>SUM(ENERO!P23+FEBRERO!P23+MARZO!P23+ABRIL!P23+MAYO!P23+JUN!P23+JUL!P23+AGO!P23+SET!P23+OCT!P23+NOV!P23+DIC!P23)</f>
        <v>0</v>
      </c>
      <c r="Q23" s="46">
        <f t="shared" si="2"/>
        <v>0</v>
      </c>
      <c r="R23" s="4"/>
      <c r="S23" s="1"/>
    </row>
    <row r="24" spans="1:19" x14ac:dyDescent="0.25">
      <c r="A24" s="7" t="s">
        <v>21</v>
      </c>
      <c r="B24" s="17">
        <f>SUM(ENERO!B24+FEBRERO!B24+MARZO!B24+ABRIL!B24+MAYO!B24+JUN!B24+JUL!B24+AGO!B24+SET!B24+OCT!B24+NOV!B24+DIC!B24)</f>
        <v>9662</v>
      </c>
      <c r="C24" s="17">
        <f>SUM(ENERO!C24+FEBRERO!C24+MARZO!C24+ABRIL!C24+MAYO!C24+JUN!C24+JUL!C24+AGO!C24+SET!C24+OCT!C24+NOV!C24+DIC!C24)</f>
        <v>18006</v>
      </c>
      <c r="D24" s="17">
        <f>SUM(ENERO!D24+FEBRERO!D24+MARZO!D24+ABRIL!D24+MAYO!D24+JUN!D24+JUL!D24+AGO!D24+SET!D24+OCT!D24+NOV!D24+DIC!D24)</f>
        <v>11121</v>
      </c>
      <c r="E24" s="17">
        <f>SUM(ENERO!E24+FEBRERO!E24+MARZO!E24+ABRIL!E24+MAYO!E24+JUN!E24+JUL!E24+AGO!E24+SET!E24+OCT!E24+NOV!E24+DIC!E24)</f>
        <v>761</v>
      </c>
      <c r="F24" s="17">
        <f>SUM(ENERO!F24+FEBRERO!F24+MARZO!F24+ABRIL!F24+MAYO!F24+JUN!F24+JUL!F24+AGO!F24+SET!F24+OCT!F24+NOV!F24+DIC!F24)</f>
        <v>345</v>
      </c>
      <c r="G24" s="17">
        <f>SUM(ENERO!G24+FEBRERO!G24+MARZO!G24+ABRIL!G24+MAYO!G24+JUN!G24+JUL!G24+AGO!G24+SET!G24+OCT!G24+NOV!G24+DIC!G24)</f>
        <v>37</v>
      </c>
      <c r="H24" s="12">
        <f t="shared" si="4"/>
        <v>39932</v>
      </c>
      <c r="I24" s="1"/>
      <c r="J24" s="1"/>
      <c r="K24" s="1"/>
      <c r="L24" s="1"/>
      <c r="M24" s="1"/>
      <c r="N24" s="1"/>
      <c r="O24" s="1"/>
      <c r="P24" s="1"/>
      <c r="Q24" s="1"/>
      <c r="R24" s="4"/>
      <c r="S24" s="1"/>
    </row>
    <row r="25" spans="1:19" ht="15.75" thickBot="1" x14ac:dyDescent="0.3">
      <c r="A25" s="7" t="s">
        <v>24</v>
      </c>
      <c r="B25" s="17">
        <f>SUM(ENERO!B25+FEBRERO!B25+MARZO!B25+ABRIL!B25+MAYO!B25+JUN!B25+JUL!B25+AGO!B25+SET!B25+OCT!B25+NOV!B25+DIC!B25)</f>
        <v>312</v>
      </c>
      <c r="C25" s="17">
        <f>SUM(ENERO!C25+FEBRERO!C25+MARZO!C25+ABRIL!C25+MAYO!C25+JUN!C25+JUL!C25+AGO!C25+SET!C25+OCT!C25+NOV!C25+DIC!C25)</f>
        <v>40</v>
      </c>
      <c r="D25" s="17">
        <f>SUM(ENERO!D25+FEBRERO!D25+MARZO!D25+ABRIL!D25+MAYO!D25+JUN!D25+JUL!D25+AGO!D25+SET!D25+OCT!D25+NOV!D25+DIC!D25)</f>
        <v>438</v>
      </c>
      <c r="E25" s="17">
        <f>SUM(ENERO!E25+FEBRERO!E25+MARZO!E25+ABRIL!E25+MAYO!E25+JUN!E25+JUL!E25+AGO!E25+SET!E25+OCT!E25+NOV!E25+DIC!E25)</f>
        <v>9</v>
      </c>
      <c r="F25" s="17">
        <f>SUM(ENERO!F25+FEBRERO!F25+MARZO!F25+ABRIL!F25+MAYO!F25+JUN!F25+JUL!F25+AGO!F25+SET!F25+OCT!F25+NOV!F25+DIC!F25)</f>
        <v>18</v>
      </c>
      <c r="G25" s="17">
        <f>SUM(ENERO!G25+FEBRERO!G25+MARZO!G25+ABRIL!G25+MAYO!G25+JUN!G25+JUL!G25+AGO!G25+SET!G25+OCT!G25+NOV!G25+DIC!G25)</f>
        <v>0</v>
      </c>
      <c r="H25" s="12">
        <f t="shared" si="4"/>
        <v>817</v>
      </c>
      <c r="I25" s="1"/>
      <c r="J25" s="1"/>
      <c r="K25" s="1"/>
      <c r="L25" s="1"/>
      <c r="M25" s="1"/>
      <c r="N25" s="1"/>
      <c r="O25" s="1"/>
      <c r="P25" s="1"/>
      <c r="Q25" s="1"/>
      <c r="R25" s="4"/>
      <c r="S25" s="1"/>
    </row>
    <row r="26" spans="1:19" x14ac:dyDescent="0.25">
      <c r="A26" s="7" t="s">
        <v>79</v>
      </c>
      <c r="B26" s="17">
        <f>SUM(ENERO!B26+FEBRERO!B26+MARZO!B26+ABRIL!B26+MAYO!B26+JUN!B26+JUL!B26+AGO!B26+SET!B26+OCT!B26+NOV!B26+DIC!B26)</f>
        <v>6755</v>
      </c>
      <c r="C26" s="17">
        <f>SUM(ENERO!C26+FEBRERO!C26+MARZO!C26+ABRIL!C26+MAYO!C26+JUN!C26+JUL!C26+AGO!C26+SET!C26+OCT!C26+NOV!C26+DIC!C26)</f>
        <v>6898</v>
      </c>
      <c r="D26" s="17">
        <f>SUM(ENERO!D26+FEBRERO!D26+MARZO!D26+ABRIL!D26+MAYO!D26+JUN!D26+JUL!D26+AGO!D26+SET!D26+OCT!D26+NOV!D26+DIC!D26)</f>
        <v>5075</v>
      </c>
      <c r="E26" s="17">
        <f>SUM(ENERO!E26+FEBRERO!E26+MARZO!E26+ABRIL!E26+MAYO!E26+JUN!E26+JUL!E26+AGO!E26+SET!E26+OCT!E26+NOV!E26+DIC!E26)</f>
        <v>190</v>
      </c>
      <c r="F26" s="17">
        <f>SUM(ENERO!F26+FEBRERO!F26+MARZO!F26+ABRIL!F26+MAYO!F26+JUN!F26+JUL!F26+AGO!F26+SET!F26+OCT!F26+NOV!F26+DIC!F26)</f>
        <v>127</v>
      </c>
      <c r="G26" s="17">
        <f>SUM(ENERO!G26+FEBRERO!G26+MARZO!G26+ABRIL!G26+MAYO!G26+JUN!G26+JUL!G26+AGO!G26+SET!G26+OCT!G26+NOV!G26+DIC!G26)</f>
        <v>4</v>
      </c>
      <c r="H26" s="12">
        <f t="shared" si="4"/>
        <v>19049</v>
      </c>
      <c r="I26" s="1"/>
      <c r="J26" s="134" t="s">
        <v>169</v>
      </c>
      <c r="K26" s="136" t="s">
        <v>11</v>
      </c>
      <c r="L26" s="136"/>
      <c r="M26" s="136"/>
      <c r="N26" s="136"/>
      <c r="O26" s="136"/>
      <c r="P26" s="136"/>
      <c r="Q26" s="137"/>
      <c r="R26" s="4"/>
      <c r="S26" s="1"/>
    </row>
    <row r="27" spans="1:19" x14ac:dyDescent="0.25">
      <c r="A27" s="7" t="s">
        <v>75</v>
      </c>
      <c r="B27" s="17">
        <f>SUM(ENERO!B27+FEBRERO!B27+MARZO!B27+ABRIL!B27+MAYO!B27+JUN!B27+JUL!B27+AGO!B27+SET!B27+OCT!B27+NOV!B27+DIC!B27)</f>
        <v>6747</v>
      </c>
      <c r="C27" s="17">
        <f>SUM(ENERO!C27+FEBRERO!C27+MARZO!C27+ABRIL!C27+MAYO!C27+JUN!C27+JUL!C27+AGO!C27+SET!C27+OCT!C27+NOV!C27+DIC!C27)</f>
        <v>6898</v>
      </c>
      <c r="D27" s="17">
        <f>SUM(ENERO!D27+FEBRERO!D27+MARZO!D27+ABRIL!D27+MAYO!D27+JUN!D27+JUL!D27+AGO!D27+SET!D27+OCT!D27+NOV!D27+DIC!D27)</f>
        <v>5072</v>
      </c>
      <c r="E27" s="17">
        <f>SUM(ENERO!E27+FEBRERO!E27+MARZO!E27+ABRIL!E27+MAYO!E27+JUN!E27+JUL!E27+AGO!E27+SET!E27+OCT!E27+NOV!E27+DIC!E27)</f>
        <v>196</v>
      </c>
      <c r="F27" s="17">
        <f>SUM(ENERO!F27+FEBRERO!F27+MARZO!F27+ABRIL!F27+MAYO!F27+JUN!F27+JUL!F27+AGO!F27+SET!F27+OCT!F27+NOV!F27+DIC!F27)</f>
        <v>127</v>
      </c>
      <c r="G27" s="17">
        <f>SUM(ENERO!G27+FEBRERO!G27+MARZO!G27+ABRIL!G27+MAYO!G27+JUN!G27+JUL!G27+AGO!G27+SET!G27+OCT!G27+NOV!G27+DIC!G27)</f>
        <v>4</v>
      </c>
      <c r="H27" s="12">
        <f t="shared" si="4"/>
        <v>19044</v>
      </c>
      <c r="I27" s="1"/>
      <c r="J27" s="135"/>
      <c r="K27" s="30" t="s">
        <v>8</v>
      </c>
      <c r="L27" s="30" t="s">
        <v>9</v>
      </c>
      <c r="M27" s="30" t="s">
        <v>176</v>
      </c>
      <c r="N27" s="30" t="s">
        <v>154</v>
      </c>
      <c r="O27" s="30" t="s">
        <v>155</v>
      </c>
      <c r="P27" s="60" t="s">
        <v>147</v>
      </c>
      <c r="Q27" s="54" t="s">
        <v>11</v>
      </c>
      <c r="R27" s="4"/>
      <c r="S27" s="1"/>
    </row>
    <row r="28" spans="1:19" x14ac:dyDescent="0.25">
      <c r="A28" s="7" t="s">
        <v>76</v>
      </c>
      <c r="B28" s="17">
        <f>SUM(ENERO!B28+FEBRERO!B28+MARZO!B28+ABRIL!B28+MAYO!B28+JUN!B28+JUL!B28+AGO!B28+SET!B28+OCT!B28+NOV!B28+DIC!B28)</f>
        <v>6910</v>
      </c>
      <c r="C28" s="17">
        <f>SUM(ENERO!C28+FEBRERO!C28+MARZO!C28+ABRIL!C28+MAYO!C28+JUN!C28+JUL!C28+AGO!C28+SET!C28+OCT!C28+NOV!C28+DIC!C28)</f>
        <v>7260</v>
      </c>
      <c r="D28" s="17">
        <f>SUM(ENERO!D28+FEBRERO!D28+MARZO!D28+ABRIL!D28+MAYO!D28+JUN!D28+JUL!D28+AGO!D28+SET!D28+OCT!D28+NOV!D28+DIC!D28)</f>
        <v>5830</v>
      </c>
      <c r="E28" s="17">
        <f>SUM(ENERO!E28+FEBRERO!E28+MARZO!E28+ABRIL!E28+MAYO!E28+JUN!E28+JUL!E28+AGO!E28+SET!E28+OCT!E28+NOV!E28+DIC!E28)</f>
        <v>236</v>
      </c>
      <c r="F28" s="17">
        <f>SUM(ENERO!F28+FEBRERO!F28+MARZO!F28+ABRIL!F28+MAYO!F28+JUN!F28+JUL!F28+AGO!F28+SET!F28+OCT!F28+NOV!F28+DIC!F28)</f>
        <v>159</v>
      </c>
      <c r="G28" s="17">
        <f>SUM(ENERO!G28+FEBRERO!G28+MARZO!G28+ABRIL!G28+MAYO!G28+JUN!G28+JUL!G28+AGO!G28+SET!G28+OCT!G28+NOV!G28+DIC!G28)</f>
        <v>9</v>
      </c>
      <c r="H28" s="12">
        <f t="shared" si="4"/>
        <v>20404</v>
      </c>
      <c r="I28" s="1"/>
      <c r="J28" s="79" t="s">
        <v>146</v>
      </c>
      <c r="K28" s="74">
        <f t="shared" ref="K28:P28" si="5">SUM(K29:K37)</f>
        <v>1337</v>
      </c>
      <c r="L28" s="74">
        <f t="shared" si="5"/>
        <v>4230</v>
      </c>
      <c r="M28" s="74">
        <f t="shared" si="5"/>
        <v>2657</v>
      </c>
      <c r="N28" s="74">
        <f t="shared" si="5"/>
        <v>0</v>
      </c>
      <c r="O28" s="74">
        <f t="shared" si="5"/>
        <v>0</v>
      </c>
      <c r="P28" s="74">
        <f t="shared" si="5"/>
        <v>0</v>
      </c>
      <c r="Q28" s="80">
        <f>SUM(K28:P28)</f>
        <v>8224</v>
      </c>
      <c r="R28" s="4"/>
      <c r="S28" s="1"/>
    </row>
    <row r="29" spans="1:19" x14ac:dyDescent="0.25">
      <c r="A29" s="7" t="s">
        <v>74</v>
      </c>
      <c r="B29" s="17">
        <f>SUM(ENERO!B29+FEBRERO!B29+MARZO!B29+ABRIL!B29+MAYO!B29+JUN!B29+JUL!B29+AGO!B29+SET!B29+OCT!B29+NOV!B29+DIC!B29)</f>
        <v>6923</v>
      </c>
      <c r="C29" s="17">
        <f>SUM(ENERO!C29+FEBRERO!C29+MARZO!C29+ABRIL!C29+MAYO!C29+JUN!C29+JUL!C29+AGO!C29+SET!C29+OCT!C29+NOV!C29+DIC!C29)</f>
        <v>7256</v>
      </c>
      <c r="D29" s="17">
        <f>SUM(ENERO!D29+FEBRERO!D29+MARZO!D29+ABRIL!D29+MAYO!D29+JUN!D29+JUL!D29+AGO!D29+SET!D29+OCT!D29+NOV!D29+DIC!D29)</f>
        <v>5796</v>
      </c>
      <c r="E29" s="17">
        <f>SUM(ENERO!E29+FEBRERO!E29+MARZO!E29+ABRIL!E29+MAYO!E29+JUN!E29+JUL!E29+AGO!E29+SET!E29+OCT!E29+NOV!E29+DIC!E29)</f>
        <v>99</v>
      </c>
      <c r="F29" s="17">
        <f>SUM(ENERO!F29+FEBRERO!F29+MARZO!F29+ABRIL!F29+MAYO!F29+JUN!F29+JUL!F29+AGO!F29+SET!F29+OCT!F29+NOV!F29+DIC!F29)</f>
        <v>134</v>
      </c>
      <c r="G29" s="17">
        <f>SUM(ENERO!G29+FEBRERO!G29+MARZO!G29+ABRIL!G29+MAYO!G29+JUN!G29+JUL!G29+AGO!G29+SET!G29+OCT!G29+NOV!G29+DIC!G29)</f>
        <v>10</v>
      </c>
      <c r="H29" s="12">
        <f t="shared" si="4"/>
        <v>20218</v>
      </c>
      <c r="I29" s="1"/>
      <c r="J29" s="45" t="s">
        <v>64</v>
      </c>
      <c r="K29" s="68">
        <f>SUM(ENERO!K29+FEBRERO!K29+MARZO!K29+ABRIL!K29+MAYO!K29+JUN!K29+JUL!K29+AGO!K29+SET!K29+OCT!K29+NOV!K29+DIC!K29)</f>
        <v>1003</v>
      </c>
      <c r="L29" s="68">
        <f>SUM(ENERO!L29+FEBRERO!L29+MARZO!L29+ABRIL!L29+MAYO!L29+JUN!L29+JUL!L29+AGO!L29+SET!L29+OCT!L29+NOV!L29+DIC!L29)</f>
        <v>142</v>
      </c>
      <c r="M29" s="68">
        <f>SUM(ENERO!M29+FEBRERO!M29+MARZO!M29+ABRIL!M29+MAYO!M29+JUN!M29+JUL!M29+AGO!M29+SET!M29+OCT!M29+NOV!M29+DIC!M29)</f>
        <v>1209</v>
      </c>
      <c r="N29" s="68">
        <f>SUM(ENERO!N29+FEBRERO!N29+MARZO!N29+ABRIL!N29+MAYO!N29+JUN!N29+JUL!N29+AGO!N29+SET!N29+OCT!N29+NOV!N29+DIC!N29)</f>
        <v>0</v>
      </c>
      <c r="O29" s="68">
        <f>SUM(ENERO!O29+FEBRERO!O29+MARZO!O29+ABRIL!O29+MAYO!O29+JUN!O29+JUL!O29+AGO!O29+SET!O29+OCT!O29+NOV!O29+DIC!O29)</f>
        <v>0</v>
      </c>
      <c r="P29" s="68">
        <f>SUM(ENERO!P29+FEBRERO!P29+MARZO!P29+ABRIL!P29+MAYO!P29+JUN!P29+JUL!P29+AGO!P29+SET!P29+OCT!P29+NOV!P29+DIC!P29)</f>
        <v>0</v>
      </c>
      <c r="Q29" s="40">
        <f>SUM(K29:P29)</f>
        <v>2354</v>
      </c>
      <c r="R29" s="4"/>
      <c r="S29" s="1"/>
    </row>
    <row r="30" spans="1:19" x14ac:dyDescent="0.25">
      <c r="A30" s="7" t="s">
        <v>22</v>
      </c>
      <c r="B30" s="17">
        <f>SUM(ENERO!B30+FEBRERO!B30+MARZO!B30+ABRIL!B30+MAYO!B30+JUN!B30+JUL!B30+AGO!B30+SET!B30+OCT!B30+NOV!B30+DIC!B30)</f>
        <v>7026</v>
      </c>
      <c r="C30" s="17">
        <f>SUM(ENERO!C30+FEBRERO!C30+MARZO!C30+ABRIL!C30+MAYO!C30+JUN!C30+JUL!C30+AGO!C30+SET!C30+OCT!C30+NOV!C30+DIC!C30)</f>
        <v>7706</v>
      </c>
      <c r="D30" s="17">
        <f>SUM(ENERO!D30+FEBRERO!D30+MARZO!D30+ABRIL!D30+MAYO!D30+JUN!D30+JUL!D30+AGO!D30+SET!D30+OCT!D30+NOV!D30+DIC!D30)</f>
        <v>7508</v>
      </c>
      <c r="E30" s="17">
        <f>SUM(ENERO!E30+FEBRERO!E30+MARZO!E30+ABRIL!E30+MAYO!E30+JUN!E30+JUL!E30+AGO!E30+SET!E30+OCT!E30+NOV!E30+DIC!E30)</f>
        <v>411</v>
      </c>
      <c r="F30" s="17">
        <f>SUM(ENERO!F30+FEBRERO!F30+MARZO!F30+ABRIL!F30+MAYO!F30+JUN!F30+JUL!F30+AGO!F30+SET!F30+OCT!F30+NOV!F30+DIC!F30)</f>
        <v>264</v>
      </c>
      <c r="G30" s="17">
        <f>SUM(ENERO!G30+FEBRERO!G30+MARZO!G30+ABRIL!G30+MAYO!G30+JUN!G30+JUL!G30+AGO!G30+SET!G30+OCT!G30+NOV!G30+DIC!G30)</f>
        <v>16</v>
      </c>
      <c r="H30" s="12">
        <f t="shared" si="4"/>
        <v>22931</v>
      </c>
      <c r="I30" s="1"/>
      <c r="J30" s="45" t="s">
        <v>170</v>
      </c>
      <c r="K30" s="68">
        <f>SUM(ENERO!K30+FEBRERO!K30+MARZO!K30+ABRIL!K30+MAYO!K30+JUN!K30+JUL!K30+AGO!K30+SET!K30+OCT!K30+NOV!K30+DIC!K30)</f>
        <v>1</v>
      </c>
      <c r="L30" s="68">
        <f>SUM(ENERO!L30+FEBRERO!L30+MARZO!L30+ABRIL!L30+MAYO!L30+JUN!L30+JUL!L30+AGO!L30+SET!L30+OCT!L30+NOV!L30+DIC!L30)</f>
        <v>0</v>
      </c>
      <c r="M30" s="68">
        <f>SUM(ENERO!M30+FEBRERO!M30+MARZO!M30+ABRIL!M30+MAYO!M30+JUN!M30+JUL!M30+AGO!M30+SET!M30+OCT!M30+NOV!M30+DIC!M30)</f>
        <v>11</v>
      </c>
      <c r="N30" s="68">
        <f>SUM(ENERO!N30+FEBRERO!N30+MARZO!N30+ABRIL!N30+MAYO!N30+JUN!N30+JUL!N30+AGO!N30+SET!N30+OCT!N30+NOV!N30+DIC!N30)</f>
        <v>0</v>
      </c>
      <c r="O30" s="68">
        <f>SUM(ENERO!O30+FEBRERO!O30+MARZO!O30+ABRIL!O30+MAYO!O30+JUN!O30+JUL!O30+AGO!O30+SET!O30+OCT!O30+NOV!O30+DIC!O30)</f>
        <v>0</v>
      </c>
      <c r="P30" s="68">
        <f>SUM(ENERO!P30+FEBRERO!P30+MARZO!P30+ABRIL!P30+MAYO!P30+JUN!P30+JUL!P30+AGO!P30+SET!P30+OCT!P30+NOV!P30+DIC!P30)</f>
        <v>0</v>
      </c>
      <c r="Q30" s="40">
        <f>SUM(K30:P30)</f>
        <v>12</v>
      </c>
      <c r="R30" s="4"/>
      <c r="S30" s="1"/>
    </row>
    <row r="31" spans="1:19" x14ac:dyDescent="0.25">
      <c r="A31" s="7" t="s">
        <v>23</v>
      </c>
      <c r="B31" s="17">
        <f>SUM(ENERO!B31+FEBRERO!B31+MARZO!B31+ABRIL!B31+MAYO!B31+JUN!B31+JUL!B31+AGO!B31+SET!B31+OCT!B31+NOV!B31+DIC!B31)</f>
        <v>7024</v>
      </c>
      <c r="C31" s="17">
        <f>SUM(ENERO!C31+FEBRERO!C31+MARZO!C31+ABRIL!C31+MAYO!C31+JUN!C31+JUL!C31+AGO!C31+SET!C31+OCT!C31+NOV!C31+DIC!C31)</f>
        <v>7713</v>
      </c>
      <c r="D31" s="17">
        <f>SUM(ENERO!D31+FEBRERO!D31+MARZO!D31+ABRIL!D31+MAYO!D31+JUN!D31+JUL!D31+AGO!D31+SET!D31+OCT!D31+NOV!D31+DIC!D31)</f>
        <v>7505</v>
      </c>
      <c r="E31" s="17">
        <f>SUM(ENERO!E31+FEBRERO!E31+MARZO!E31+ABRIL!E31+MAYO!E31+JUN!E31+JUL!E31+AGO!E31+SET!E31+OCT!E31+NOV!E31+DIC!E31)</f>
        <v>413</v>
      </c>
      <c r="F31" s="17">
        <f>SUM(ENERO!F31+FEBRERO!F31+MARZO!F31+ABRIL!F31+MAYO!F31+JUN!F31+JUL!F31+AGO!F31+SET!F31+OCT!F31+NOV!F31+DIC!F31)</f>
        <v>264</v>
      </c>
      <c r="G31" s="17">
        <f>SUM(ENERO!G31+FEBRERO!G31+MARZO!G31+ABRIL!G31+MAYO!G31+JUN!G31+JUL!G31+AGO!G31+SET!G31+OCT!G31+NOV!G31+DIC!G31)</f>
        <v>16</v>
      </c>
      <c r="H31" s="12">
        <f t="shared" si="4"/>
        <v>22935</v>
      </c>
      <c r="I31" s="1"/>
      <c r="J31" s="45" t="s">
        <v>171</v>
      </c>
      <c r="K31" s="68">
        <f>SUM(ENERO!K31+FEBRERO!K31+MARZO!K31+ABRIL!K31+MAYO!K31+JUN!K31+JUL!K31+AGO!K31+SET!K31+OCT!K31+NOV!K31+DIC!K31)</f>
        <v>2</v>
      </c>
      <c r="L31" s="68">
        <f>SUM(ENERO!L31+FEBRERO!L31+MARZO!L31+ABRIL!L31+MAYO!L31+JUN!L31+JUL!L31+AGO!L31+SET!L31+OCT!L31+NOV!L31+DIC!L31)</f>
        <v>0</v>
      </c>
      <c r="M31" s="68">
        <f>SUM(ENERO!M31+FEBRERO!M31+MARZO!M31+ABRIL!M31+MAYO!M31+JUN!M31+JUL!M31+AGO!M31+SET!M31+OCT!M31+NOV!M31+DIC!M31)</f>
        <v>135</v>
      </c>
      <c r="N31" s="68">
        <f>SUM(ENERO!N31+FEBRERO!N31+MARZO!N31+ABRIL!N31+MAYO!N31+JUN!N31+JUL!N31+AGO!N31+SET!N31+OCT!N31+NOV!N31+DIC!N31)</f>
        <v>0</v>
      </c>
      <c r="O31" s="68">
        <f>SUM(ENERO!O31+FEBRERO!O31+MARZO!O31+ABRIL!O31+MAYO!O31+JUN!O31+JUL!O31+AGO!O31+SET!O31+OCT!O31+NOV!O31+DIC!O31)</f>
        <v>0</v>
      </c>
      <c r="P31" s="68">
        <f>SUM(ENERO!P31+FEBRERO!P31+MARZO!P31+ABRIL!P31+MAYO!P31+JUN!P31+JUL!P31+AGO!P31+SET!P31+OCT!P31+NOV!P31+DIC!P31)</f>
        <v>0</v>
      </c>
      <c r="Q31" s="40">
        <f>SUM(K31:P31)</f>
        <v>137</v>
      </c>
      <c r="R31" s="4"/>
      <c r="S31" s="1"/>
    </row>
    <row r="32" spans="1:19" x14ac:dyDescent="0.25">
      <c r="A32" s="7" t="s">
        <v>202</v>
      </c>
      <c r="B32" s="17">
        <f>SUM(ENERO!B32+FEBRERO!B32+MARZO!B32+ABRIL!B32+MAYO!B32+JUN!B32+JUL!B32+AGO!B32+SET!B32+OCT!B32+NOV!B32+DIC!B32)</f>
        <v>456</v>
      </c>
      <c r="C32" s="17">
        <f>SUM(ENERO!C32+FEBRERO!C32+MARZO!C32+ABRIL!C32+MAYO!C32+JUN!C32+JUL!C32+AGO!C32+SET!C32+OCT!C32+NOV!C32+DIC!C32)</f>
        <v>4</v>
      </c>
      <c r="D32" s="17">
        <f>SUM(ENERO!D32+FEBRERO!D32+MARZO!D32+ABRIL!D32+MAYO!D32+JUN!D32+JUL!D32+AGO!D32+SET!D32+OCT!D32+NOV!D32+DIC!D32)</f>
        <v>47</v>
      </c>
      <c r="E32" s="17">
        <f>SUM(ENERO!E32+FEBRERO!E32+MARZO!E32+ABRIL!E32+MAYO!E32+JUN!E32+JUL!E32+AGO!E32+SET!E32+OCT!E32+NOV!E32+DIC!E32)</f>
        <v>4</v>
      </c>
      <c r="F32" s="17">
        <f>SUM(ENERO!F32+FEBRERO!F32+MARZO!F32+ABRIL!F32+MAYO!F32+JUN!F32+JUL!F32+AGO!F32+SET!F32+OCT!F32+NOV!F32+DIC!F32)</f>
        <v>5</v>
      </c>
      <c r="G32" s="17">
        <f>SUM(ENERO!G32+FEBRERO!G32+MARZO!G32+ABRIL!G32+MAYO!G32+JUN!G32+JUL!G32+AGO!G32+SET!G32+OCT!G32+NOV!G32+DIC!G32)</f>
        <v>0</v>
      </c>
      <c r="H32" s="12">
        <f t="shared" si="4"/>
        <v>516</v>
      </c>
      <c r="I32" s="1"/>
      <c r="J32" s="49" t="s">
        <v>65</v>
      </c>
      <c r="K32" s="68">
        <f>SUM(ENERO!K32+FEBRERO!K32+MARZO!K32+ABRIL!K32+MAYO!K32+JUN!K32+JUL!K32+AGO!K32+SET!K32+OCT!K32+NOV!K32+DIC!K32)</f>
        <v>306</v>
      </c>
      <c r="L32" s="68">
        <f>SUM(ENERO!L32+FEBRERO!L32+MARZO!L32+ABRIL!L32+MAYO!L32+JUN!L32+JUL!L32+AGO!L32+SET!L32+OCT!L32+NOV!L32+DIC!L32)</f>
        <v>3099</v>
      </c>
      <c r="M32" s="68">
        <f>SUM(ENERO!M32+FEBRERO!M32+MARZO!M32+ABRIL!M32+MAYO!M32+JUN!M32+JUL!M32+AGO!M32+SET!M32+OCT!M32+NOV!M32+DIC!M32)</f>
        <v>326</v>
      </c>
      <c r="N32" s="68">
        <f>SUM(ENERO!N32+FEBRERO!N32+MARZO!N32+ABRIL!N32+MAYO!N32+JUN!N32+JUL!N32+AGO!N32+SET!N32+OCT!N32+NOV!N32+DIC!N32)</f>
        <v>0</v>
      </c>
      <c r="O32" s="68">
        <f>SUM(ENERO!O32+FEBRERO!O32+MARZO!O32+ABRIL!O32+MAYO!O32+JUN!O32+JUL!O32+AGO!O32+SET!O32+OCT!O32+NOV!O32+DIC!O32)</f>
        <v>0</v>
      </c>
      <c r="P32" s="68">
        <f>SUM(ENERO!P32+FEBRERO!P32+MARZO!P32+ABRIL!P32+MAYO!P32+JUN!P32+JUL!P32+AGO!P32+SET!P32+OCT!P32+NOV!P32+DIC!P32)</f>
        <v>0</v>
      </c>
      <c r="Q32" s="40">
        <f t="shared" ref="Q32:Q37" si="6">SUM(K32:P32)</f>
        <v>3731</v>
      </c>
      <c r="R32" s="4"/>
      <c r="S32" s="1"/>
    </row>
    <row r="33" spans="1:19" x14ac:dyDescent="0.25">
      <c r="A33" s="7" t="s">
        <v>159</v>
      </c>
      <c r="B33" s="17">
        <f>SUM(ENERO!B33+FEBRERO!B33+MARZO!B33+ABRIL!B33+MAYO!B33+JUN!B33+JUL!B33+AGO!B33+SET!B33+OCT!B33+NOV!B33+DIC!B33)</f>
        <v>2636</v>
      </c>
      <c r="C33" s="17">
        <f>SUM(ENERO!C33+FEBRERO!C33+MARZO!C33+ABRIL!C33+MAYO!C33+JUN!C33+JUL!C33+AGO!C33+SET!C33+OCT!C33+NOV!C33+DIC!C33)</f>
        <v>1856</v>
      </c>
      <c r="D33" s="17">
        <f>SUM(ENERO!D33+FEBRERO!D33+MARZO!D33+ABRIL!D33+MAYO!D33+JUN!D33+JUL!D33+AGO!D33+SET!D33+OCT!D33+NOV!D33+DIC!D33)</f>
        <v>801</v>
      </c>
      <c r="E33" s="17">
        <f>SUM(ENERO!E33+FEBRERO!E33+MARZO!E33+ABRIL!E33+MAYO!E33+JUN!E33+JUL!E33+AGO!E33+SET!E33+OCT!E33+NOV!E33+DIC!E33)</f>
        <v>22</v>
      </c>
      <c r="F33" s="17">
        <f>SUM(ENERO!F33+FEBRERO!F33+MARZO!F33+ABRIL!F33+MAYO!F33+JUN!F33+JUL!F33+AGO!F33+SET!F33+OCT!F33+NOV!F33+DIC!F33)</f>
        <v>20</v>
      </c>
      <c r="G33" s="17">
        <f>SUM(ENERO!G33+FEBRERO!G33+MARZO!G33+ABRIL!G33+MAYO!G33+JUN!G33+JUL!G33+AGO!G33+SET!G33+OCT!G33+NOV!G33+DIC!G33)</f>
        <v>0</v>
      </c>
      <c r="H33" s="12">
        <f t="shared" si="4"/>
        <v>5335</v>
      </c>
      <c r="I33" s="1"/>
      <c r="J33" s="50" t="s">
        <v>130</v>
      </c>
      <c r="K33" s="68">
        <f>SUM(ENERO!K33+FEBRERO!K33+MARZO!K33+ABRIL!K33+MAYO!K33+JUN!K33+JUL!K33+AGO!K33+SET!K33+OCT!K33+NOV!K33+DIC!K33)</f>
        <v>0</v>
      </c>
      <c r="L33" s="68">
        <f>SUM(ENERO!L33+FEBRERO!L33+MARZO!L33+ABRIL!L33+MAYO!L33+JUN!L33+JUL!L33+AGO!L33+SET!L33+OCT!L33+NOV!L33+DIC!L33)</f>
        <v>149</v>
      </c>
      <c r="M33" s="68">
        <f>SUM(ENERO!M33+FEBRERO!M33+MARZO!M33+ABRIL!M33+MAYO!M33+JUN!M33+JUL!M33+AGO!M33+SET!M33+OCT!M33+NOV!M33+DIC!M33)</f>
        <v>771</v>
      </c>
      <c r="N33" s="68">
        <f>SUM(ENERO!N33+FEBRERO!N33+MARZO!N33+ABRIL!N33+MAYO!N33+JUN!N33+JUL!N33+AGO!N33+SET!N33+OCT!N33+NOV!N33+DIC!N33)</f>
        <v>0</v>
      </c>
      <c r="O33" s="68">
        <f>SUM(ENERO!O33+FEBRERO!O33+MARZO!O33+ABRIL!O33+MAYO!O33+JUN!O33+JUL!O33+AGO!O33+SET!O33+OCT!O33+NOV!O33+DIC!O33)</f>
        <v>0</v>
      </c>
      <c r="P33" s="68">
        <f>SUM(ENERO!P33+FEBRERO!P33+MARZO!P33+ABRIL!P33+MAYO!P33+JUN!P33+JUL!P33+AGO!P33+SET!P33+OCT!P33+NOV!P33+DIC!P33)</f>
        <v>0</v>
      </c>
      <c r="Q33" s="40">
        <f t="shared" si="6"/>
        <v>920</v>
      </c>
      <c r="R33" s="4"/>
      <c r="S33" s="1"/>
    </row>
    <row r="34" spans="1:19" x14ac:dyDescent="0.25">
      <c r="A34" s="7" t="s">
        <v>26</v>
      </c>
      <c r="B34" s="17">
        <f>SUM(ENERO!B34+FEBRERO!B34+MARZO!B34+ABRIL!B34+MAYO!B34+JUN!B34+JUL!B34+AGO!B34+SET!B34+OCT!B34+NOV!B34+DIC!B34)</f>
        <v>7947</v>
      </c>
      <c r="C34" s="17">
        <f>SUM(ENERO!C34+FEBRERO!C34+MARZO!C34+ABRIL!C34+MAYO!C34+JUN!C34+JUL!C34+AGO!C34+SET!C34+OCT!C34+NOV!C34+DIC!C34)</f>
        <v>12130</v>
      </c>
      <c r="D34" s="17">
        <f>SUM(ENERO!D34+FEBRERO!D34+MARZO!D34+ABRIL!D34+MAYO!D34+JUN!D34+JUL!D34+AGO!D34+SET!D34+OCT!D34+NOV!D34+DIC!D34)</f>
        <v>2065</v>
      </c>
      <c r="E34" s="17">
        <f>SUM(ENERO!E34+FEBRERO!E34+MARZO!E34+ABRIL!E34+MAYO!E34+JUN!E34+JUL!E34+AGO!E34+SET!E34+OCT!E34+NOV!E34+DIC!E34)</f>
        <v>370</v>
      </c>
      <c r="F34" s="17">
        <f>SUM(ENERO!F34+FEBRERO!F34+MARZO!F34+ABRIL!F34+MAYO!F34+JUN!F34+JUL!F34+AGO!F34+SET!F34+OCT!F34+NOV!F34+DIC!F34)</f>
        <v>52</v>
      </c>
      <c r="G34" s="17">
        <f>SUM(ENERO!G34+FEBRERO!G34+MARZO!G34+ABRIL!G34+MAYO!G34+JUN!G34+JUL!G34+AGO!G34+SET!G34+OCT!G34+NOV!G34+DIC!G34)</f>
        <v>11</v>
      </c>
      <c r="H34" s="12">
        <f t="shared" si="4"/>
        <v>22575</v>
      </c>
      <c r="I34" s="1"/>
      <c r="J34" s="67" t="s">
        <v>131</v>
      </c>
      <c r="K34" s="68">
        <f>SUM(ENERO!K34+FEBRERO!K34+MARZO!K34+ABRIL!K34+MAYO!K34+JUN!K34+JUL!K34+AGO!K34+SET!K34+OCT!K34+NOV!K34+DIC!K34)</f>
        <v>0</v>
      </c>
      <c r="L34" s="68">
        <f>SUM(ENERO!L34+FEBRERO!L34+MARZO!L34+ABRIL!L34+MAYO!L34+JUN!L34+JUL!L34+AGO!L34+SET!L34+OCT!L34+NOV!L34+DIC!L34)</f>
        <v>19</v>
      </c>
      <c r="M34" s="68">
        <f>SUM(ENERO!M34+FEBRERO!M34+MARZO!M34+ABRIL!M34+MAYO!M34+JUN!M34+JUL!M34+AGO!M34+SET!M34+OCT!M34+NOV!M34+DIC!M34)</f>
        <v>204</v>
      </c>
      <c r="N34" s="68">
        <f>SUM(ENERO!N34+FEBRERO!N34+MARZO!N34+ABRIL!N34+MAYO!N34+JUN!N34+JUL!N34+AGO!N34+SET!N34+OCT!N34+NOV!N34+DIC!N34)</f>
        <v>0</v>
      </c>
      <c r="O34" s="68">
        <f>SUM(ENERO!O34+FEBRERO!O34+MARZO!O34+ABRIL!O34+MAYO!O34+JUN!O34+JUL!O34+AGO!O34+SET!O34+OCT!O34+NOV!O34+DIC!O34)</f>
        <v>0</v>
      </c>
      <c r="P34" s="68">
        <f>SUM(ENERO!P34+FEBRERO!P34+MARZO!P34+ABRIL!P34+MAYO!P34+JUN!P34+JUL!P34+AGO!P34+SET!P34+OCT!P34+NOV!P34+DIC!P34)</f>
        <v>0</v>
      </c>
      <c r="Q34" s="40">
        <f t="shared" si="6"/>
        <v>223</v>
      </c>
      <c r="R34" s="4"/>
      <c r="S34" s="1"/>
    </row>
    <row r="35" spans="1:19" x14ac:dyDescent="0.25">
      <c r="A35" s="7" t="s">
        <v>82</v>
      </c>
      <c r="B35" s="17">
        <f>SUM(ENERO!B35+FEBRERO!B35+MARZO!B35+ABRIL!B35+MAYO!B35+JUN!B35+JUL!B35+AGO!B35+SET!B35+OCT!B35+NOV!B35+DIC!B35)</f>
        <v>5455</v>
      </c>
      <c r="C35" s="17">
        <f>SUM(ENERO!C35+FEBRERO!C35+MARZO!C35+ABRIL!C35+MAYO!C35+JUN!C35+JUL!C35+AGO!C35+SET!C35+OCT!C35+NOV!C35+DIC!C35)</f>
        <v>4417</v>
      </c>
      <c r="D35" s="17">
        <f>SUM(ENERO!D35+FEBRERO!D35+MARZO!D35+ABRIL!D35+MAYO!D35+JUN!D35+JUL!D35+AGO!D35+SET!D35+OCT!D35+NOV!D35+DIC!D35)</f>
        <v>4491</v>
      </c>
      <c r="E35" s="17">
        <f>SUM(ENERO!E35+FEBRERO!E35+MARZO!E35+ABRIL!E35+MAYO!E35+JUN!E35+JUL!E35+AGO!E35+SET!E35+OCT!E35+NOV!E35+DIC!E35)</f>
        <v>182</v>
      </c>
      <c r="F35" s="17">
        <f>SUM(ENERO!F35+FEBRERO!F35+MARZO!F35+ABRIL!F35+MAYO!F35+JUN!F35+JUL!F35+AGO!F35+SET!F35+OCT!F35+NOV!F35+DIC!F35)</f>
        <v>112</v>
      </c>
      <c r="G35" s="17">
        <f>SUM(ENERO!G35+FEBRERO!G35+MARZO!G35+ABRIL!G35+MAYO!G35+JUN!G35+JUL!G35+AGO!G35+SET!G35+OCT!G35+NOV!G35+DIC!G35)</f>
        <v>3</v>
      </c>
      <c r="H35" s="12">
        <f t="shared" si="4"/>
        <v>14660</v>
      </c>
      <c r="I35" s="1"/>
      <c r="J35" s="67" t="s">
        <v>160</v>
      </c>
      <c r="K35" s="68">
        <f>SUM(ENERO!K35+FEBRERO!K35+MARZO!K35+ABRIL!K35+MAYO!K35+JUN!K35+JUL!K35+AGO!K35+SET!K35+OCT!K35+NOV!K35+DIC!K35)</f>
        <v>22</v>
      </c>
      <c r="L35" s="68">
        <f>SUM(ENERO!L35+FEBRERO!L35+MARZO!L35+ABRIL!L35+MAYO!L35+JUN!L35+JUL!L35+AGO!L35+SET!L35+OCT!L35+NOV!L35+DIC!L35)</f>
        <v>667</v>
      </c>
      <c r="M35" s="68">
        <f>SUM(ENERO!M35+FEBRERO!M35+MARZO!M35+ABRIL!M35+MAYO!M35+JUN!M35+JUL!M35+AGO!M35+SET!M35+OCT!M35+NOV!M35+DIC!M35)</f>
        <v>1</v>
      </c>
      <c r="N35" s="68">
        <f>SUM(ENERO!N35+FEBRERO!N35+MARZO!N35+ABRIL!N35+MAYO!N35+JUN!N35+JUL!N35+AGO!N35+SET!N35+OCT!N35+NOV!N35+DIC!N35)</f>
        <v>0</v>
      </c>
      <c r="O35" s="68">
        <f>SUM(ENERO!O35+FEBRERO!O35+MARZO!O35+ABRIL!O35+MAYO!O35+JUN!O35+JUL!O35+AGO!O35+SET!O35+OCT!O35+NOV!O35+DIC!O35)</f>
        <v>0</v>
      </c>
      <c r="P35" s="68">
        <f>SUM(ENERO!P35+FEBRERO!P35+MARZO!P35+ABRIL!P35+MAYO!P35+JUN!P35+JUL!P35+AGO!P35+SET!P35+OCT!P35+NOV!P35+DIC!P35)</f>
        <v>0</v>
      </c>
      <c r="Q35" s="40">
        <f t="shared" si="6"/>
        <v>690</v>
      </c>
      <c r="R35" s="4"/>
      <c r="S35" s="1"/>
    </row>
    <row r="36" spans="1:19" x14ac:dyDescent="0.25">
      <c r="A36" s="7" t="s">
        <v>30</v>
      </c>
      <c r="B36" s="17">
        <f>SUM(ENERO!B36+FEBRERO!B36+MARZO!B36+ABRIL!B36+MAYO!B36+JUN!B36+JUL!B36+AGO!B36+SET!B36+OCT!B36+NOV!B36+DIC!B36)</f>
        <v>0</v>
      </c>
      <c r="C36" s="17">
        <f>SUM(ENERO!C36+FEBRERO!C36+MARZO!C36+ABRIL!C36+MAYO!C36+JUN!C36+JUL!C36+AGO!C36+SET!C36+OCT!C36+NOV!C36+DIC!C36)</f>
        <v>0</v>
      </c>
      <c r="D36" s="17">
        <f>SUM(ENERO!D36+FEBRERO!D36+MARZO!D36+ABRIL!D36+MAYO!D36+JUN!D36+JUL!D36+AGO!D36+SET!D36+OCT!D36+NOV!D36+DIC!D36)</f>
        <v>0</v>
      </c>
      <c r="E36" s="17">
        <f>SUM(ENERO!E36+FEBRERO!E36+MARZO!E36+ABRIL!E36+MAYO!E36+JUN!E36+JUL!E36+AGO!E36+SET!E36+OCT!E36+NOV!E36+DIC!E36)</f>
        <v>0</v>
      </c>
      <c r="F36" s="17">
        <f>SUM(ENERO!F36+FEBRERO!F36+MARZO!F36+ABRIL!F36+MAYO!F36+JUN!F36+JUL!F36+AGO!F36+SET!F36+OCT!F36+NOV!F36+DIC!F36)</f>
        <v>0</v>
      </c>
      <c r="G36" s="17">
        <f>SUM(ENERO!G36+FEBRERO!G36+MARZO!G36+ABRIL!G36+MAYO!G36+JUN!G36+JUL!G36+AGO!G36+SET!G36+OCT!G36+NOV!G36+DIC!G36)</f>
        <v>0</v>
      </c>
      <c r="H36" s="12">
        <f t="shared" si="4"/>
        <v>0</v>
      </c>
      <c r="I36" s="1"/>
      <c r="J36" s="67" t="s">
        <v>209</v>
      </c>
      <c r="K36" s="68">
        <f>SUM(ENERO!K36+FEBRERO!K37+MARZO!K37+ABRIL!K37+MAYO!K37+JUN!K37+JUL!K37+AGO!K37+SET!K37+OCT!K37+NOV!K37+DIC!K37)</f>
        <v>3</v>
      </c>
      <c r="L36" s="68">
        <f>SUM(ENERO!L36+FEBRERO!L37+MARZO!L37+ABRIL!L37+MAYO!L37+JUN!L37+JUL!L37+AGO!L37+SET!L37+OCT!L37+NOV!L37+DIC!L37)</f>
        <v>68</v>
      </c>
      <c r="M36" s="68">
        <f>SUM(ENERO!M36+FEBRERO!M37+MARZO!M37+ABRIL!M37+MAYO!M37+JUN!M37+JUL!M37+AGO!M37+SET!M37+OCT!M37+NOV!M37+DIC!M37)</f>
        <v>0</v>
      </c>
      <c r="N36" s="68">
        <f>SUM(ENERO!N36+FEBRERO!N37+MARZO!N37+ABRIL!N37+MAYO!N37+JUN!N37+JUL!N37+AGO!N37+SET!N37+OCT!N37+NOV!N37+DIC!N37)</f>
        <v>0</v>
      </c>
      <c r="O36" s="68">
        <f>SUM(ENERO!O36+FEBRERO!O37+MARZO!O37+ABRIL!O37+MAYO!O37+JUN!O37+JUL!O37+AGO!O37+SET!O37+OCT!O37+NOV!O37+DIC!O37)</f>
        <v>0</v>
      </c>
      <c r="P36" s="68">
        <f>SUM(ENERO!P36+FEBRERO!P37+MARZO!P37+ABRIL!P37+MAYO!P37+JUN!P37+JUL!P37+AGO!P37+SET!P37+OCT!P37+NOV!P37+DIC!P37)</f>
        <v>0</v>
      </c>
      <c r="Q36" s="40">
        <f t="shared" si="6"/>
        <v>71</v>
      </c>
      <c r="R36" s="4"/>
      <c r="S36" s="1"/>
    </row>
    <row r="37" spans="1:19" ht="15.75" thickBot="1" x14ac:dyDescent="0.3">
      <c r="A37" s="7" t="s">
        <v>31</v>
      </c>
      <c r="B37" s="17">
        <f>SUM(ENERO!B37+FEBRERO!B37+MARZO!B37+ABRIL!B37+MAYO!B37+JUN!B37+JUL!B37+AGO!B37+SET!B37+OCT!B37+NOV!B37+DIC!B37)</f>
        <v>170</v>
      </c>
      <c r="C37" s="17">
        <f>SUM(ENERO!C37+FEBRERO!C37+MARZO!C37+ABRIL!C37+MAYO!C37+JUN!C37+JUL!C37+AGO!C37+SET!C37+OCT!C37+NOV!C37+DIC!C37)</f>
        <v>217</v>
      </c>
      <c r="D37" s="17">
        <f>SUM(ENERO!D37+FEBRERO!D37+MARZO!D37+ABRIL!D37+MAYO!D37+JUN!D37+JUL!D37+AGO!D37+SET!D37+OCT!D37+NOV!D37+DIC!D37)</f>
        <v>20</v>
      </c>
      <c r="E37" s="17">
        <f>SUM(ENERO!E37+FEBRERO!E37+MARZO!E37+ABRIL!E37+MAYO!E37+JUN!E37+JUL!E37+AGO!E37+SET!E37+OCT!E37+NOV!E37+DIC!E37)</f>
        <v>2</v>
      </c>
      <c r="F37" s="17">
        <f>SUM(ENERO!F37+FEBRERO!F37+MARZO!F37+ABRIL!F37+MAYO!F37+JUN!F37+JUL!F37+AGO!F37+SET!F37+OCT!F37+NOV!F37+DIC!F37)</f>
        <v>2</v>
      </c>
      <c r="G37" s="17">
        <f>SUM(ENERO!G37+FEBRERO!G37+MARZO!G37+ABRIL!G37+MAYO!G37+JUN!G37+JUL!G37+AGO!G37+SET!G37+OCT!G37+NOV!G37+DIC!G37)</f>
        <v>0</v>
      </c>
      <c r="H37" s="12">
        <f t="shared" si="4"/>
        <v>411</v>
      </c>
      <c r="I37" s="1"/>
      <c r="J37" s="51" t="s">
        <v>161</v>
      </c>
      <c r="K37" s="94">
        <f>SUM(ENERO!K37+FEBRERO!K37+MARZO!K37+ABRIL!K37+MAYO!K37+JUN!K37+JUL!K37+AGO!K37+SET!K37+OCT!K37+NOV!K37+DIC!K37)</f>
        <v>0</v>
      </c>
      <c r="L37" s="94">
        <f>SUM(ENERO!L37+FEBRERO!L37+MARZO!L37+ABRIL!L37+MAYO!L37+JUN!L37+JUL!L37+AGO!L37+SET!L37+OCT!L37+NOV!L37+DIC!L37)</f>
        <v>86</v>
      </c>
      <c r="M37" s="94">
        <f>SUM(ENERO!M37+FEBRERO!M37+MARZO!M37+ABRIL!M37+MAYO!M37+JUN!M37+JUL!M37+AGO!M37+SET!M37+OCT!M37+NOV!M37+DIC!M37)</f>
        <v>0</v>
      </c>
      <c r="N37" s="94">
        <f>SUM(ENERO!N37+FEBRERO!N37+MARZO!N37+ABRIL!N37+MAYO!N37+JUN!N37+JUL!N37+AGO!N37+SET!N37+OCT!N37+NOV!N37+DIC!N37)</f>
        <v>0</v>
      </c>
      <c r="O37" s="94">
        <f>SUM(ENERO!O37+FEBRERO!O37+MARZO!O37+ABRIL!O37+MAYO!O37+JUN!O37+JUL!O37+AGO!O37+SET!O37+OCT!O37+NOV!O37+DIC!O37)</f>
        <v>0</v>
      </c>
      <c r="P37" s="94">
        <f>SUM(ENERO!P37+FEBRERO!P37+MARZO!P37+ABRIL!P37+MAYO!P37+JUN!P37+JUL!P37+AGO!P37+SET!P37+OCT!P37+NOV!P37+DIC!P37)</f>
        <v>0</v>
      </c>
      <c r="Q37" s="46">
        <f t="shared" si="6"/>
        <v>86</v>
      </c>
      <c r="R37" s="4"/>
      <c r="S37" s="1"/>
    </row>
    <row r="38" spans="1:19" ht="15.75" thickBot="1" x14ac:dyDescent="0.3">
      <c r="A38" s="7" t="s">
        <v>66</v>
      </c>
      <c r="B38" s="17">
        <f>SUM(ENERO!B38+FEBRERO!B38+MARZO!B38+ABRIL!B38+MAYO!B38+JUN!B38+JUL!B38+AGO!B38+SET!B38+OCT!B38+NOV!B38+DIC!B38)</f>
        <v>1455</v>
      </c>
      <c r="C38" s="17">
        <f>SUM(ENERO!C38+FEBRERO!C38+MARZO!C38+ABRIL!C38+MAYO!C38+JUN!C38+JUL!C38+AGO!C38+SET!C38+OCT!C38+NOV!C38+DIC!C38)</f>
        <v>657</v>
      </c>
      <c r="D38" s="17">
        <f>SUM(ENERO!D38+FEBRERO!D38+MARZO!D38+ABRIL!D38+MAYO!D38+JUN!D38+JUL!D38+AGO!D38+SET!D38+OCT!D38+NOV!D38+DIC!D38)</f>
        <v>4073</v>
      </c>
      <c r="E38" s="17">
        <f>SUM(ENERO!E38+FEBRERO!E38+MARZO!E38+ABRIL!E38+MAYO!E38+JUN!E38+JUL!E38+AGO!E38+SET!E38+OCT!E38+NOV!E38+DIC!E38)</f>
        <v>247</v>
      </c>
      <c r="F38" s="17">
        <f>SUM(ENERO!F38+FEBRERO!F38+MARZO!F38+ABRIL!F38+MAYO!F38+JUN!F38+JUL!F38+AGO!F38+SET!F38+OCT!F38+NOV!F38+DIC!F38)</f>
        <v>187</v>
      </c>
      <c r="G38" s="17">
        <f>SUM(ENERO!G38+FEBRERO!G38+MARZO!G38+ABRIL!G38+MAYO!G38+JUN!G38+JUL!G38+AGO!G38+SET!G38+OCT!G38+NOV!G38+DIC!G38)</f>
        <v>40</v>
      </c>
      <c r="H38" s="12">
        <f t="shared" si="4"/>
        <v>6659</v>
      </c>
      <c r="I38" s="1"/>
      <c r="J38" s="34"/>
      <c r="K38" s="34"/>
      <c r="L38" s="34"/>
      <c r="M38" s="34"/>
      <c r="N38" s="34"/>
      <c r="O38" s="34"/>
      <c r="P38" s="34"/>
      <c r="R38" s="4"/>
      <c r="S38" s="1"/>
    </row>
    <row r="39" spans="1:19" x14ac:dyDescent="0.25">
      <c r="A39" s="7" t="s">
        <v>67</v>
      </c>
      <c r="B39" s="17">
        <f>SUM(ENERO!B39+FEBRERO!B39+MARZO!B39+ABRIL!B39+MAYO!B39+JUN!B39+JUL!B39+AGO!B39+SET!B39+OCT!B39+NOV!B39+DIC!B39)</f>
        <v>1471</v>
      </c>
      <c r="C39" s="17">
        <f>SUM(ENERO!C39+FEBRERO!C39+MARZO!C39+ABRIL!C39+MAYO!C39+JUN!C39+JUL!C39+AGO!C39+SET!C39+OCT!C39+NOV!C39+DIC!C39)</f>
        <v>658</v>
      </c>
      <c r="D39" s="17">
        <f>SUM(ENERO!D39+FEBRERO!D39+MARZO!D39+ABRIL!D39+MAYO!D39+JUN!D39+JUL!D39+AGO!D39+SET!D39+OCT!D39+NOV!D39+DIC!D39)</f>
        <v>3985</v>
      </c>
      <c r="E39" s="17">
        <f>SUM(ENERO!E39+FEBRERO!E39+MARZO!E39+ABRIL!E39+MAYO!E39+JUN!E39+JUL!E39+AGO!E39+SET!E39+OCT!E39+NOV!E39+DIC!E39)</f>
        <v>254</v>
      </c>
      <c r="F39" s="17">
        <f>SUM(ENERO!F39+FEBRERO!F39+MARZO!F39+ABRIL!F39+MAYO!F39+JUN!F39+JUL!F39+AGO!F39+SET!F39+OCT!F39+NOV!F39+DIC!F39)</f>
        <v>183</v>
      </c>
      <c r="G39" s="17">
        <f>SUM(ENERO!G39+FEBRERO!G39+MARZO!G39+ABRIL!G39+MAYO!G39+JUN!G39+JUL!G39+AGO!G39+SET!G39+OCT!G39+NOV!G39+DIC!G39)</f>
        <v>41</v>
      </c>
      <c r="H39" s="12">
        <f t="shared" si="4"/>
        <v>6592</v>
      </c>
      <c r="I39" s="1"/>
      <c r="J39" s="134" t="s">
        <v>136</v>
      </c>
      <c r="K39" s="136" t="s">
        <v>11</v>
      </c>
      <c r="L39" s="136"/>
      <c r="M39" s="136"/>
      <c r="N39" s="136"/>
      <c r="O39" s="136"/>
      <c r="P39" s="136"/>
      <c r="Q39" s="137"/>
      <c r="R39" s="4"/>
      <c r="S39" s="1"/>
    </row>
    <row r="40" spans="1:19" x14ac:dyDescent="0.25">
      <c r="A40" s="7" t="s">
        <v>77</v>
      </c>
      <c r="B40" s="17">
        <f>SUM(ENERO!B40+FEBRERO!B40+MARZO!B40+ABRIL!B40+MAYO!B40+JUN!B40+JUL!B40+AGO!B40+SET!B40+OCT!B40+NOV!B40+DIC!B40)</f>
        <v>1058</v>
      </c>
      <c r="C40" s="17">
        <f>SUM(ENERO!C40+FEBRERO!C40+MARZO!C40+ABRIL!C40+MAYO!C40+JUN!C40+JUL!C40+AGO!C40+SET!C40+OCT!C40+NOV!C40+DIC!C40)</f>
        <v>96</v>
      </c>
      <c r="D40" s="17">
        <f>SUM(ENERO!D40+FEBRERO!D40+MARZO!D40+ABRIL!D40+MAYO!D40+JUN!D40+JUL!D40+AGO!D40+SET!D40+OCT!D40+NOV!D40+DIC!D40)</f>
        <v>2201</v>
      </c>
      <c r="E40" s="17">
        <f>SUM(ENERO!E40+FEBRERO!E40+MARZO!E40+ABRIL!E40+MAYO!E40+JUN!E40+JUL!E40+AGO!E40+SET!E40+OCT!E40+NOV!E40+DIC!E40)</f>
        <v>119</v>
      </c>
      <c r="F40" s="17">
        <f>SUM(ENERO!F40+FEBRERO!F40+MARZO!F40+ABRIL!F40+MAYO!F40+JUN!F40+JUL!F40+AGO!F40+SET!F40+OCT!F40+NOV!F40+DIC!F40)</f>
        <v>105</v>
      </c>
      <c r="G40" s="17">
        <f>SUM(ENERO!G40+FEBRERO!G40+MARZO!G40+ABRIL!G40+MAYO!G40+JUN!G40+JUL!G40+AGO!G40+SET!G40+OCT!G40+NOV!G40+DIC!G40)</f>
        <v>23</v>
      </c>
      <c r="H40" s="12">
        <f t="shared" si="4"/>
        <v>3602</v>
      </c>
      <c r="I40" s="1"/>
      <c r="J40" s="135"/>
      <c r="K40" s="30" t="s">
        <v>8</v>
      </c>
      <c r="L40" s="30" t="s">
        <v>9</v>
      </c>
      <c r="M40" s="30" t="s">
        <v>10</v>
      </c>
      <c r="N40" s="30" t="s">
        <v>154</v>
      </c>
      <c r="O40" s="30" t="s">
        <v>155</v>
      </c>
      <c r="P40" s="30" t="s">
        <v>147</v>
      </c>
      <c r="Q40" s="54" t="s">
        <v>11</v>
      </c>
      <c r="R40" s="4"/>
      <c r="S40" s="1"/>
    </row>
    <row r="41" spans="1:19" ht="15.75" thickBot="1" x14ac:dyDescent="0.3">
      <c r="A41" s="7" t="s">
        <v>78</v>
      </c>
      <c r="B41" s="17">
        <f>SUM(ENERO!B41+FEBRERO!B41+MARZO!B41+ABRIL!B41+MAYO!B41+JUN!B41+JUL!B41+AGO!B41+SET!B41+OCT!B41+NOV!B41+DIC!B41)</f>
        <v>1020</v>
      </c>
      <c r="C41" s="17">
        <f>SUM(ENERO!C41+FEBRERO!C41+MARZO!C41+ABRIL!C41+MAYO!C41+JUN!C41+JUL!C41+AGO!C41+SET!C41+OCT!C41+NOV!C41+DIC!C41)</f>
        <v>148</v>
      </c>
      <c r="D41" s="17">
        <f>SUM(ENERO!D41+FEBRERO!D41+MARZO!D41+ABRIL!D41+MAYO!D41+JUN!D41+JUL!D41+AGO!D41+SET!D41+OCT!D41+NOV!D41+DIC!D41)</f>
        <v>2742</v>
      </c>
      <c r="E41" s="17">
        <f>SUM(ENERO!E41+FEBRERO!E41+MARZO!E41+ABRIL!E41+MAYO!E41+JUN!E41+JUL!E41+AGO!E41+SET!E41+OCT!E41+NOV!E41+DIC!E41)</f>
        <v>126</v>
      </c>
      <c r="F41" s="17">
        <f>SUM(ENERO!F41+FEBRERO!F41+MARZO!F41+ABRIL!F41+MAYO!F41+JUN!F41+JUL!F41+AGO!F41+SET!F41+OCT!F41+NOV!F41+DIC!F41)</f>
        <v>105</v>
      </c>
      <c r="G41" s="17">
        <f>SUM(ENERO!G41+FEBRERO!G41+MARZO!G41+ABRIL!G41+MAYO!G41+JUN!G41+JUL!G41+AGO!G41+SET!G41+OCT!G41+NOV!G41+DIC!G41)</f>
        <v>22</v>
      </c>
      <c r="H41" s="12">
        <f t="shared" si="4"/>
        <v>4163</v>
      </c>
      <c r="I41" s="1"/>
      <c r="J41" s="95" t="s">
        <v>150</v>
      </c>
      <c r="K41" s="29">
        <f t="shared" ref="K41:P41" si="7">SUM(K42:K49)</f>
        <v>9010</v>
      </c>
      <c r="L41" s="29">
        <f t="shared" si="7"/>
        <v>2815</v>
      </c>
      <c r="M41" s="29">
        <f t="shared" si="7"/>
        <v>136</v>
      </c>
      <c r="N41" s="29">
        <f t="shared" si="7"/>
        <v>45</v>
      </c>
      <c r="O41" s="29">
        <f t="shared" si="7"/>
        <v>9</v>
      </c>
      <c r="P41" s="29">
        <f t="shared" si="7"/>
        <v>0</v>
      </c>
      <c r="Q41" s="96">
        <f>SUM(K41:P41)</f>
        <v>12015</v>
      </c>
      <c r="R41" s="4"/>
      <c r="S41" s="1"/>
    </row>
    <row r="42" spans="1:19" ht="15.75" thickBot="1" x14ac:dyDescent="0.3">
      <c r="A42" s="7" t="s">
        <v>42</v>
      </c>
      <c r="B42" s="17">
        <f>SUM(ENERO!B42+FEBRERO!B42+MARZO!B42+ABRIL!B42+MAYO!B42+JUN!B42+JUL!B42+AGO!B42+SET!B42+OCT!B42+NOV!B42+DIC!B42)</f>
        <v>63</v>
      </c>
      <c r="C42" s="17">
        <f>SUM(ENERO!C42+FEBRERO!C42+MARZO!C42+ABRIL!C42+MAYO!C42+JUN!C42+JUL!C42+AGO!C42+SET!C42+OCT!C42+NOV!C42+DIC!C42)</f>
        <v>8</v>
      </c>
      <c r="D42" s="17">
        <f>SUM(ENERO!D42+FEBRERO!D42+MARZO!D42+ABRIL!D42+MAYO!D42+JUN!D42+JUL!D42+AGO!D42+SET!D42+OCT!D42+NOV!D42+DIC!D42)</f>
        <v>51</v>
      </c>
      <c r="E42" s="17">
        <f>SUM(ENERO!E42+FEBRERO!E42+MARZO!E42+ABRIL!E42+MAYO!E42+JUN!E42+JUL!E42+AGO!E42+SET!E42+OCT!E42+NOV!E42+DIC!E42)</f>
        <v>2</v>
      </c>
      <c r="F42" s="17">
        <f>SUM(ENERO!F42+FEBRERO!F42+MARZO!F42+ABRIL!F42+MAYO!F42+JUN!F42+JUL!F42+AGO!F42+SET!F42+OCT!F42+NOV!F42+DIC!F42)</f>
        <v>0</v>
      </c>
      <c r="G42" s="17">
        <f>SUM(ENERO!G42+FEBRERO!G42+MARZO!G42+ABRIL!G42+MAYO!G42+JUN!G42+JUL!G42+AGO!G42+SET!G42+OCT!G42+NOV!G42+DIC!G42)</f>
        <v>0</v>
      </c>
      <c r="H42" s="12">
        <f t="shared" si="4"/>
        <v>124</v>
      </c>
      <c r="I42" s="1"/>
      <c r="J42" s="97" t="s">
        <v>165</v>
      </c>
      <c r="K42" s="98">
        <f>SUM(ENERO!K42+FEBRERO!K42+MARZO!K42+ABRIL!K42+MAYO!K42+JUN!K42+JUL!K42+AGO!K42+SET!K42+OCT!K42+NOV!K42+DIC!K42)</f>
        <v>1</v>
      </c>
      <c r="L42" s="98">
        <f>SUM(ENERO!L42+FEBRERO!L42+MARZO!L42+ABRIL!L42+MAYO!L42+JUN!L42+JUL!L42+AGO!L42+SET!L42+OCT!L42+NOV!L42+DIC!L42)</f>
        <v>0</v>
      </c>
      <c r="M42" s="98">
        <f>SUM(ENERO!M42+FEBRERO!M42+MARZO!M42+ABRIL!M42+MAYO!M42+JUN!M42+JUL!M42+AGO!M42+SET!M42+OCT!M42+NOV!M42+DIC!M42)</f>
        <v>0</v>
      </c>
      <c r="N42" s="98">
        <f>SUM(ENERO!N42+FEBRERO!N42+MARZO!N42+ABRIL!N42+MAYO!N42+JUN!N42+JUL!N42+AGO!N42+SET!N42+OCT!N42+NOV!N42+DIC!N42)</f>
        <v>0</v>
      </c>
      <c r="O42" s="98">
        <f>SUM(ENERO!O42+FEBRERO!O42+MARZO!O42+ABRIL!O42+MAYO!O42+JUN!O42+JUL!O42+AGO!O42+SET!O42+OCT!O42+NOV!O42+DIC!O42)</f>
        <v>0</v>
      </c>
      <c r="P42" s="98">
        <f>SUM(ENERO!P42+FEBRERO!P42+MARZO!P42+ABRIL!P42+MAYO!P42+JUN!P42+JUL!P42+AGO!P42+SET!P42+OCT!P42+NOV!P42+DIC!P42)</f>
        <v>0</v>
      </c>
      <c r="Q42" s="99">
        <f t="shared" ref="Q42:Q49" si="8">SUM(K42:P42)</f>
        <v>1</v>
      </c>
      <c r="R42" s="4"/>
      <c r="S42" s="1"/>
    </row>
    <row r="43" spans="1:19" ht="15.75" thickBot="1" x14ac:dyDescent="0.3">
      <c r="A43" s="7" t="s">
        <v>43</v>
      </c>
      <c r="B43" s="17">
        <f>SUM(ENERO!B43+FEBRERO!B43+MARZO!B43+ABRIL!B43+MAYO!B43+JUN!B43+JUL!B43+AGO!B43+SET!B43+OCT!B43+NOV!B43+DIC!B43)</f>
        <v>153</v>
      </c>
      <c r="C43" s="17">
        <f>SUM(ENERO!C43+FEBRERO!C43+MARZO!C43+ABRIL!C43+MAYO!C43+JUN!C43+JUL!C43+AGO!C43+SET!C43+OCT!C43+NOV!C43+DIC!C43)</f>
        <v>18</v>
      </c>
      <c r="D43" s="17">
        <f>SUM(ENERO!D43+FEBRERO!D43+MARZO!D43+ABRIL!D43+MAYO!D43+JUN!D43+JUL!D43+AGO!D43+SET!D43+OCT!D43+NOV!D43+DIC!D43)</f>
        <v>468</v>
      </c>
      <c r="E43" s="17">
        <f>SUM(ENERO!E43+FEBRERO!E43+MARZO!E43+ABRIL!E43+MAYO!E43+JUN!E43+JUL!E43+AGO!E43+SET!E43+OCT!E43+NOV!E43+DIC!E43)</f>
        <v>25</v>
      </c>
      <c r="F43" s="17">
        <f>SUM(ENERO!F43+FEBRERO!F43+MARZO!F43+ABRIL!F43+MAYO!F43+JUN!F43+JUL!F43+AGO!F43+SET!F43+OCT!F43+NOV!F43+DIC!F43)</f>
        <v>9</v>
      </c>
      <c r="G43" s="17">
        <f>SUM(ENERO!G43+FEBRERO!G43+MARZO!G43+ABRIL!G43+MAYO!G43+JUN!G43+JUL!G43+AGO!G43+SET!G43+OCT!G43+NOV!G43+DIC!G43)</f>
        <v>0</v>
      </c>
      <c r="H43" s="12">
        <f t="shared" si="4"/>
        <v>673</v>
      </c>
      <c r="I43" s="1"/>
      <c r="J43" s="86" t="s">
        <v>166</v>
      </c>
      <c r="K43" s="98">
        <f>SUM(ENERO!K43+FEBRERO!K43+MARZO!K43+ABRIL!K43+MAYO!K43+JUN!K43+JUL!K43+AGO!K43+SET!K43+OCT!K43+NOV!K43+DIC!K43)</f>
        <v>2348</v>
      </c>
      <c r="L43" s="98">
        <f>SUM(ENERO!L43+FEBRERO!L43+MARZO!L43+ABRIL!L43+MAYO!L43+JUN!L43+JUL!L43+AGO!L43+SET!L43+OCT!L43+NOV!L43+DIC!L43)</f>
        <v>869</v>
      </c>
      <c r="M43" s="98">
        <f>SUM(ENERO!M43+FEBRERO!M43+MARZO!M43+ABRIL!M43+MAYO!M43+JUN!M43+JUL!M43+AGO!M43+SET!M43+OCT!M43+NOV!M43+DIC!M43)</f>
        <v>41</v>
      </c>
      <c r="N43" s="98">
        <f>SUM(ENERO!N43+FEBRERO!N43+MARZO!N43+ABRIL!N43+MAYO!N43+JUN!N43+JUL!N43+AGO!N43+SET!N43+OCT!N43+NOV!N43+DIC!N43)</f>
        <v>16</v>
      </c>
      <c r="O43" s="98">
        <f>SUM(ENERO!O43+FEBRERO!O43+MARZO!O43+ABRIL!O43+MAYO!O43+JUN!O43+JUL!O43+AGO!O43+SET!O43+OCT!O43+NOV!O43+DIC!O43)</f>
        <v>4</v>
      </c>
      <c r="P43" s="98">
        <f>SUM(ENERO!P43+FEBRERO!P43+MARZO!P43+ABRIL!P43+MAYO!P43+JUN!P43+JUL!P43+AGO!P43+SET!P43+OCT!P43+NOV!P43+DIC!P43)</f>
        <v>0</v>
      </c>
      <c r="Q43" s="40">
        <f t="shared" si="8"/>
        <v>3278</v>
      </c>
      <c r="R43" s="4"/>
      <c r="S43" s="1"/>
    </row>
    <row r="44" spans="1:19" ht="15.75" thickBot="1" x14ac:dyDescent="0.3">
      <c r="A44" s="7" t="s">
        <v>101</v>
      </c>
      <c r="B44" s="17">
        <f>SUM(ENERO!B44+FEBRERO!B44+MARZO!B44+ABRIL!B44+MAYO!B44+JUN!B44+JUL!B44+AGO!B44+SET!B44+OCT!B44+NOV!B44+DIC!B44)</f>
        <v>234</v>
      </c>
      <c r="C44" s="17">
        <f>SUM(ENERO!C44+FEBRERO!C44+MARZO!C44+ABRIL!C44+MAYO!C44+JUN!C44+JUL!C44+AGO!C44+SET!C44+OCT!C44+NOV!C44+DIC!C44)</f>
        <v>5</v>
      </c>
      <c r="D44" s="17">
        <f>SUM(ENERO!D44+FEBRERO!D44+MARZO!D44+ABRIL!D44+MAYO!D44+JUN!D44+JUL!D44+AGO!D44+SET!D44+OCT!D44+NOV!D44+DIC!D44)</f>
        <v>255</v>
      </c>
      <c r="E44" s="17">
        <f>SUM(ENERO!E44+FEBRERO!E44+MARZO!E44+ABRIL!E44+MAYO!E44+JUN!E44+JUL!E44+AGO!E44+SET!E44+OCT!E44+NOV!E44+DIC!E44)</f>
        <v>6</v>
      </c>
      <c r="F44" s="17">
        <f>SUM(ENERO!F44+FEBRERO!F44+MARZO!F44+ABRIL!F44+MAYO!F44+JUN!F44+JUL!F44+AGO!F44+SET!F44+OCT!F44+NOV!F44+DIC!F44)</f>
        <v>5</v>
      </c>
      <c r="G44" s="17">
        <f>SUM(ENERO!G44+FEBRERO!G44+MARZO!G44+ABRIL!G44+MAYO!G44+JUN!G44+JUL!G44+AGO!G44+SET!G44+OCT!G44+NOV!G44+DIC!G44)</f>
        <v>0</v>
      </c>
      <c r="H44" s="12">
        <f t="shared" si="4"/>
        <v>505</v>
      </c>
      <c r="I44" s="1"/>
      <c r="J44" s="86" t="s">
        <v>167</v>
      </c>
      <c r="K44" s="98">
        <f>SUM(ENERO!K44+FEBRERO!K44+MARZO!K44+ABRIL!K44+MAYO!K44+JUN!K44+JUL!K44+AGO!K44+SET!K44+OCT!K44+NOV!K44+DIC!K44)</f>
        <v>277</v>
      </c>
      <c r="L44" s="98">
        <f>SUM(ENERO!L44+FEBRERO!L44+MARZO!L44+ABRIL!L44+MAYO!L44+JUN!L44+JUL!L44+AGO!L44+SET!L44+OCT!L44+NOV!L44+DIC!L44)</f>
        <v>52</v>
      </c>
      <c r="M44" s="98">
        <f>SUM(ENERO!M44+FEBRERO!M44+MARZO!M44+ABRIL!M44+MAYO!M44+JUN!M44+JUL!M44+AGO!M44+SET!M44+OCT!M44+NOV!M44+DIC!M44)</f>
        <v>0</v>
      </c>
      <c r="N44" s="98">
        <f>SUM(ENERO!N44+FEBRERO!N44+MARZO!N44+ABRIL!N44+MAYO!N44+JUN!N44+JUL!N44+AGO!N44+SET!N44+OCT!N44+NOV!N44+DIC!N44)</f>
        <v>0</v>
      </c>
      <c r="O44" s="98">
        <f>SUM(ENERO!O44+FEBRERO!O44+MARZO!O44+ABRIL!O44+MAYO!O44+JUN!O44+JUL!O44+AGO!O44+SET!O44+OCT!O44+NOV!O44+DIC!O44)</f>
        <v>0</v>
      </c>
      <c r="P44" s="98">
        <f>SUM(ENERO!P44+FEBRERO!P44+MARZO!P44+ABRIL!P44+MAYO!P44+JUN!P44+JUL!P44+AGO!P44+SET!P44+OCT!P44+NOV!P44+DIC!P44)</f>
        <v>0</v>
      </c>
      <c r="Q44" s="40">
        <f t="shared" si="8"/>
        <v>329</v>
      </c>
      <c r="R44" s="4"/>
      <c r="S44" s="1"/>
    </row>
    <row r="45" spans="1:19" ht="15.75" thickBot="1" x14ac:dyDescent="0.3">
      <c r="A45" s="7" t="s">
        <v>95</v>
      </c>
      <c r="B45" s="17">
        <f>SUM(ENERO!B45+FEBRERO!B45+MARZO!B45+ABRIL!B45+MAYO!B45+JUN!B45+JUL!B45+AGO!B45+SET!B45+OCT!B45+NOV!B45+DIC!B45)</f>
        <v>449</v>
      </c>
      <c r="C45" s="17">
        <f>SUM(ENERO!C45+FEBRERO!C45+MARZO!C45+ABRIL!C45+MAYO!C45+JUN!C45+JUL!C45+AGO!C45+SET!C45+OCT!C45+NOV!C45+DIC!C45)</f>
        <v>1254</v>
      </c>
      <c r="D45" s="17">
        <f>SUM(ENERO!D45+FEBRERO!D45+MARZO!D45+ABRIL!D45+MAYO!D45+JUN!D45+JUL!D45+AGO!D45+SET!D45+OCT!D45+NOV!D45+DIC!D45)</f>
        <v>220</v>
      </c>
      <c r="E45" s="17">
        <f>SUM(ENERO!E45+FEBRERO!E45+MARZO!E45+ABRIL!E45+MAYO!E45+JUN!E45+JUL!E45+AGO!E45+SET!E45+OCT!E45+NOV!E45+DIC!E45)</f>
        <v>28</v>
      </c>
      <c r="F45" s="17">
        <f>SUM(ENERO!F45+FEBRERO!F45+MARZO!F45+ABRIL!F45+MAYO!F45+JUN!F45+JUL!F45+AGO!F45+SET!F45+OCT!F45+NOV!F45+DIC!F45)</f>
        <v>5</v>
      </c>
      <c r="G45" s="17">
        <f>SUM(ENERO!G45+FEBRERO!G45+MARZO!G45+ABRIL!G45+MAYO!G45+JUN!G45+JUL!G45+AGO!G45+SET!G45+OCT!G45+NOV!G45+DIC!G45)</f>
        <v>0</v>
      </c>
      <c r="H45" s="12">
        <f t="shared" si="4"/>
        <v>1956</v>
      </c>
      <c r="I45" s="1"/>
      <c r="J45" s="86" t="s">
        <v>168</v>
      </c>
      <c r="K45" s="98">
        <f>SUM(ENERO!K45+FEBRERO!K45+MARZO!K45+ABRIL!K45+MAYO!K45+JUN!K45+JUL!K45+AGO!K45+SET!K45+OCT!K45+NOV!K45+DIC!K45)</f>
        <v>178</v>
      </c>
      <c r="L45" s="98">
        <f>SUM(ENERO!L45+FEBRERO!L45+MARZO!L45+ABRIL!L45+MAYO!L45+JUN!L45+JUL!L45+AGO!L45+SET!L45+OCT!L45+NOV!L45+DIC!L45)</f>
        <v>25</v>
      </c>
      <c r="M45" s="98">
        <f>SUM(ENERO!M45+FEBRERO!M45+MARZO!M45+ABRIL!M45+MAYO!M45+JUN!M45+JUL!M45+AGO!M45+SET!M45+OCT!M45+NOV!M45+DIC!M45)</f>
        <v>0</v>
      </c>
      <c r="N45" s="98">
        <f>SUM(ENERO!N45+FEBRERO!N45+MARZO!N45+ABRIL!N45+MAYO!N45+JUN!N45+JUL!N45+AGO!N45+SET!N45+OCT!N45+NOV!N45+DIC!N45)</f>
        <v>0</v>
      </c>
      <c r="O45" s="98">
        <f>SUM(ENERO!O45+FEBRERO!O45+MARZO!O45+ABRIL!O45+MAYO!O45+JUN!O45+JUL!O45+AGO!O45+SET!O45+OCT!O45+NOV!O45+DIC!O45)</f>
        <v>0</v>
      </c>
      <c r="P45" s="98">
        <f>SUM(ENERO!P45+FEBRERO!P45+MARZO!P45+ABRIL!P45+MAYO!P45+JUN!P45+JUL!P45+AGO!P45+SET!P45+OCT!P45+NOV!P45+DIC!P45)</f>
        <v>0</v>
      </c>
      <c r="Q45" s="40">
        <f>SUM(K45:P45)</f>
        <v>203</v>
      </c>
      <c r="R45" s="4"/>
      <c r="S45" s="1"/>
    </row>
    <row r="46" spans="1:19" ht="15.75" thickBot="1" x14ac:dyDescent="0.3">
      <c r="A46" s="7" t="s">
        <v>96</v>
      </c>
      <c r="B46" s="17">
        <f>SUM(ENERO!B46+FEBRERO!B46+MARZO!B46+ABRIL!B46+MAYO!B46+JUN!B46+JUL!B46+AGO!B46+SET!B46+OCT!B46+NOV!B46+DIC!B46)</f>
        <v>212</v>
      </c>
      <c r="C46" s="17">
        <f>SUM(ENERO!C46+FEBRERO!C46+MARZO!C46+ABRIL!C46+MAYO!C46+JUN!C46+JUL!C46+AGO!C46+SET!C46+OCT!C46+NOV!C46+DIC!C46)</f>
        <v>3</v>
      </c>
      <c r="D46" s="17">
        <f>SUM(ENERO!D46+FEBRERO!D46+MARZO!D46+ABRIL!D46+MAYO!D46+JUN!D46+JUL!D46+AGO!D46+SET!D46+OCT!D46+NOV!D46+DIC!D46)</f>
        <v>174</v>
      </c>
      <c r="E46" s="17">
        <f>SUM(ENERO!E46+FEBRERO!E46+MARZO!E46+ABRIL!E46+MAYO!E46+JUN!E46+JUL!E46+AGO!E46+SET!E46+OCT!E46+NOV!E46+DIC!E46)</f>
        <v>0</v>
      </c>
      <c r="F46" s="17">
        <f>SUM(ENERO!F46+FEBRERO!F46+MARZO!F46+ABRIL!F46+MAYO!F46+JUN!F46+JUL!F46+AGO!F46+SET!F46+OCT!F46+NOV!F46+DIC!F46)</f>
        <v>4</v>
      </c>
      <c r="G46" s="17">
        <f>SUM(ENERO!G46+FEBRERO!G46+MARZO!G46+ABRIL!G46+MAYO!G46+JUN!G46+JUL!G46+AGO!G46+SET!G46+OCT!G46+NOV!G46+DIC!G46)</f>
        <v>0</v>
      </c>
      <c r="H46" s="12">
        <f t="shared" si="4"/>
        <v>393</v>
      </c>
      <c r="J46" s="86" t="s">
        <v>34</v>
      </c>
      <c r="K46" s="98">
        <f>SUM(ENERO!K46+FEBRERO!K46+MARZO!K46+ABRIL!K46+MAYO!K46+JUN!K46+JUL!K46+AGO!K46+SET!K46+OCT!K46+NOV!K46+DIC!K46)</f>
        <v>399</v>
      </c>
      <c r="L46" s="98">
        <f>SUM(ENERO!L46+FEBRERO!L46+MARZO!L46+ABRIL!L46+MAYO!L46+JUN!L46+JUL!L46+AGO!L46+SET!L46+OCT!L46+NOV!L46+DIC!L46)</f>
        <v>45</v>
      </c>
      <c r="M46" s="98">
        <f>SUM(ENERO!M46+FEBRERO!M46+MARZO!M46+ABRIL!M46+MAYO!M46+JUN!M46+JUL!M46+AGO!M46+SET!M46+OCT!M46+NOV!M46+DIC!M46)</f>
        <v>0</v>
      </c>
      <c r="N46" s="98">
        <f>SUM(ENERO!N46+FEBRERO!N46+MARZO!N46+ABRIL!N46+MAYO!N46+JUN!N46+JUL!N46+AGO!N46+SET!N46+OCT!N46+NOV!N46+DIC!N46)</f>
        <v>0</v>
      </c>
      <c r="O46" s="98">
        <f>SUM(ENERO!O46+FEBRERO!O46+MARZO!O46+ABRIL!O46+MAYO!O46+JUN!O46+JUL!O46+AGO!O46+SET!O46+OCT!O46+NOV!O46+DIC!O46)</f>
        <v>0</v>
      </c>
      <c r="P46" s="98">
        <f>SUM(ENERO!P46+FEBRERO!P46+MARZO!P46+ABRIL!P46+MAYO!P46+JUN!P46+JUL!P46+AGO!P46+SET!P46+OCT!P46+NOV!P46+DIC!P46)</f>
        <v>0</v>
      </c>
      <c r="Q46" s="40">
        <f t="shared" si="8"/>
        <v>444</v>
      </c>
      <c r="R46" s="4"/>
      <c r="S46" s="1"/>
    </row>
    <row r="47" spans="1:19" ht="15.75" thickBot="1" x14ac:dyDescent="0.3">
      <c r="A47" s="7" t="s">
        <v>97</v>
      </c>
      <c r="B47" s="17">
        <f>SUM(ENERO!B47+FEBRERO!B47+MARZO!B47+ABRIL!B47+MAYO!B47+JUN!B47+JUL!B47+AGO!B47+SET!B47+OCT!B47+NOV!B47+DIC!B47)</f>
        <v>293</v>
      </c>
      <c r="C47" s="17">
        <f>SUM(ENERO!C47+FEBRERO!C47+MARZO!C47+ABRIL!C47+MAYO!C47+JUN!C47+JUL!C47+AGO!C47+SET!C47+OCT!C47+NOV!C47+DIC!C47)</f>
        <v>49</v>
      </c>
      <c r="D47" s="17">
        <f>SUM(ENERO!D47+FEBRERO!D47+MARZO!D47+ABRIL!D47+MAYO!D47+JUN!D47+JUL!D47+AGO!D47+SET!D47+OCT!D47+NOV!D47+DIC!D47)</f>
        <v>252</v>
      </c>
      <c r="E47" s="17">
        <f>SUM(ENERO!E47+FEBRERO!E47+MARZO!E47+ABRIL!E47+MAYO!E47+JUN!E47+JUL!E47+AGO!E47+SET!E47+OCT!E47+NOV!E47+DIC!E47)</f>
        <v>5</v>
      </c>
      <c r="F47" s="17">
        <f>SUM(ENERO!F47+FEBRERO!F47+MARZO!F47+ABRIL!F47+MAYO!F47+JUN!F47+JUL!F47+AGO!F47+SET!F47+OCT!F47+NOV!F47+DIC!F47)</f>
        <v>6</v>
      </c>
      <c r="G47" s="17">
        <f>SUM(ENERO!G47+FEBRERO!G47+MARZO!G47+ABRIL!G47+MAYO!G47+JUN!G47+JUL!G47+AGO!G47+SET!G47+OCT!G47+NOV!G47+DIC!G47)</f>
        <v>0</v>
      </c>
      <c r="H47" s="12">
        <f t="shared" si="4"/>
        <v>605</v>
      </c>
      <c r="I47" s="1"/>
      <c r="J47" s="86" t="s">
        <v>179</v>
      </c>
      <c r="K47" s="98">
        <f>SUM(ENERO!K47+FEBRERO!K47+MARZO!K47+ABRIL!K47+MAYO!K47+JUN!K47+JUL!K47+AGO!K47+SET!K47+OCT!K47+NOV!K47+DIC!K47)</f>
        <v>2168</v>
      </c>
      <c r="L47" s="98">
        <f>SUM(ENERO!L47+FEBRERO!L47+MARZO!L47+ABRIL!L47+MAYO!L47+JUN!L47+JUL!L47+AGO!L47+SET!L47+OCT!L47+NOV!L47+DIC!L47)</f>
        <v>751</v>
      </c>
      <c r="M47" s="98">
        <f>SUM(ENERO!M47+FEBRERO!M47+MARZO!M47+ABRIL!M47+MAYO!M47+JUN!M47+JUL!M47+AGO!M47+SET!M47+OCT!M47+NOV!M47+DIC!M47)</f>
        <v>39</v>
      </c>
      <c r="N47" s="98">
        <f>SUM(ENERO!N47+FEBRERO!N47+MARZO!N47+ABRIL!N47+MAYO!N47+JUN!N47+JUL!N47+AGO!N47+SET!N47+OCT!N47+NOV!N47+DIC!N47)</f>
        <v>5</v>
      </c>
      <c r="O47" s="98">
        <f>SUM(ENERO!O47+FEBRERO!O47+MARZO!O47+ABRIL!O47+MAYO!O47+JUN!O47+JUL!O47+AGO!O47+SET!O47+OCT!O47+NOV!O47+DIC!O47)</f>
        <v>1</v>
      </c>
      <c r="P47" s="98">
        <f>SUM(ENERO!P47+FEBRERO!P47+MARZO!P47+ABRIL!P47+MAYO!P47+JUN!P47+JUL!P47+AGO!P47+SET!P47+OCT!P47+NOV!P47+DIC!P47)</f>
        <v>0</v>
      </c>
      <c r="Q47" s="40">
        <f t="shared" si="8"/>
        <v>2964</v>
      </c>
      <c r="R47" s="4"/>
      <c r="S47" s="1"/>
    </row>
    <row r="48" spans="1:19" ht="15.75" thickBot="1" x14ac:dyDescent="0.3">
      <c r="A48" s="36" t="s">
        <v>98</v>
      </c>
      <c r="B48" s="17">
        <f>SUM(ENERO!B48+FEBRERO!B48+MARZO!B48+ABRIL!B48+MAYO!B48+JUN!B48+JUL!B48+AGO!B48+SET!B48+OCT!B48+NOV!B48+DIC!B48)</f>
        <v>303</v>
      </c>
      <c r="C48" s="17">
        <f>SUM(ENERO!C48+FEBRERO!C48+MARZO!C48+ABRIL!C48+MAYO!C48+JUN!C48+JUL!C48+AGO!C48+SET!C48+OCT!C48+NOV!C48+DIC!C48)</f>
        <v>49</v>
      </c>
      <c r="D48" s="17">
        <f>SUM(ENERO!D48+FEBRERO!D48+MARZO!D48+ABRIL!D48+MAYO!D48+JUN!D48+JUL!D48+AGO!D48+SET!D48+OCT!D48+NOV!D48+DIC!D48)</f>
        <v>268</v>
      </c>
      <c r="E48" s="17">
        <f>SUM(ENERO!E48+FEBRERO!E48+MARZO!E48+ABRIL!E48+MAYO!E48+JUN!E48+JUL!E48+AGO!E48+SET!E48+OCT!E48+NOV!E48+DIC!E48)</f>
        <v>5</v>
      </c>
      <c r="F48" s="17">
        <f>SUM(ENERO!F48+FEBRERO!F48+MARZO!F48+ABRIL!F48+MAYO!F48+JUN!F48+JUL!F48+AGO!F48+SET!F48+OCT!F48+NOV!F48+DIC!F48)</f>
        <v>6</v>
      </c>
      <c r="G48" s="17">
        <f>SUM(ENERO!G48+FEBRERO!G48+MARZO!G48+ABRIL!G48+MAYO!G48+JUN!G48+JUL!G48+AGO!G48+SET!G48+OCT!G48+NOV!G48+DIC!G48)</f>
        <v>0</v>
      </c>
      <c r="H48" s="12">
        <f t="shared" si="4"/>
        <v>631</v>
      </c>
      <c r="I48" s="1"/>
      <c r="J48" s="86" t="s">
        <v>177</v>
      </c>
      <c r="K48" s="98">
        <f>SUM(ENERO!K48+FEBRERO!K48+MARZO!K48+ABRIL!K48+MAYO!K48+JUN!K48+JUL!K48+AGO!K48+SET!K48+OCT!K48+NOV!K48+DIC!K48)</f>
        <v>3021</v>
      </c>
      <c r="L48" s="98">
        <f>SUM(ENERO!L48+FEBRERO!L48+MARZO!L48+ABRIL!L48+MAYO!L48+JUN!L48+JUL!L48+AGO!L48+SET!L48+OCT!L48+NOV!L48+DIC!L48)</f>
        <v>988</v>
      </c>
      <c r="M48" s="98">
        <f>SUM(ENERO!M48+FEBRERO!M48+MARZO!M48+ABRIL!M48+MAYO!M48+JUN!M48+JUL!M48+AGO!M48+SET!M48+OCT!M48+NOV!M48+DIC!M48)</f>
        <v>56</v>
      </c>
      <c r="N48" s="98">
        <f>SUM(ENERO!N48+FEBRERO!N48+MARZO!N48+ABRIL!N48+MAYO!N48+JUN!N48+JUL!N48+AGO!N48+SET!N48+OCT!N48+NOV!N48+DIC!N48)</f>
        <v>20</v>
      </c>
      <c r="O48" s="98">
        <f>SUM(ENERO!O48+FEBRERO!O48+MARZO!O48+ABRIL!O48+MAYO!O48+JUN!O48+JUL!O48+AGO!O48+SET!O48+OCT!O48+NOV!O48+DIC!O48)</f>
        <v>4</v>
      </c>
      <c r="P48" s="98">
        <f>SUM(ENERO!P48+FEBRERO!P48+MARZO!P48+ABRIL!P48+MAYO!P48+JUN!P48+JUL!P48+AGO!P48+SET!P48+OCT!P48+NOV!P48+DIC!P48)</f>
        <v>0</v>
      </c>
      <c r="Q48" s="40">
        <f t="shared" si="8"/>
        <v>4089</v>
      </c>
      <c r="R48" s="4"/>
      <c r="S48" s="1"/>
    </row>
    <row r="49" spans="1:19" ht="15.75" thickBot="1" x14ac:dyDescent="0.3">
      <c r="A49" s="7" t="s">
        <v>86</v>
      </c>
      <c r="B49" s="17">
        <f>SUM(ENERO!B49+FEBRERO!B49+MARZO!B49+ABRIL!B49+MAYO!B49+JUN!B49+JUL!B49+AGO!B49+SET!B49+OCT!B49+NOV!B49+DIC!B49)</f>
        <v>0</v>
      </c>
      <c r="C49" s="17">
        <f>SUM(ENERO!C49+FEBRERO!C49+MARZO!C49+ABRIL!C49+MAYO!C49+JUN!C49+JUL!C49+AGO!C49+SET!C49+OCT!C49+NOV!C49+DIC!C49)</f>
        <v>8516</v>
      </c>
      <c r="D49" s="17">
        <f>SUM(ENERO!D49+FEBRERO!D49+MARZO!D49+ABRIL!D49+MAYO!D49+JUN!D49+JUL!D49+AGO!D49+SET!D49+OCT!D49+NOV!D49+DIC!D49)</f>
        <v>12</v>
      </c>
      <c r="E49" s="17">
        <f>SUM(ENERO!E49+FEBRERO!E49+MARZO!E49+ABRIL!E49+MAYO!E49+JUN!E49+JUL!E49+AGO!E49+SET!E49+OCT!E49+NOV!E49+DIC!E49)</f>
        <v>31</v>
      </c>
      <c r="F49" s="17">
        <f>SUM(ENERO!F49+FEBRERO!F49+MARZO!F49+ABRIL!F49+MAYO!F49+JUN!F49+JUL!F49+AGO!F49+SET!F49+OCT!F49+NOV!F49+DIC!F49)</f>
        <v>0</v>
      </c>
      <c r="G49" s="17">
        <f>SUM(ENERO!G49+FEBRERO!G49+MARZO!G49+ABRIL!G49+MAYO!G49+JUN!G49+JUL!G49+AGO!G49+SET!G49+OCT!G49+NOV!G49+DIC!G49)</f>
        <v>0</v>
      </c>
      <c r="H49" s="14">
        <f>SUM(B49:G49)</f>
        <v>8559</v>
      </c>
      <c r="I49" s="1"/>
      <c r="J49" s="87" t="s">
        <v>178</v>
      </c>
      <c r="K49" s="115">
        <f>SUM(ENERO!K49+FEBRERO!K49+MARZO!K49+ABRIL!K49+MAYO!K49+JUN!K49+JUL!K49+AGO!K49+SET!K49+OCT!K49+NOV!K49+DIC!K49)</f>
        <v>618</v>
      </c>
      <c r="L49" s="115">
        <f>SUM(ENERO!L49+FEBRERO!L49+MARZO!L49+ABRIL!L49+MAYO!L49+JUN!L49+JUL!L49+AGO!L49+SET!L49+OCT!L49+NOV!L49+DIC!L49)</f>
        <v>85</v>
      </c>
      <c r="M49" s="115">
        <f>SUM(ENERO!M49+FEBRERO!M49+MARZO!M49+ABRIL!M49+MAYO!M49+JUN!M49+JUL!M49+AGO!M49+SET!M49+OCT!M49+NOV!M49+DIC!M49)</f>
        <v>0</v>
      </c>
      <c r="N49" s="115">
        <f>SUM(ENERO!N49+FEBRERO!N49+MARZO!N49+ABRIL!N49+MAYO!N49+JUN!N49+JUL!N49+AGO!N49+SET!N49+OCT!N49+NOV!N49+DIC!N49)</f>
        <v>4</v>
      </c>
      <c r="O49" s="115">
        <f>SUM(ENERO!O49+FEBRERO!O49+MARZO!O49+ABRIL!O49+MAYO!O49+JUN!O49+JUL!O49+AGO!O49+SET!O49+OCT!O49+NOV!O49+DIC!O49)</f>
        <v>0</v>
      </c>
      <c r="P49" s="115">
        <f>SUM(ENERO!P49+FEBRERO!P49+MARZO!P49+ABRIL!P49+MAYO!P49+JUN!P49+JUL!P49+AGO!P49+SET!P49+OCT!P49+NOV!P49+DIC!P49)</f>
        <v>0</v>
      </c>
      <c r="Q49" s="46">
        <f t="shared" si="8"/>
        <v>707</v>
      </c>
      <c r="R49" s="4"/>
      <c r="S49" s="1"/>
    </row>
    <row r="50" spans="1:19" x14ac:dyDescent="0.25">
      <c r="A50" s="18" t="s">
        <v>87</v>
      </c>
      <c r="B50" s="17">
        <f>SUM(ENERO!B50+FEBRERO!B50+MARZO!B50+ABRIL!B50+MAYO!B50+JUN!B50+JUL!B50+AGO!B50+SET!B50+OCT!B50+NOV!B50+DIC!B50)</f>
        <v>5136</v>
      </c>
      <c r="C50" s="17">
        <f>SUM(ENERO!C50+FEBRERO!C50+MARZO!C50+ABRIL!C50+MAYO!C50+JUN!C50+JUL!C50+AGO!C50+SET!C50+OCT!C50+NOV!C50+DIC!C50)</f>
        <v>6803</v>
      </c>
      <c r="D50" s="17">
        <f>SUM(ENERO!D50+FEBRERO!D50+MARZO!D50+ABRIL!D50+MAYO!D50+JUN!D50+JUL!D50+AGO!D50+SET!D50+OCT!D50+NOV!D50+DIC!D50)</f>
        <v>1680</v>
      </c>
      <c r="E50" s="17">
        <f>SUM(ENERO!E50+FEBRERO!E50+MARZO!E50+ABRIL!E50+MAYO!E50+JUN!E50+JUL!E50+AGO!E50+SET!E50+OCT!E50+NOV!E50+DIC!E50)</f>
        <v>159</v>
      </c>
      <c r="F50" s="17">
        <f>SUM(ENERO!F50+FEBRERO!F50+MARZO!F50+ABRIL!F50+MAYO!F50+JUN!F50+JUL!F50+AGO!F50+SET!F50+OCT!F50+NOV!F50+DIC!F50)</f>
        <v>70</v>
      </c>
      <c r="G50" s="17">
        <f>SUM(ENERO!G50+FEBRERO!G50+MARZO!G50+ABRIL!G50+MAYO!G50+JUN!G50+JUL!G50+AGO!G50+SET!G50+OCT!G50+NOV!G50+DIC!G50)</f>
        <v>4</v>
      </c>
      <c r="H50" s="14">
        <f>SUM(B50:G50)</f>
        <v>13852</v>
      </c>
      <c r="I50" s="1"/>
      <c r="J50" s="158"/>
      <c r="K50" s="158"/>
      <c r="L50" s="158"/>
      <c r="M50" s="158"/>
      <c r="N50" s="34"/>
      <c r="O50" s="34"/>
      <c r="P50" s="34"/>
      <c r="Q50" s="35"/>
      <c r="R50" s="4"/>
      <c r="S50" s="1"/>
    </row>
    <row r="51" spans="1:19" ht="15.75" thickBot="1" x14ac:dyDescent="0.3">
      <c r="A51" s="113" t="s">
        <v>139</v>
      </c>
      <c r="B51" s="75">
        <f t="shared" ref="B51:G51" si="9">SUM(B52:B68)</f>
        <v>35510</v>
      </c>
      <c r="C51" s="75">
        <f t="shared" si="9"/>
        <v>60847</v>
      </c>
      <c r="D51" s="77">
        <f t="shared" si="9"/>
        <v>32153</v>
      </c>
      <c r="E51" s="75">
        <f t="shared" si="9"/>
        <v>2000</v>
      </c>
      <c r="F51" s="75">
        <f t="shared" si="9"/>
        <v>1076</v>
      </c>
      <c r="G51" s="112">
        <f t="shared" si="9"/>
        <v>93</v>
      </c>
      <c r="H51" s="75">
        <f>SUM(B51:G51)</f>
        <v>131679</v>
      </c>
      <c r="I51" s="1"/>
      <c r="Q51" s="24"/>
      <c r="R51" s="4"/>
      <c r="S51" s="1"/>
    </row>
    <row r="52" spans="1:19" x14ac:dyDescent="0.25">
      <c r="A52" s="8" t="s">
        <v>90</v>
      </c>
      <c r="B52" s="37">
        <f>SUM(ENERO!B52+FEBRERO!B52+MARZO!B52+ABRIL!B52+MAYO!B52+JUN!B52+JUL!B52+AGO!B52+SET!B52+OCT!B52+NOV!B52+DIC!B52)</f>
        <v>4013</v>
      </c>
      <c r="C52" s="13">
        <f>SUM(ENERO!C52+FEBRERO!C52+MARZO!C52+ABRIL!C52+MAYO!C52+JUN!C52+JUL!C52+AGO!C52+SET!C52+OCT!C52+NOV!C52+DIC!C52)</f>
        <v>1385</v>
      </c>
      <c r="D52" s="13">
        <f>SUM(ENERO!D52+FEBRERO!D52+MARZO!D52+ABRIL!D52+MAYO!D52+JUN!D52+JUL!D52+AGO!D52+SET!D52+OCT!D52+NOV!D52+DIC!D52)</f>
        <v>1224</v>
      </c>
      <c r="E52" s="13">
        <f>SUM(ENERO!E52+FEBRERO!E52+MARZO!E52+ABRIL!E52+MAYO!E52+JUN!E52+JUL!E52+AGO!E52+SET!E52+OCT!E52+NOV!E52+DIC!E52)</f>
        <v>67</v>
      </c>
      <c r="F52" s="13">
        <f>SUM(ENERO!F52+FEBRERO!F52+MARZO!F52+ABRIL!F52+MAYO!F52+JUN!F52+JUL!F52+AGO!F52+SET!F52+OCT!F52+NOV!F52+DIC!F52)</f>
        <v>27</v>
      </c>
      <c r="G52" s="13">
        <f>SUM(ENERO!G52+FEBRERO!G52+MARZO!G52+ABRIL!G52+MAYO!G52+JUN!G52+JUL!G52+AGO!G52+SET!G52+OCT!G52+NOV!G52+DIC!G52)</f>
        <v>0</v>
      </c>
      <c r="H52" s="26">
        <f t="shared" ref="H52:H113" si="10">SUM(B52:G52)</f>
        <v>6716</v>
      </c>
      <c r="I52" s="1"/>
      <c r="J52" s="159" t="s">
        <v>152</v>
      </c>
      <c r="K52" s="160"/>
      <c r="L52" s="160"/>
      <c r="M52" s="160"/>
      <c r="N52" s="160"/>
      <c r="O52" s="160"/>
      <c r="P52" s="160"/>
      <c r="Q52" s="161"/>
      <c r="R52" s="4"/>
      <c r="S52" s="1"/>
    </row>
    <row r="53" spans="1:19" x14ac:dyDescent="0.25">
      <c r="A53" s="7" t="s">
        <v>91</v>
      </c>
      <c r="B53" s="37">
        <f>SUM(ENERO!B53+FEBRERO!B53+MARZO!B53+ABRIL!B53+MAYO!B53+JUN!B53+JUL!B53+AGO!B53+SET!B53+OCT!B53+NOV!B53+DIC!B53)</f>
        <v>51</v>
      </c>
      <c r="C53" s="13">
        <f>SUM(ENERO!C53+FEBRERO!C53+MARZO!C53+ABRIL!C53+MAYO!C53+JUN!C53+JUL!C53+AGO!C53+SET!C53+OCT!C53+NOV!C53+DIC!C53)</f>
        <v>9</v>
      </c>
      <c r="D53" s="13">
        <f>SUM(ENERO!D53+FEBRERO!D53+MARZO!D53+ABRIL!D53+MAYO!D53+JUN!D53+JUL!D53+AGO!D53+SET!D53+OCT!D53+NOV!D53+DIC!D53)</f>
        <v>287</v>
      </c>
      <c r="E53" s="13">
        <f>SUM(ENERO!E53+FEBRERO!E53+MARZO!E53+ABRIL!E53+MAYO!E53+JUN!E53+JUL!E53+AGO!E53+SET!E53+OCT!E53+NOV!E53+DIC!E53)</f>
        <v>59</v>
      </c>
      <c r="F53" s="13">
        <f>SUM(ENERO!F53+FEBRERO!F53+MARZO!F53+ABRIL!F53+MAYO!F53+JUN!F53+JUL!F53+AGO!F53+SET!F53+OCT!F53+NOV!F53+DIC!F53)</f>
        <v>17</v>
      </c>
      <c r="G53" s="13">
        <f>SUM(ENERO!G53+FEBRERO!G53+MARZO!G53+ABRIL!G53+MAYO!G53+JUN!G53+JUL!G53+AGO!G53+SET!G53+OCT!G53+NOV!G53+DIC!G53)</f>
        <v>0</v>
      </c>
      <c r="H53" s="26">
        <f t="shared" si="10"/>
        <v>423</v>
      </c>
      <c r="I53" s="1"/>
      <c r="J53" s="138" t="s">
        <v>72</v>
      </c>
      <c r="K53" s="139"/>
      <c r="L53" s="139"/>
      <c r="M53" s="139"/>
      <c r="N53" s="139"/>
      <c r="O53" s="139"/>
      <c r="P53" s="139"/>
      <c r="Q53" s="62" t="s">
        <v>11</v>
      </c>
      <c r="R53" s="4"/>
      <c r="S53" s="1"/>
    </row>
    <row r="54" spans="1:19" x14ac:dyDescent="0.25">
      <c r="A54" s="7" t="s">
        <v>32</v>
      </c>
      <c r="B54" s="37">
        <f>SUM(ENERO!B54+FEBRERO!B54+MARZO!B54+ABRIL!B54+MAYO!B54+JUN!B54+JUL!B54+AGO!B54+SET!B54+OCT!B54+NOV!B54+DIC!B54)</f>
        <v>10112</v>
      </c>
      <c r="C54" s="13">
        <f>SUM(ENERO!C54+FEBRERO!C54+MARZO!C54+ABRIL!C54+MAYO!C54+JUN!C54+JUL!C54+AGO!C54+SET!C54+OCT!C54+NOV!C54+DIC!C54)</f>
        <v>27458</v>
      </c>
      <c r="D54" s="13">
        <f>SUM(ENERO!D54+FEBRERO!D54+MARZO!D54+ABRIL!D54+MAYO!D54+JUN!D54+JUL!D54+AGO!D54+SET!D54+OCT!D54+NOV!D54+DIC!D54)</f>
        <v>13169</v>
      </c>
      <c r="E54" s="13">
        <f>SUM(ENERO!E54+FEBRERO!E54+MARZO!E54+ABRIL!E54+MAYO!E54+JUN!E54+JUL!E54+AGO!E54+SET!E54+OCT!E54+NOV!E54+DIC!E54)</f>
        <v>832</v>
      </c>
      <c r="F54" s="13">
        <f>SUM(ENERO!F54+FEBRERO!F54+MARZO!F54+ABRIL!F54+MAYO!F54+JUN!F54+JUL!F54+AGO!F54+SET!F54+OCT!F54+NOV!F54+DIC!F54)</f>
        <v>450</v>
      </c>
      <c r="G54" s="13">
        <f>SUM(ENERO!G54+FEBRERO!G54+MARZO!G54+ABRIL!G54+MAYO!G54+JUN!G54+JUL!G54+AGO!G54+SET!G54+OCT!G54+NOV!G54+DIC!G54)</f>
        <v>51</v>
      </c>
      <c r="H54" s="26">
        <f t="shared" si="10"/>
        <v>52072</v>
      </c>
      <c r="I54" s="1"/>
      <c r="J54" s="138" t="s">
        <v>71</v>
      </c>
      <c r="K54" s="139"/>
      <c r="L54" s="139"/>
      <c r="M54" s="139"/>
      <c r="N54" s="139"/>
      <c r="O54" s="139"/>
      <c r="P54" s="139"/>
      <c r="Q54" s="47">
        <f>SUM(ENERO!Q54+FEBRERO!Q54+MARZO!Q54+ABRIL!Q54+MAYO!Q54+JUN!Q54+JUL!Q54+AGO!Q54)</f>
        <v>26</v>
      </c>
      <c r="R54" s="4"/>
      <c r="S54" s="1"/>
    </row>
    <row r="55" spans="1:19" x14ac:dyDescent="0.25">
      <c r="A55" s="7" t="s">
        <v>34</v>
      </c>
      <c r="B55" s="37">
        <f>SUM(ENERO!B55+FEBRERO!B55+MARZO!B55+ABRIL!B55+MAYO!B55+JUN!B55+JUL!B55+AGO!B55+SET!B55+OCT!B55+NOV!B55+DIC!B55)</f>
        <v>102</v>
      </c>
      <c r="C55" s="13">
        <f>SUM(ENERO!C55+FEBRERO!C55+MARZO!C55+ABRIL!C55+MAYO!C55+JUN!C55+JUL!C55+AGO!C55+SET!C55+OCT!C55+NOV!C55+DIC!C55)</f>
        <v>67</v>
      </c>
      <c r="D55" s="13">
        <f>SUM(ENERO!D55+FEBRERO!D55+MARZO!D55+ABRIL!D55+MAYO!D55+JUN!D55+JUL!D55+AGO!D55+SET!D55+OCT!D55+NOV!D55+DIC!D55)</f>
        <v>313</v>
      </c>
      <c r="E55" s="13">
        <f>SUM(ENERO!E55+FEBRERO!E55+MARZO!E55+ABRIL!E55+MAYO!E55+JUN!E55+JUL!E55+AGO!E55+SET!E55+OCT!E55+NOV!E55+DIC!E55)</f>
        <v>51</v>
      </c>
      <c r="F55" s="13">
        <f>SUM(ENERO!F55+FEBRERO!F55+MARZO!F55+ABRIL!F55+MAYO!F55+JUN!F55+JUL!F55+AGO!F55+SET!F55+OCT!F55+NOV!F55+DIC!F55)</f>
        <v>14</v>
      </c>
      <c r="G55" s="13">
        <f>SUM(ENERO!G55+FEBRERO!G55+MARZO!G55+ABRIL!G55+MAYO!G55+JUN!G55+JUL!G55+AGO!G55+SET!G55+OCT!G55+NOV!G55+DIC!G55)</f>
        <v>0</v>
      </c>
      <c r="H55" s="26">
        <f t="shared" si="10"/>
        <v>547</v>
      </c>
      <c r="I55" s="1"/>
      <c r="J55" s="138" t="s">
        <v>137</v>
      </c>
      <c r="K55" s="139"/>
      <c r="L55" s="139"/>
      <c r="M55" s="139"/>
      <c r="N55" s="139"/>
      <c r="O55" s="139"/>
      <c r="P55" s="139"/>
      <c r="Q55" s="47">
        <f>(H12)</f>
        <v>347387</v>
      </c>
      <c r="R55" s="4"/>
      <c r="S55" s="1"/>
    </row>
    <row r="56" spans="1:19" x14ac:dyDescent="0.25">
      <c r="A56" s="7" t="s">
        <v>181</v>
      </c>
      <c r="B56" s="37">
        <f>SUM(ENERO!B56+FEBRERO!B56+MARZO!B56+ABRIL!B56+MAYO!B56+JUN!B56+JUL!B56+AGO!B56+SET!B56+OCT!B56+NOV!B56+DIC!B56)</f>
        <v>2432</v>
      </c>
      <c r="C56" s="13">
        <f>SUM(ENERO!C56+FEBRERO!C56+MARZO!C56+ABRIL!C56+MAYO!C56+JUN!C56+JUL!C56+AGO!C56+SET!C56+OCT!C56+NOV!C56+DIC!C56)</f>
        <v>8928</v>
      </c>
      <c r="D56" s="13">
        <f>SUM(ENERO!D56+FEBRERO!D56+MARZO!D56+ABRIL!D56+MAYO!D56+JUN!D56+JUL!D56+AGO!D56+SET!D56+OCT!D56+NOV!D56+DIC!D56)</f>
        <v>4101</v>
      </c>
      <c r="E56" s="13">
        <f>SUM(ENERO!E56+FEBRERO!E56+MARZO!E56+ABRIL!E56+MAYO!E56+JUN!E56+JUL!E56+AGO!E56+SET!E56+OCT!E56+NOV!E56+DIC!E56)</f>
        <v>250</v>
      </c>
      <c r="F56" s="13">
        <f>SUM(ENERO!F56+FEBRERO!F56+MARZO!F56+ABRIL!F56+MAYO!F56+JUN!F56+JUL!F56+AGO!F56+SET!F56+OCT!F56+NOV!F56+DIC!F56)</f>
        <v>100</v>
      </c>
      <c r="G56" s="13">
        <f>SUM(ENERO!G56+FEBRERO!G56+MARZO!G56+ABRIL!G56+MAYO!G56+JUN!G56+JUL!G56+AGO!G56+SET!G56+OCT!G56+NOV!G56+DIC!G56)</f>
        <v>8</v>
      </c>
      <c r="H56" s="26">
        <f t="shared" si="10"/>
        <v>15819</v>
      </c>
      <c r="I56" s="1"/>
      <c r="J56" s="138" t="s">
        <v>138</v>
      </c>
      <c r="K56" s="139"/>
      <c r="L56" s="139"/>
      <c r="M56" s="139"/>
      <c r="N56" s="139"/>
      <c r="O56" s="139"/>
      <c r="P56" s="139"/>
      <c r="Q56" s="48">
        <f>(H51)</f>
        <v>131679</v>
      </c>
      <c r="R56" s="4"/>
      <c r="S56" s="1"/>
    </row>
    <row r="57" spans="1:19" x14ac:dyDescent="0.25">
      <c r="A57" s="7" t="s">
        <v>184</v>
      </c>
      <c r="B57" s="37">
        <f>SUM(ENERO!B57+FEBRERO!B57+MARZO!B57+ABRIL!B57+MAYO!B57+JUN!B57+JUL!B57+AGO!B57+SET!B57+OCT!B57+NOV!B57+DIC!B57)</f>
        <v>885</v>
      </c>
      <c r="C57" s="13">
        <f>SUM(ENERO!C57+FEBRERO!C57+MARZO!C57+ABRIL!C57+MAYO!C57+JUN!C57+JUL!C57+AGO!C57+SET!C57+OCT!C57+NOV!C57+DIC!C57)</f>
        <v>34</v>
      </c>
      <c r="D57" s="13">
        <f>SUM(ENERO!D57+FEBRERO!D57+MARZO!D57+ABRIL!D57+MAYO!D57+JUN!D57+JUL!D57+AGO!D57+SET!D57+OCT!D57+NOV!D57+DIC!D57)</f>
        <v>333</v>
      </c>
      <c r="E57" s="13">
        <f>SUM(ENERO!E57+FEBRERO!E57+MARZO!E57+ABRIL!E57+MAYO!E57+JUN!E57+JUL!E57+AGO!E57+SET!E57+OCT!E57+NOV!E57+DIC!E57)</f>
        <v>62</v>
      </c>
      <c r="F57" s="13">
        <f>SUM(ENERO!F57+FEBRERO!F57+MARZO!F57+ABRIL!F57+MAYO!F57+JUN!F57+JUL!F57+AGO!F57+SET!F57+OCT!F57+NOV!F57+DIC!F57)</f>
        <v>13</v>
      </c>
      <c r="G57" s="13">
        <f>SUM(ENERO!G57+FEBRERO!G57+MARZO!G57+ABRIL!G57+MAYO!G57+JUN!G57+JUL!G57+AGO!G57+SET!G57+OCT!G57+NOV!G57+DIC!G57)</f>
        <v>0</v>
      </c>
      <c r="H57" s="26">
        <f t="shared" si="10"/>
        <v>1327</v>
      </c>
      <c r="I57" s="1"/>
      <c r="J57" s="138" t="s">
        <v>140</v>
      </c>
      <c r="K57" s="139"/>
      <c r="L57" s="139"/>
      <c r="M57" s="139"/>
      <c r="N57" s="139"/>
      <c r="O57" s="139"/>
      <c r="P57" s="139"/>
      <c r="Q57" s="48">
        <f>(H69)</f>
        <v>9287</v>
      </c>
      <c r="R57" s="4"/>
      <c r="S57" s="1"/>
    </row>
    <row r="58" spans="1:19" x14ac:dyDescent="0.25">
      <c r="A58" s="7" t="s">
        <v>88</v>
      </c>
      <c r="B58" s="37">
        <f>SUM(ENERO!B58+FEBRERO!B58+MARZO!B58+ABRIL!B58+MAYO!B58+JUN!B58+JUL!B58+AGO!B58+SET!B58+OCT!B58+NOV!B58+DIC!B58)</f>
        <v>139</v>
      </c>
      <c r="C58" s="13">
        <f>SUM(ENERO!C58+FEBRERO!C58+MARZO!C58+ABRIL!C58+MAYO!C58+JUN!C58+JUL!C58+AGO!C58+SET!C58+OCT!C58+NOV!C58+DIC!C58)</f>
        <v>50</v>
      </c>
      <c r="D58" s="13">
        <f>SUM(ENERO!D58+FEBRERO!D58+MARZO!D58+ABRIL!D58+MAYO!D58+JUN!D58+JUL!D58+AGO!D58+SET!D58+OCT!D58+NOV!D58+DIC!D58)</f>
        <v>117</v>
      </c>
      <c r="E58" s="13">
        <f>SUM(ENERO!E58+FEBRERO!E58+MARZO!E58+ABRIL!E58+MAYO!E58+JUN!E58+JUL!E58+AGO!E58+SET!E58+OCT!E58+NOV!E58+DIC!E58)</f>
        <v>2</v>
      </c>
      <c r="F58" s="13">
        <f>SUM(ENERO!F58+FEBRERO!F58+MARZO!F58+ABRIL!F58+MAYO!F58+JUN!F58+JUL!F58+AGO!F58+SET!F58+OCT!F58+NOV!F58+DIC!F58)</f>
        <v>7</v>
      </c>
      <c r="G58" s="13">
        <f>SUM(ENERO!G58+FEBRERO!G58+MARZO!G58+ABRIL!G58+MAYO!G58+JUN!G58+JUL!G58+AGO!G58+SET!G58+OCT!G58+NOV!G58+DIC!G58)</f>
        <v>0</v>
      </c>
      <c r="H58" s="26">
        <f t="shared" si="10"/>
        <v>315</v>
      </c>
      <c r="I58" s="1"/>
      <c r="J58" s="138" t="s">
        <v>144</v>
      </c>
      <c r="K58" s="139"/>
      <c r="L58" s="139"/>
      <c r="M58" s="139"/>
      <c r="N58" s="139"/>
      <c r="O58" s="139"/>
      <c r="P58" s="139"/>
      <c r="Q58" s="48">
        <f>H82</f>
        <v>21444</v>
      </c>
      <c r="R58" s="4"/>
      <c r="S58" s="1"/>
    </row>
    <row r="59" spans="1:19" x14ac:dyDescent="0.25">
      <c r="A59" s="7" t="s">
        <v>89</v>
      </c>
      <c r="B59" s="37">
        <f>SUM(ENERO!B59+FEBRERO!B59+MARZO!B59+ABRIL!B59+MAYO!B59+JUN!B59+JUL!B59+AGO!B59+SET!B59+OCT!B59+NOV!B59+DIC!B59)</f>
        <v>25</v>
      </c>
      <c r="C59" s="13">
        <f>SUM(ENERO!C59+FEBRERO!C59+MARZO!C59+ABRIL!C59+MAYO!C59+JUN!C59+JUL!C59+AGO!C59+SET!C59+OCT!C59+NOV!C59+DIC!C59)</f>
        <v>1</v>
      </c>
      <c r="D59" s="13">
        <f>SUM(ENERO!D59+FEBRERO!D59+MARZO!D59+ABRIL!D59+MAYO!D59+JUN!D59+JUL!D59+AGO!D59+SET!D59+OCT!D59+NOV!D59+DIC!D59)</f>
        <v>27</v>
      </c>
      <c r="E59" s="13">
        <f>SUM(ENERO!E59+FEBRERO!E59+MARZO!E59+ABRIL!E59+MAYO!E59+JUN!E59+JUL!E59+AGO!E59+SET!E59+OCT!E59+NOV!E59+DIC!E59)</f>
        <v>1</v>
      </c>
      <c r="F59" s="13">
        <f>SUM(ENERO!F59+FEBRERO!F59+MARZO!F59+ABRIL!F59+MAYO!F59+JUN!F59+JUL!F59+AGO!F59+SET!F59+OCT!F59+NOV!F59+DIC!F59)</f>
        <v>3</v>
      </c>
      <c r="G59" s="13">
        <f>SUM(ENERO!G59+FEBRERO!G59+MARZO!G59+ABRIL!G59+MAYO!G59+JUN!G59+JUL!G59+AGO!G59+SET!G59+OCT!G59+NOV!G59+DIC!G59)</f>
        <v>0</v>
      </c>
      <c r="H59" s="26">
        <f t="shared" si="10"/>
        <v>57</v>
      </c>
      <c r="I59" s="1"/>
      <c r="J59" s="138" t="s">
        <v>141</v>
      </c>
      <c r="K59" s="139"/>
      <c r="L59" s="139"/>
      <c r="M59" s="139"/>
      <c r="N59" s="139"/>
      <c r="O59" s="139"/>
      <c r="P59" s="139"/>
      <c r="Q59" s="48">
        <f>H95</f>
        <v>52000</v>
      </c>
      <c r="R59" s="4"/>
      <c r="S59" s="1"/>
    </row>
    <row r="60" spans="1:19" x14ac:dyDescent="0.25">
      <c r="A60" s="7" t="s">
        <v>183</v>
      </c>
      <c r="B60" s="37">
        <f>SUM(ENERO!B60+FEBRERO!B60+MARZO!B60+ABRIL!B60+MAYO!B60+JUN!B60+JUL!B60+AGO!B60+SET!B60+OCT!B60+NOV!B60+DIC!B60)</f>
        <v>3985</v>
      </c>
      <c r="C60" s="13">
        <f>SUM(ENERO!C60+FEBRERO!C60+MARZO!C60+ABRIL!C60+MAYO!C60+JUN!C60+JUL!C60+AGO!C60+SET!C60+OCT!C60+NOV!C60+DIC!C60)</f>
        <v>9877</v>
      </c>
      <c r="D60" s="13">
        <f>SUM(ENERO!D60+FEBRERO!D60+MARZO!D60+ABRIL!D60+MAYO!D60+JUN!D60+JUL!D60+AGO!D60+SET!D60+OCT!D60+NOV!D60+DIC!D60)</f>
        <v>3827</v>
      </c>
      <c r="E60" s="13">
        <f>SUM(ENERO!E60+FEBRERO!E60+MARZO!E60+ABRIL!E60+MAYO!E60+JUN!E60+JUL!E60+AGO!E60+SET!E60+OCT!E60+NOV!E60+DIC!E60)</f>
        <v>192</v>
      </c>
      <c r="F60" s="13">
        <f>SUM(ENERO!F60+FEBRERO!F60+MARZO!F60+ABRIL!F60+MAYO!F60+JUN!F60+JUL!F60+AGO!F60+SET!F60+OCT!F60+NOV!F60+DIC!F60)</f>
        <v>103</v>
      </c>
      <c r="G60" s="13">
        <f>SUM(ENERO!G60+FEBRERO!G60+MARZO!G60+ABRIL!G60+MAYO!G60+JUN!G60+JUL!G60+AGO!G60+SET!G60+OCT!G60+NOV!G60+DIC!G60)</f>
        <v>22</v>
      </c>
      <c r="H60" s="26">
        <f t="shared" si="10"/>
        <v>18006</v>
      </c>
      <c r="I60" s="1"/>
      <c r="J60" s="138" t="s">
        <v>143</v>
      </c>
      <c r="K60" s="139"/>
      <c r="L60" s="139"/>
      <c r="M60" s="139"/>
      <c r="N60" s="139"/>
      <c r="O60" s="139"/>
      <c r="P60" s="139"/>
      <c r="Q60" s="63">
        <f>Q11</f>
        <v>22789</v>
      </c>
      <c r="R60" s="4"/>
      <c r="S60" s="1"/>
    </row>
    <row r="61" spans="1:19" x14ac:dyDescent="0.25">
      <c r="A61" s="7" t="s">
        <v>36</v>
      </c>
      <c r="B61" s="37">
        <f>SUM(ENERO!B61+FEBRERO!B61+MARZO!B61+ABRIL!B61+MAYO!B61+JUN!B61+JUL!B61+AGO!B61+SET!B61+OCT!B61+NOV!B61+DIC!B61)</f>
        <v>268</v>
      </c>
      <c r="C61" s="13">
        <f>SUM(ENERO!C61+FEBRERO!C61+MARZO!C61+ABRIL!C61+MAYO!C61+JUN!C61+JUL!C61+AGO!C61+SET!C61+OCT!C61+NOV!C61+DIC!C61)</f>
        <v>81</v>
      </c>
      <c r="D61" s="13">
        <f>SUM(ENERO!D61+FEBRERO!D61+MARZO!D61+ABRIL!D61+MAYO!D61+JUN!D61+JUL!D61+AGO!D61+SET!D61+OCT!D61+NOV!D61+DIC!D61)</f>
        <v>194</v>
      </c>
      <c r="E61" s="13">
        <f>SUM(ENERO!E61+FEBRERO!E61+MARZO!E61+ABRIL!E61+MAYO!E61+JUN!E61+JUL!E61+AGO!E61+SET!E61+OCT!E61+NOV!E61+DIC!E61)</f>
        <v>11</v>
      </c>
      <c r="F61" s="13">
        <f>SUM(ENERO!F61+FEBRERO!F61+MARZO!F61+ABRIL!F61+MAYO!F61+JUN!F61+JUL!F61+AGO!F61+SET!F61+OCT!F61+NOV!F61+DIC!F61)</f>
        <v>9</v>
      </c>
      <c r="G61" s="13">
        <f>SUM(ENERO!G61+FEBRERO!G61+MARZO!G61+ABRIL!G61+MAYO!G61+JUN!G61+JUL!G61+AGO!G61+SET!G61+OCT!G61+NOV!G61+DIC!G61)</f>
        <v>1</v>
      </c>
      <c r="H61" s="26">
        <f t="shared" si="10"/>
        <v>564</v>
      </c>
      <c r="I61" s="1"/>
      <c r="J61" s="138" t="s">
        <v>145</v>
      </c>
      <c r="K61" s="139"/>
      <c r="L61" s="139"/>
      <c r="M61" s="139"/>
      <c r="N61" s="139"/>
      <c r="O61" s="139"/>
      <c r="P61" s="139"/>
      <c r="Q61" s="41">
        <f>Q28</f>
        <v>8224</v>
      </c>
      <c r="R61" s="4"/>
      <c r="S61" s="1"/>
    </row>
    <row r="62" spans="1:19" ht="15.75" thickBot="1" x14ac:dyDescent="0.3">
      <c r="A62" s="7" t="s">
        <v>119</v>
      </c>
      <c r="B62" s="37">
        <f>SUM(ENERO!B62+FEBRERO!B62+MARZO!B62+ABRIL!B62+MAYO!B62+JUN!B62+JUL!B62+AGO!B62+SET!B62+OCT!B62+NOV!B62+DIC!B62)</f>
        <v>1</v>
      </c>
      <c r="C62" s="13">
        <f>SUM(ENERO!C62+FEBRERO!C62+MARZO!C62+ABRIL!C62+MAYO!C62+JUN!C62+JUL!C62+AGO!C62+SET!C62+OCT!C62+NOV!C62+DIC!C62)</f>
        <v>0</v>
      </c>
      <c r="D62" s="13">
        <f>SUM(ENERO!D62+FEBRERO!D62+MARZO!D62+ABRIL!D62+MAYO!D62+JUN!D62+JUL!D62+AGO!D62+SET!D62+OCT!D62+NOV!D62+DIC!D62)</f>
        <v>0</v>
      </c>
      <c r="E62" s="13">
        <f>SUM(ENERO!E62+FEBRERO!E62+MARZO!E62+ABRIL!E62+MAYO!E62+JUN!E62+JUL!E62+AGO!E62+SET!E62+OCT!E62+NOV!E62+DIC!E62)</f>
        <v>0</v>
      </c>
      <c r="F62" s="13">
        <f>SUM(ENERO!F62+FEBRERO!F62+MARZO!F62+ABRIL!F62+MAYO!F62+JUN!F62+JUL!F62+AGO!F62+SET!F62+OCT!F62+NOV!F62+DIC!F62)</f>
        <v>0</v>
      </c>
      <c r="G62" s="13">
        <f>SUM(ENERO!G62+FEBRERO!G62+MARZO!G62+ABRIL!G62+MAYO!G62+JUN!G62+JUL!G62+AGO!G62+SET!G62+OCT!G62+NOV!G62+DIC!G62)</f>
        <v>0</v>
      </c>
      <c r="H62" s="26">
        <f>SUM(B62:G62)</f>
        <v>1</v>
      </c>
      <c r="I62" s="1"/>
      <c r="J62" s="144" t="s">
        <v>151</v>
      </c>
      <c r="K62" s="145"/>
      <c r="L62" s="145"/>
      <c r="M62" s="145"/>
      <c r="N62" s="145"/>
      <c r="O62" s="145"/>
      <c r="P62" s="145"/>
      <c r="Q62" s="64">
        <f>Q41</f>
        <v>12015</v>
      </c>
      <c r="R62" s="4"/>
      <c r="S62" s="1"/>
    </row>
    <row r="63" spans="1:19" ht="15.75" thickBot="1" x14ac:dyDescent="0.3">
      <c r="A63" s="7" t="s">
        <v>118</v>
      </c>
      <c r="B63" s="37">
        <f>SUM(ENERO!B63+FEBRERO!B63+MARZO!B63+ABRIL!B63+MAYO!B63+JUN!B63+JUL!B63+AGO!B63+SET!B63+OCT!B63+NOV!B63+DIC!B63)</f>
        <v>131</v>
      </c>
      <c r="C63" s="13">
        <f>SUM(ENERO!C63+FEBRERO!C63+MARZO!C63+ABRIL!C63+MAYO!C63+JUN!C63+JUL!C63+AGO!C63+SET!C63+OCT!C63+NOV!C63+DIC!C63)</f>
        <v>27</v>
      </c>
      <c r="D63" s="13">
        <f>SUM(ENERO!D63+FEBRERO!D63+MARZO!D63+ABRIL!D63+MAYO!D63+JUN!D63+JUL!D63+AGO!D63+SET!D63+OCT!D63+NOV!D63+DIC!D63)</f>
        <v>74</v>
      </c>
      <c r="E63" s="13">
        <f>SUM(ENERO!E63+FEBRERO!E63+MARZO!E63+ABRIL!E63+MAYO!E63+JUN!E63+JUL!E63+AGO!E63+SET!E63+OCT!E63+NOV!E63+DIC!E63)</f>
        <v>7</v>
      </c>
      <c r="F63" s="13">
        <f>SUM(ENERO!F63+FEBRERO!F63+MARZO!F63+ABRIL!F63+MAYO!F63+JUN!F63+JUL!F63+AGO!F63+SET!F63+OCT!F63+NOV!F63+DIC!F63)</f>
        <v>6</v>
      </c>
      <c r="G63" s="13">
        <f>SUM(ENERO!G63+FEBRERO!G63+MARZO!G63+ABRIL!G63+MAYO!G63+JUN!G63+JUL!G63+AGO!G63+SET!G63+OCT!G63+NOV!G63+DIC!G63)</f>
        <v>0</v>
      </c>
      <c r="H63" s="33">
        <f>SUM(B63:G63)</f>
        <v>245</v>
      </c>
      <c r="I63" s="1"/>
      <c r="M63" s="53"/>
      <c r="N63" s="53"/>
      <c r="O63" s="53"/>
      <c r="P63" s="39" t="s">
        <v>11</v>
      </c>
      <c r="Q63" s="61">
        <f>SUM(Q54:Q62)</f>
        <v>604851</v>
      </c>
      <c r="R63" s="4"/>
      <c r="S63" s="1"/>
    </row>
    <row r="64" spans="1:19" x14ac:dyDescent="0.25">
      <c r="A64" s="7" t="s">
        <v>37</v>
      </c>
      <c r="B64" s="37">
        <f>SUM(ENERO!B64+FEBRERO!B64+MARZO!B64+ABRIL!B64+MAYO!B64+JUN!B64+JUL!B64+AGO!B64+SET!B64+OCT!B64+NOV!B64+DIC!B64)</f>
        <v>1763</v>
      </c>
      <c r="C64" s="13">
        <f>SUM(ENERO!C64+FEBRERO!C64+MARZO!C64+ABRIL!C64+MAYO!C64+JUN!C64+JUL!C64+AGO!C64+SET!C64+OCT!C64+NOV!C64+DIC!C64)</f>
        <v>1391</v>
      </c>
      <c r="D64" s="13">
        <f>SUM(ENERO!D64+FEBRERO!D64+MARZO!D64+ABRIL!D64+MAYO!D64+JUN!D64+JUL!D64+AGO!D64+SET!D64+OCT!D64+NOV!D64+DIC!D64)</f>
        <v>534</v>
      </c>
      <c r="E64" s="13">
        <f>SUM(ENERO!E64+FEBRERO!E64+MARZO!E64+ABRIL!E64+MAYO!E64+JUN!E64+JUL!E64+AGO!E64+SET!E64+OCT!E64+NOV!E64+DIC!E64)</f>
        <v>48</v>
      </c>
      <c r="F64" s="13">
        <f>SUM(ENERO!F64+FEBRERO!F64+MARZO!F64+ABRIL!F64+MAYO!F64+JUN!F64+JUL!F64+AGO!F64+SET!F64+OCT!F64+NOV!F64+DIC!F64)</f>
        <v>34</v>
      </c>
      <c r="G64" s="13">
        <f>SUM(ENERO!G64+FEBRERO!G64+MARZO!G64+ABRIL!G64+MAYO!G64+JUN!G64+JUL!G64+AGO!G64+SET!G64+OCT!G64+NOV!G64+DIC!G64)</f>
        <v>1</v>
      </c>
      <c r="H64" s="26">
        <f t="shared" si="10"/>
        <v>3771</v>
      </c>
      <c r="I64" s="1"/>
      <c r="P64" s="1"/>
      <c r="Q64" s="1"/>
      <c r="R64" s="4"/>
      <c r="S64" s="1"/>
    </row>
    <row r="65" spans="1:19" x14ac:dyDescent="0.25">
      <c r="A65" s="7" t="s">
        <v>38</v>
      </c>
      <c r="B65" s="37">
        <f>SUM(ENERO!B65+FEBRERO!B65+MARZO!B65+ABRIL!B65+MAYO!B65+JUN!B65+JUL!B65+AGO!B65+SET!B65+OCT!B65+NOV!B65+DIC!B65)</f>
        <v>4963</v>
      </c>
      <c r="C65" s="13">
        <f>SUM(ENERO!C65+FEBRERO!C65+MARZO!C65+ABRIL!C65+MAYO!C65+JUN!C65+JUL!C65+AGO!C65+SET!C65+OCT!C65+NOV!C65+DIC!C65)</f>
        <v>4959</v>
      </c>
      <c r="D65" s="13">
        <f>SUM(ENERO!D65+FEBRERO!D65+MARZO!D65+ABRIL!D65+MAYO!D65+JUN!D65+JUL!D65+AGO!D65+SET!D65+OCT!D65+NOV!D65+DIC!D65)</f>
        <v>3809</v>
      </c>
      <c r="E65" s="13">
        <f>SUM(ENERO!E65+FEBRERO!E65+MARZO!E65+ABRIL!E65+MAYO!E65+JUN!E65+JUL!E65+AGO!E65+SET!E65+OCT!E65+NOV!E65+DIC!E65)</f>
        <v>203</v>
      </c>
      <c r="F65" s="13">
        <f>SUM(ENERO!F65+FEBRERO!F65+MARZO!F65+ABRIL!F65+MAYO!F65+JUN!F65+JUL!F65+AGO!F65+SET!F65+OCT!F65+NOV!F65+DIC!F65)</f>
        <v>139</v>
      </c>
      <c r="G65" s="13">
        <f>SUM(ENERO!G65+FEBRERO!G65+MARZO!G65+ABRIL!G65+MAYO!G65+JUN!G65+JUL!G65+AGO!G65+SET!G65+OCT!G65+NOV!G65+DIC!G65)</f>
        <v>5</v>
      </c>
      <c r="H65" s="26">
        <f t="shared" si="10"/>
        <v>14078</v>
      </c>
      <c r="I65" s="1"/>
      <c r="R65" s="4"/>
      <c r="S65" s="1"/>
    </row>
    <row r="66" spans="1:19" x14ac:dyDescent="0.25">
      <c r="A66" s="7" t="s">
        <v>73</v>
      </c>
      <c r="B66" s="37">
        <f>SUM(ENERO!B66+FEBRERO!B66+MARZO!B66+ABRIL!B66+MAYO!B66+JUN!B66+JUL!B66+AGO!B66+SET!B66+OCT!B66+NOV!B66+DIC!B66)</f>
        <v>4963</v>
      </c>
      <c r="C66" s="13">
        <f>SUM(ENERO!C66+FEBRERO!C66+MARZO!C66+ABRIL!C66+MAYO!C66+JUN!C66+JUL!C66+AGO!C66+SET!C66+OCT!C66+NOV!C66+DIC!C66)</f>
        <v>4959</v>
      </c>
      <c r="D66" s="13">
        <f>SUM(ENERO!D66+FEBRERO!D66+MARZO!D66+ABRIL!D66+MAYO!D66+JUN!D66+JUL!D66+AGO!D66+SET!D66+OCT!D66+NOV!D66+DIC!D66)</f>
        <v>3809</v>
      </c>
      <c r="E66" s="13">
        <f>SUM(ENERO!E66+FEBRERO!E66+MARZO!E66+ABRIL!E66+MAYO!E66+JUN!E66+JUL!E66+AGO!E66+SET!E66+OCT!E66+NOV!E66+DIC!E66)</f>
        <v>182</v>
      </c>
      <c r="F66" s="13">
        <f>SUM(ENERO!F66+FEBRERO!F66+MARZO!F66+ABRIL!F66+MAYO!F66+JUN!F66+JUL!F66+AGO!F66+SET!F66+OCT!F66+NOV!F66+DIC!F66)</f>
        <v>139</v>
      </c>
      <c r="G66" s="13">
        <f>SUM(ENERO!G66+FEBRERO!G66+MARZO!G66+ABRIL!G66+MAYO!G66+JUN!G66+JUL!G66+AGO!G66+SET!G66+OCT!G66+NOV!G66+DIC!G66)</f>
        <v>5</v>
      </c>
      <c r="H66" s="26">
        <f t="shared" si="10"/>
        <v>14057</v>
      </c>
      <c r="I66" s="1"/>
      <c r="J66" s="1"/>
      <c r="K66" s="1"/>
      <c r="L66" s="1"/>
      <c r="M66" s="1"/>
      <c r="N66" s="1"/>
      <c r="O66" s="1"/>
      <c r="R66" s="4"/>
      <c r="S66" s="1"/>
    </row>
    <row r="67" spans="1:19" x14ac:dyDescent="0.25">
      <c r="A67" s="7" t="s">
        <v>39</v>
      </c>
      <c r="B67" s="37">
        <f>SUM(ENERO!B67+FEBRERO!B67+MARZO!B67+ABRIL!B67+MAYO!B67+JUN!B67+JUL!B67+AGO!B67+SET!B67+OCT!B67+NOV!B67+DIC!B67)</f>
        <v>1601</v>
      </c>
      <c r="C67" s="13">
        <f>SUM(ENERO!C67+FEBRERO!C67+MARZO!C67+ABRIL!C67+MAYO!C67+JUN!C67+JUL!C67+AGO!C67+SET!C67+OCT!C67+NOV!C67+DIC!C67)</f>
        <v>1561</v>
      </c>
      <c r="D67" s="13">
        <f>SUM(ENERO!D67+FEBRERO!D67+MARZO!D67+ABRIL!D67+MAYO!D67+JUN!D67+JUL!D67+AGO!D67+SET!D67+OCT!D67+NOV!D67+DIC!D67)</f>
        <v>287</v>
      </c>
      <c r="E67" s="13">
        <f>SUM(ENERO!E67+FEBRERO!E67+MARZO!E67+ABRIL!E67+MAYO!E67+JUN!E67+JUL!E67+AGO!E67+SET!E67+OCT!E67+NOV!E67+DIC!E67)</f>
        <v>30</v>
      </c>
      <c r="F67" s="13">
        <f>SUM(ENERO!F67+FEBRERO!F67+MARZO!F67+ABRIL!F67+MAYO!F67+JUN!F67+JUL!F67+AGO!F67+SET!F67+OCT!F67+NOV!F67+DIC!F67)</f>
        <v>12</v>
      </c>
      <c r="G67" s="13">
        <f>SUM(ENERO!G67+FEBRERO!G67+MARZO!G67+ABRIL!G67+MAYO!G67+JUN!G67+JUL!G67+AGO!G67+SET!G67+OCT!G67+NOV!G67+DIC!G67)</f>
        <v>0</v>
      </c>
      <c r="H67" s="26">
        <f t="shared" si="10"/>
        <v>3491</v>
      </c>
      <c r="I67" s="1"/>
      <c r="R67" s="4"/>
      <c r="S67" s="1"/>
    </row>
    <row r="68" spans="1:19" x14ac:dyDescent="0.25">
      <c r="A68" s="18" t="s">
        <v>40</v>
      </c>
      <c r="B68" s="37">
        <f>SUM(ENERO!B68+FEBRERO!B68+MARZO!B68+ABRIL!B68+MAYO!B68+JUN!B68+JUL!B68+AGO!B68+SET!B68+OCT!B68+NOV!B68+DIC!B68)</f>
        <v>76</v>
      </c>
      <c r="C68" s="13">
        <f>SUM(ENERO!C68+FEBRERO!C68+MARZO!C68+ABRIL!C68+MAYO!C68+JUN!C68+JUL!C68+AGO!C68+SET!C68+OCT!C68+NOV!C68+DIC!C68)</f>
        <v>60</v>
      </c>
      <c r="D68" s="13">
        <f>SUM(ENERO!D68+FEBRERO!D68+MARZO!D68+ABRIL!D68+MAYO!D68+JUN!D68+JUL!D68+AGO!D68+SET!D68+OCT!D68+NOV!D68+DIC!D68)</f>
        <v>48</v>
      </c>
      <c r="E68" s="13">
        <f>SUM(ENERO!E68+FEBRERO!E68+MARZO!E68+ABRIL!E68+MAYO!E68+JUN!E68+JUL!E68+AGO!E68+SET!E68+OCT!E68+NOV!E68+DIC!E68)</f>
        <v>3</v>
      </c>
      <c r="F68" s="13">
        <f>SUM(ENERO!F68+FEBRERO!F68+MARZO!F68+ABRIL!F68+MAYO!F68+JUN!F68+JUL!F68+AGO!F68+SET!F68+OCT!F68+NOV!F68+DIC!F68)</f>
        <v>3</v>
      </c>
      <c r="G68" s="13">
        <f>SUM(ENERO!G68+FEBRERO!G68+MARZO!G68+ABRIL!G68+MAYO!G68+JUN!G68+JUL!G68+AGO!G68+SET!G68+OCT!G68+NOV!G68+DIC!G68)</f>
        <v>0</v>
      </c>
      <c r="H68" s="26">
        <f t="shared" si="10"/>
        <v>190</v>
      </c>
      <c r="I68" s="1"/>
      <c r="R68" s="4"/>
      <c r="S68" s="1"/>
    </row>
    <row r="69" spans="1:19" x14ac:dyDescent="0.25">
      <c r="A69" s="114" t="s">
        <v>54</v>
      </c>
      <c r="B69" s="74">
        <f>SUM(B70:B81)</f>
        <v>6257</v>
      </c>
      <c r="C69" s="74">
        <f>SUM(C70:C81)</f>
        <v>1002</v>
      </c>
      <c r="D69" s="74">
        <f>SUM(D70:D81)</f>
        <v>1818</v>
      </c>
      <c r="E69" s="74">
        <f>SUM(E70:E81)</f>
        <v>210</v>
      </c>
      <c r="F69" s="74">
        <f t="shared" ref="F69:G69" si="11">SUM(F70:F81)</f>
        <v>0</v>
      </c>
      <c r="G69" s="74">
        <f t="shared" si="11"/>
        <v>0</v>
      </c>
      <c r="H69" s="75">
        <f t="shared" si="10"/>
        <v>9287</v>
      </c>
      <c r="I69" s="1"/>
      <c r="R69" s="4"/>
      <c r="S69" s="1"/>
    </row>
    <row r="70" spans="1:19" x14ac:dyDescent="0.25">
      <c r="A70" s="103" t="s">
        <v>55</v>
      </c>
      <c r="B70" s="65">
        <f>SUM(ENERO!B70+FEBRERO!B70+MARZO!B70+ABRIL!B70+MAYO!B70+JUN!B70+JUL!B70+AGO!B70+SET!B70+OCT!B70+NOV!B70+DIC!B70)</f>
        <v>986</v>
      </c>
      <c r="C70" s="65">
        <f>SUM(ENERO!C70+FEBRERO!C70+MARZO!C70+ABRIL!C70+MAYO!C70+JUN!C70+JUL!C70+AGO!C70+SET!C70+OCT!C70+NOV!C70+DIC!C70)</f>
        <v>174</v>
      </c>
      <c r="D70" s="65">
        <f>SUM(ENERO!D70+FEBRERO!D70+MARZO!D70+ABRIL!D70+MAYO!D70+JUN!D70+JUL!D70+AGO!D70+SET!D70+OCT!D70+NOV!D70+DIC!D70)</f>
        <v>1348</v>
      </c>
      <c r="E70" s="91">
        <f>SUM(ENERO!E70+FEBRERO!E70+MARZO!E70+ABRIL!E70+MAYO!E70+JUN!E70+JUL!E70+AGO!E70+SET!E70+OCT!E70+NOV!E70+DIC!E70)</f>
        <v>93</v>
      </c>
      <c r="F70" s="65">
        <f>SUM(ENERO!F70+FEBRERO!F70+MARZO!F70+ABRIL!F70+MAYO!F70+JUN!F70+JUL!F70+AGO!F70+SET!F70+OCT!F70+NOV!F70+DIC!F70)</f>
        <v>0</v>
      </c>
      <c r="G70" s="91">
        <f>SUM(ENERO!G70+FEBRERO!G70+MARZO!G70+ABRIL!G70+MAYO!G70+JUN!G70+JUL!G70+AGO!G70+SET!G70+OCT!G70+NOV!G70+DIC!G70)</f>
        <v>0</v>
      </c>
      <c r="H70" s="14">
        <f t="shared" si="10"/>
        <v>2601</v>
      </c>
      <c r="I70" s="1"/>
      <c r="R70" s="4"/>
      <c r="S70" s="1"/>
    </row>
    <row r="71" spans="1:19" x14ac:dyDescent="0.25">
      <c r="A71" s="104" t="s">
        <v>56</v>
      </c>
      <c r="B71" s="66">
        <f>SUM(ENERO!B71+FEBRERO!B71+MARZO!B71+ABRIL!B71+MAYO!B71+JUN!B71+JUL!B71+AGO!B71+SET!B71+OCT!B71+NOV!B71+DIC!B71)</f>
        <v>1932</v>
      </c>
      <c r="C71" s="66">
        <f>SUM(ENERO!C71+FEBRERO!C71+MARZO!C71+ABRIL!C71+MAYO!C71+JUN!C71+JUL!C71+AGO!C71+SET!C71+OCT!C71+NOV!C71+DIC!C71)</f>
        <v>501</v>
      </c>
      <c r="D71" s="66">
        <f>SUM(ENERO!D71+FEBRERO!D71+MARZO!D71+ABRIL!D71+MAYO!D71+JUN!D71+JUL!D71+AGO!D71+SET!D71+OCT!D71+NOV!D71+DIC!D71)</f>
        <v>90</v>
      </c>
      <c r="E71" s="91">
        <f>SUM(ENERO!E71+FEBRERO!E71+MARZO!E71+ABRIL!E71+MAYO!E71+JUN!E71+JUL!E71+AGO!E71+SET!E71+OCT!E71+NOV!E71+DIC!E71)</f>
        <v>11</v>
      </c>
      <c r="F71" s="66">
        <f>SUM(ENERO!F71+FEBRERO!F71+MARZO!F71+ABRIL!F71+MAYO!F71+JUN!F71+JUL!F71+AGO!F71+SET!F71+OCT!F71+NOV!F71+DIC!F71)</f>
        <v>0</v>
      </c>
      <c r="G71" s="91">
        <f>SUM(ENERO!G71+FEBRERO!G71+MARZO!G71+ABRIL!G71+MAYO!G71+JUN!G71+JUL!G71+AGO!G71+SET!G71+OCT!G71+NOV!G71+DIC!G71)</f>
        <v>0</v>
      </c>
      <c r="H71" s="14">
        <f t="shared" si="10"/>
        <v>2534</v>
      </c>
      <c r="I71" s="1"/>
      <c r="R71" s="4"/>
      <c r="S71" s="1"/>
    </row>
    <row r="72" spans="1:19" x14ac:dyDescent="0.25">
      <c r="A72" s="104" t="s">
        <v>58</v>
      </c>
      <c r="B72" s="66">
        <f>SUM(ENERO!B72+FEBRERO!B72+MARZO!B72+ABRIL!B72+MAYO!B72+JUN!B72+JUL!B72+AGO!B72+SET!B72+OCT!B72+NOV!B72+DIC!B72)</f>
        <v>94</v>
      </c>
      <c r="C72" s="66">
        <f>SUM(ENERO!C72+FEBRERO!C72+MARZO!C72+ABRIL!C72+MAYO!C72+JUN!C72+JUL!C72+AGO!C72+SET!C72+OCT!C72+NOV!C72+DIC!C72)</f>
        <v>0</v>
      </c>
      <c r="D72" s="66">
        <f>SUM(ENERO!D72+FEBRERO!D72+MARZO!D72+ABRIL!D72+MAYO!D72+JUN!D72+JUL!D72+AGO!D72+SET!D72+OCT!D72+NOV!D72+DIC!D72)</f>
        <v>0</v>
      </c>
      <c r="E72" s="91">
        <f>SUM(ENERO!E72+FEBRERO!E72+MARZO!E72+ABRIL!E72+MAYO!E72+JUN!E72+JUL!E72+AGO!E72+SET!E72+OCT!E72+NOV!E72+DIC!E72)</f>
        <v>0</v>
      </c>
      <c r="F72" s="66">
        <f>SUM(ENERO!F72+FEBRERO!F72+MARZO!F72+ABRIL!F72+MAYO!F72+JUN!F72+JUL!F72+AGO!F72+SET!F72+OCT!F72+NOV!F72+DIC!F72)</f>
        <v>0</v>
      </c>
      <c r="G72" s="91">
        <f>SUM(ENERO!G72+FEBRERO!G72+MARZO!G72+ABRIL!G72+MAYO!G72+JUN!G72+JUL!G72+AGO!G72+SET!G72+OCT!G72+NOV!G72+DIC!G72)</f>
        <v>0</v>
      </c>
      <c r="H72" s="14">
        <f t="shared" si="10"/>
        <v>94</v>
      </c>
      <c r="I72" s="1"/>
      <c r="R72" s="4"/>
      <c r="S72" s="1"/>
    </row>
    <row r="73" spans="1:19" x14ac:dyDescent="0.25">
      <c r="A73" s="104" t="s">
        <v>68</v>
      </c>
      <c r="B73" s="66">
        <f>SUM(ENERO!B73+FEBRERO!B73+MARZO!B73+ABRIL!B73+MAYO!B73+JUN!B73+JUL!B73+AGO!B73+SET!B73+OCT!B73+NOV!B73+DIC!B73)</f>
        <v>839</v>
      </c>
      <c r="C73" s="66">
        <f>SUM(ENERO!C73+FEBRERO!C73+MARZO!C73+ABRIL!C73+MAYO!C73+JUN!C73+JUL!C73+AGO!C73+SET!C73+OCT!C73+NOV!C73+DIC!C73)</f>
        <v>81</v>
      </c>
      <c r="D73" s="66">
        <f>SUM(ENERO!D73+FEBRERO!D73+MARZO!D73+ABRIL!D73+MAYO!D73+JUN!D73+JUL!D73+AGO!D73+SET!D73+OCT!D73+NOV!D73+DIC!D73)</f>
        <v>113</v>
      </c>
      <c r="E73" s="91">
        <f>SUM(ENERO!E73+FEBRERO!E73+MARZO!E73+ABRIL!E73+MAYO!E73+JUN!E73+JUL!E73+AGO!E73+SET!E73+OCT!E73+NOV!E73+DIC!E73)</f>
        <v>37</v>
      </c>
      <c r="F73" s="66">
        <f>SUM(ENERO!F73+FEBRERO!F73+MARZO!F73+ABRIL!F73+MAYO!F73+JUN!F73+JUL!F73+AGO!F73+SET!F73+OCT!F73+NOV!F73+DIC!F73)</f>
        <v>0</v>
      </c>
      <c r="G73" s="91">
        <f>SUM(ENERO!G73+FEBRERO!G73+MARZO!G73+ABRIL!G73+MAYO!G73+JUN!G73+JUL!G73+AGO!G73+SET!G73+OCT!G73+NOV!G73+DIC!G73)</f>
        <v>0</v>
      </c>
      <c r="H73" s="14">
        <f t="shared" si="10"/>
        <v>1070</v>
      </c>
      <c r="I73" s="1"/>
      <c r="R73" s="4"/>
      <c r="S73" s="1"/>
    </row>
    <row r="74" spans="1:19" x14ac:dyDescent="0.25">
      <c r="A74" s="104" t="s">
        <v>69</v>
      </c>
      <c r="B74" s="66">
        <f>SUM(ENERO!B74+FEBRERO!B74+MARZO!B74+ABRIL!B74+MAYO!B74+JUN!B74+JUL!B74+AGO!B74+SET!B74+OCT!B74+NOV!B74+DIC!B74)</f>
        <v>295</v>
      </c>
      <c r="C74" s="66">
        <f>SUM(ENERO!C74+FEBRERO!C74+MARZO!C74+ABRIL!C74+MAYO!C74+JUN!C74+JUL!C74+AGO!C74+SET!C74+OCT!C74+NOV!C74+DIC!C74)</f>
        <v>35</v>
      </c>
      <c r="D74" s="66">
        <f>SUM(ENERO!D74+FEBRERO!D74+MARZO!D74+ABRIL!D74+MAYO!D74+JUN!D74+JUL!D74+AGO!D74+SET!D74+OCT!D74+NOV!D74+DIC!D74)</f>
        <v>9</v>
      </c>
      <c r="E74" s="91">
        <f>SUM(ENERO!E74+FEBRERO!E74+MARZO!E74+ABRIL!E74+MAYO!E74+JUN!E74+JUL!E74+AGO!E74+SET!E74+OCT!E74+NOV!E74+DIC!E74)</f>
        <v>0</v>
      </c>
      <c r="F74" s="66">
        <f>SUM(ENERO!F74+FEBRERO!F74+MARZO!F74+ABRIL!F74+MAYO!F74+JUN!F74+JUL!F74+AGO!F74+SET!F74+OCT!F74+NOV!F74+DIC!F74)</f>
        <v>0</v>
      </c>
      <c r="G74" s="91">
        <f>SUM(ENERO!G74+FEBRERO!G74+MARZO!G74+ABRIL!G74+MAYO!G74+JUN!G74+JUL!G74+AGO!G74+SET!G74+OCT!G74+NOV!G74+DIC!G74)</f>
        <v>0</v>
      </c>
      <c r="H74" s="14">
        <f t="shared" si="10"/>
        <v>339</v>
      </c>
      <c r="I74" s="1"/>
      <c r="R74" s="4"/>
      <c r="S74" s="1"/>
    </row>
    <row r="75" spans="1:19" x14ac:dyDescent="0.25">
      <c r="A75" s="104" t="s">
        <v>57</v>
      </c>
      <c r="B75" s="66">
        <f>SUM(ENERO!B75+FEBRERO!B75+MARZO!B75+ABRIL!B75+MAYO!B75+JUN!B75+JUL!B75+AGO!B75+SET!B75+OCT!B75+NOV!B75+DIC!B75)</f>
        <v>97</v>
      </c>
      <c r="C75" s="66">
        <f>SUM(ENERO!C75+FEBRERO!C75+MARZO!C75+ABRIL!C75+MAYO!C75+JUN!C75+JUL!C75+AGO!C75+SET!C75+OCT!C75+NOV!C75+DIC!C75)</f>
        <v>12</v>
      </c>
      <c r="D75" s="66">
        <f>SUM(ENERO!D75+FEBRERO!D75+MARZO!D75+ABRIL!D75+MAYO!D75+JUN!D75+JUL!D75+AGO!D75+SET!D75+OCT!D75+NOV!D75+DIC!D75)</f>
        <v>34</v>
      </c>
      <c r="E75" s="91">
        <f>SUM(ENERO!E75+FEBRERO!E75+MARZO!E75+ABRIL!E75+MAYO!E75+JUN!E75+JUL!E75+AGO!E75+SET!E75+OCT!E75+NOV!E75+DIC!E75)</f>
        <v>25</v>
      </c>
      <c r="F75" s="66">
        <f>SUM(ENERO!F75+FEBRERO!F75+MARZO!F75+ABRIL!F75+MAYO!F75+JUN!F75+JUL!F75+AGO!F75+SET!F75+OCT!F75+NOV!F75+DIC!F75)</f>
        <v>0</v>
      </c>
      <c r="G75" s="91">
        <f>SUM(ENERO!G75+FEBRERO!G75+MARZO!G75+ABRIL!G75+MAYO!G75+JUN!G75+JUL!G75+AGO!G75+SET!G75+OCT!G75+NOV!G75+DIC!G75)</f>
        <v>0</v>
      </c>
      <c r="H75" s="14">
        <f t="shared" si="10"/>
        <v>168</v>
      </c>
      <c r="I75" s="1"/>
      <c r="R75" s="4"/>
      <c r="S75" s="1"/>
    </row>
    <row r="76" spans="1:19" x14ac:dyDescent="0.25">
      <c r="A76" s="104" t="s">
        <v>142</v>
      </c>
      <c r="B76" s="66">
        <f>SUM(ENERO!B76+FEBRERO!B76+MARZO!B76+ABRIL!B76+MAYO!B76+JUN!B76+JUL!B76+AGO!B76+SET!B76+OCT!B76+NOV!B76+DIC!B76)</f>
        <v>611</v>
      </c>
      <c r="C76" s="66">
        <f>SUM(ENERO!C76+FEBRERO!C76+MARZO!C76+ABRIL!C76+MAYO!C76+JUN!C76+JUL!C76+AGO!C76+SET!C76+OCT!C76+NOV!C76+DIC!C76)</f>
        <v>72</v>
      </c>
      <c r="D76" s="66">
        <f>SUM(ENERO!D76+FEBRERO!D76+MARZO!D76+ABRIL!D76+MAYO!D76+JUN!D76+JUL!D76+AGO!D76+SET!D76+OCT!D76+NOV!D76+DIC!D76)</f>
        <v>75</v>
      </c>
      <c r="E76" s="91">
        <f>SUM(ENERO!E76+FEBRERO!E76+MARZO!E76+ABRIL!E76+MAYO!E76+JUN!E76+JUL!E76+AGO!E76+SET!E76+OCT!E76+NOV!E76+DIC!E76)</f>
        <v>3</v>
      </c>
      <c r="F76" s="66">
        <f>SUM(ENERO!F76+FEBRERO!F76+MARZO!F76+ABRIL!F76+MAYO!F76+JUN!F76+JUL!F76+AGO!F76+SET!F76+OCT!F76+NOV!F76+DIC!F76)</f>
        <v>0</v>
      </c>
      <c r="G76" s="91">
        <f>SUM(ENERO!G76+FEBRERO!G76+MARZO!G76+ABRIL!G76+MAYO!G76+JUN!G76+JUL!G76+AGO!G76+SET!G76+OCT!G76+NOV!G76+DIC!G76)</f>
        <v>0</v>
      </c>
      <c r="H76" s="14">
        <f t="shared" si="10"/>
        <v>761</v>
      </c>
      <c r="I76" s="1"/>
      <c r="R76" s="4"/>
      <c r="S76" s="1"/>
    </row>
    <row r="77" spans="1:19" x14ac:dyDescent="0.25">
      <c r="A77" s="104" t="s">
        <v>59</v>
      </c>
      <c r="B77" s="66">
        <f>SUM(ENERO!B77+FEBRERO!B77+MARZO!B77+ABRIL!B77+MAYO!B77+JUN!B77+JUL!B77+AGO!B77+SET!B77+OCT!B77+NOV!B77+DIC!B77)</f>
        <v>161</v>
      </c>
      <c r="C77" s="66">
        <f>SUM(ENERO!C77+FEBRERO!C77+MARZO!C77+ABRIL!C77+MAYO!C77+JUN!C77+JUL!C77+AGO!C77+SET!C77+OCT!C77+NOV!C77+DIC!C77)</f>
        <v>7</v>
      </c>
      <c r="D77" s="66">
        <f>SUM(ENERO!D77+FEBRERO!D77+MARZO!D77+ABRIL!D77+MAYO!D77+JUN!D77+JUL!D77+AGO!D77+SET!D77+OCT!D77+NOV!D77+DIC!D77)</f>
        <v>67</v>
      </c>
      <c r="E77" s="91">
        <f>SUM(ENERO!E77+FEBRERO!E77+MARZO!E77+ABRIL!E77+MAYO!E77+JUN!E77+JUL!E77+AGO!E77+SET!E77+OCT!E77+NOV!E77+DIC!E77)</f>
        <v>37</v>
      </c>
      <c r="F77" s="66">
        <f>SUM(ENERO!F77+FEBRERO!F77+MARZO!F77+ABRIL!F77+MAYO!F77+JUN!F77+JUL!F77+AGO!F77+SET!F77+OCT!F77+NOV!F77+DIC!F77)</f>
        <v>0</v>
      </c>
      <c r="G77" s="91">
        <f>SUM(ENERO!G77+FEBRERO!G77+MARZO!G77+ABRIL!G77+MAYO!G77+JUN!G77+JUL!G77+AGO!G77+SET!G77+OCT!G77+NOV!G77+DIC!G77)</f>
        <v>0</v>
      </c>
      <c r="H77" s="14">
        <f t="shared" si="10"/>
        <v>272</v>
      </c>
      <c r="I77" s="1"/>
      <c r="R77" s="4"/>
      <c r="S77" s="1"/>
    </row>
    <row r="78" spans="1:19" x14ac:dyDescent="0.25">
      <c r="A78" s="104" t="s">
        <v>60</v>
      </c>
      <c r="B78" s="66">
        <f>SUM(ENERO!B78+FEBRERO!B78+MARZO!B78+ABRIL!B78+MAYO!B78+JUN!B78+JUL!B78+AGO!B78+SET!B78+OCT!B78+NOV!B78+DIC!B78)</f>
        <v>397</v>
      </c>
      <c r="C78" s="66">
        <f>SUM(ENERO!C78+FEBRERO!C78+MARZO!C78+ABRIL!C78+MAYO!C78+JUN!C78+JUL!C78+AGO!C78+SET!C78+OCT!C78+NOV!C78+DIC!C78)</f>
        <v>26</v>
      </c>
      <c r="D78" s="66">
        <f>SUM(ENERO!D78+FEBRERO!D78+MARZO!D78+ABRIL!D78+MAYO!D78+JUN!D78+JUL!D78+AGO!D78+SET!D78+OCT!D78+NOV!D78+DIC!D78)</f>
        <v>46</v>
      </c>
      <c r="E78" s="91">
        <f>SUM(ENERO!E78+FEBRERO!E78+MARZO!E78+ABRIL!E78+MAYO!E78+JUN!E78+JUL!E78+AGO!E78+SET!E78+OCT!E78+NOV!E78+DIC!E78)</f>
        <v>2</v>
      </c>
      <c r="F78" s="66">
        <f>SUM(ENERO!F78+FEBRERO!F78+MARZO!F78+ABRIL!F78+MAYO!F78+JUN!F78+JUL!F78+AGO!F78+SET!F78+OCT!F78+NOV!F78+DIC!F78)</f>
        <v>0</v>
      </c>
      <c r="G78" s="91">
        <f>SUM(ENERO!G78+FEBRERO!G78+MARZO!G78+ABRIL!G78+MAYO!G78+JUN!G78+JUL!G78+AGO!G78+SET!G78+OCT!G78+NOV!G78+DIC!G78)</f>
        <v>0</v>
      </c>
      <c r="H78" s="14">
        <f t="shared" si="10"/>
        <v>471</v>
      </c>
      <c r="I78" s="1"/>
      <c r="R78" s="4"/>
      <c r="S78" s="1"/>
    </row>
    <row r="79" spans="1:19" x14ac:dyDescent="0.25">
      <c r="A79" s="104" t="s">
        <v>106</v>
      </c>
      <c r="B79" s="66">
        <f>SUM(ENERO!B79+FEBRERO!B79+MARZO!B79+ABRIL!B79+MAYO!B79+JUN!B79+JUL!B79+AGO!B79+SET!B79+OCT!B79+NOV!B79+DIC!B79)</f>
        <v>219</v>
      </c>
      <c r="C79" s="66">
        <f>SUM(ENERO!C79+FEBRERO!C79+MARZO!C79+ABRIL!C79+MAYO!C79+JUN!C79+JUL!C79+AGO!C79+SET!C79+OCT!C79+NOV!C79+DIC!C79)</f>
        <v>22</v>
      </c>
      <c r="D79" s="66">
        <f>SUM(ENERO!D79+FEBRERO!D79+MARZO!D79+ABRIL!D79+MAYO!D79+JUN!D79+JUL!D79+AGO!D79+SET!D79+OCT!D79+NOV!D79+DIC!D79)</f>
        <v>8</v>
      </c>
      <c r="E79" s="91">
        <f>SUM(ENERO!E79+FEBRERO!E79+MARZO!E79+ABRIL!E79+MAYO!E79+JUN!E79+JUL!E79+AGO!E79+SET!E79+OCT!E79+NOV!E79+DIC!E79)</f>
        <v>0</v>
      </c>
      <c r="F79" s="66">
        <f>SUM(ENERO!F79+FEBRERO!F79+MARZO!F79+ABRIL!F79+MAYO!F79+JUN!F79+JUL!F79+AGO!F79+SET!F79+OCT!F79+NOV!F79+DIC!F79)</f>
        <v>0</v>
      </c>
      <c r="G79" s="91">
        <f>SUM(ENERO!G79+FEBRERO!G79+MARZO!G79+ABRIL!G79+MAYO!G79+JUN!G79+JUL!G79+AGO!G79+SET!G79+OCT!G79+NOV!G79+DIC!G79)</f>
        <v>0</v>
      </c>
      <c r="H79" s="14">
        <f t="shared" si="10"/>
        <v>249</v>
      </c>
      <c r="I79" s="1"/>
      <c r="R79" s="4"/>
      <c r="S79" s="1"/>
    </row>
    <row r="80" spans="1:19" x14ac:dyDescent="0.25">
      <c r="A80" s="104" t="s">
        <v>132</v>
      </c>
      <c r="B80" s="66">
        <f>SUM(ENERO!B80+FEBRERO!B80+MARZO!B80+ABRIL!B80+MAYO!B80+JUN!B80+JUL!B80+AGO!B80+SET!B80+OCT!B80+NOV!B80+DIC!B80)</f>
        <v>294</v>
      </c>
      <c r="C80" s="66">
        <f>SUM(ENERO!C80+FEBRERO!C80+MARZO!C80+ABRIL!C80+MAYO!C80+JUN!C80+JUL!C80+AGO!C80+SET!C80+OCT!C80+NOV!C80+DIC!C80)</f>
        <v>35</v>
      </c>
      <c r="D80" s="66">
        <f>SUM(ENERO!D80+FEBRERO!D80+MARZO!D80+ABRIL!D80+MAYO!D80+JUN!D80+JUL!D80+AGO!D80+SET!D80+OCT!D80+NOV!D80+DIC!D80)</f>
        <v>10</v>
      </c>
      <c r="E80" s="91">
        <f>SUM(ENERO!E80+FEBRERO!E80+MARZO!E80+ABRIL!E80+MAYO!E80+JUN!E80+JUL!E80+AGO!E80+SET!E80+OCT!E80+NOV!E80+DIC!E80)</f>
        <v>0</v>
      </c>
      <c r="F80" s="66">
        <f>SUM(ENERO!F80+FEBRERO!F80+MARZO!F80+ABRIL!F80+MAYO!F80+JUN!F80+JUL!F80+AGO!F80+SET!F80+OCT!F80+NOV!F80+DIC!F80)</f>
        <v>0</v>
      </c>
      <c r="G80" s="91">
        <f>SUM(ENERO!G80+FEBRERO!G80+MARZO!G80+ABRIL!G80+MAYO!G80+JUN!G80+JUL!G80+AGO!G80+SET!G80+OCT!G80+NOV!G80+DIC!G80)</f>
        <v>0</v>
      </c>
      <c r="H80" s="14">
        <f t="shared" si="10"/>
        <v>339</v>
      </c>
      <c r="I80" s="1"/>
      <c r="R80" s="4"/>
      <c r="S80" s="1"/>
    </row>
    <row r="81" spans="1:19" x14ac:dyDescent="0.25">
      <c r="A81" s="105" t="s">
        <v>133</v>
      </c>
      <c r="B81" s="66">
        <f>SUM(ENERO!B81+FEBRERO!B81+MARZO!B81+ABRIL!B81+MAYO!B81+JUN!B81+JUL!B81+AGO!B81+SET!B81+OCT!B81+NOV!B81+DIC!B81)</f>
        <v>332</v>
      </c>
      <c r="C81" s="66">
        <f>SUM(ENERO!C81+FEBRERO!C81+MARZO!C81+ABRIL!C81+MAYO!C81+JUN!C81+JUL!C81+AGO!C81+SET!C81+OCT!C81+NOV!C81+DIC!C81)</f>
        <v>37</v>
      </c>
      <c r="D81" s="66">
        <f>SUM(ENERO!D81+FEBRERO!D81+MARZO!D81+ABRIL!D81+MAYO!D81+JUN!D81+JUL!D81+AGO!D81+SET!D81+OCT!D81+NOV!D81+DIC!D81)</f>
        <v>18</v>
      </c>
      <c r="E81" s="91">
        <f>SUM(ENERO!E81+FEBRERO!E81+MARZO!E81+ABRIL!E81+MAYO!E81+JUN!E81+JUL!E81+AGO!E81+SET!E81+OCT!E81+NOV!E81+DIC!E81)</f>
        <v>2</v>
      </c>
      <c r="F81" s="66">
        <f>SUM(ENERO!F81+FEBRERO!F81+MARZO!F81+ABRIL!F81+MAYO!F81+JUN!F81+JUL!F81+AGO!F81+SET!F81+OCT!F81+NOV!F81+DIC!F81)</f>
        <v>0</v>
      </c>
      <c r="G81" s="91">
        <f>SUM(ENERO!G81+FEBRERO!G81+MARZO!G81+ABRIL!G81+MAYO!G81+JUN!G81+JUL!G81+AGO!G81+SET!G81+OCT!G81+NOV!G81+DIC!G81)</f>
        <v>0</v>
      </c>
      <c r="H81" s="14">
        <f t="shared" si="10"/>
        <v>389</v>
      </c>
      <c r="I81" s="1"/>
      <c r="R81" s="4"/>
      <c r="S81" s="1"/>
    </row>
    <row r="82" spans="1:19" x14ac:dyDescent="0.25">
      <c r="A82" s="73" t="s">
        <v>70</v>
      </c>
      <c r="B82" s="29">
        <f>SUM(B83:B94)</f>
        <v>2799</v>
      </c>
      <c r="C82" s="29">
        <f t="shared" ref="C82:G82" si="12">SUM(C83:C94)</f>
        <v>8392</v>
      </c>
      <c r="D82" s="29">
        <f t="shared" si="12"/>
        <v>9595</v>
      </c>
      <c r="E82" s="29">
        <f t="shared" si="12"/>
        <v>565</v>
      </c>
      <c r="F82" s="29">
        <f t="shared" si="12"/>
        <v>58</v>
      </c>
      <c r="G82" s="29">
        <f t="shared" si="12"/>
        <v>35</v>
      </c>
      <c r="H82" s="75">
        <f t="shared" si="10"/>
        <v>21444</v>
      </c>
      <c r="I82" s="1"/>
      <c r="R82" s="4"/>
      <c r="S82" s="1"/>
    </row>
    <row r="83" spans="1:19" x14ac:dyDescent="0.25">
      <c r="A83" s="22" t="s">
        <v>84</v>
      </c>
      <c r="B83" s="31">
        <f>SUM(ENERO!B83+FEBRERO!B83+MARZO!B83+ABRIL!B83+MAYO!B83+JUN!B83+JUL!B83+AGO!B83+SET!B83+OCT!B83+NOV!B83+DIC!B83)</f>
        <v>281</v>
      </c>
      <c r="C83" s="31">
        <f>SUM(ENERO!C83+FEBRERO!C83+MARZO!C83+ABRIL!C83+MAYO!C83+JUN!C83+JUL!C83+AGO!C83+SET!C83+OCT!C83+NOV!C83+DIC!C83)</f>
        <v>0</v>
      </c>
      <c r="D83" s="31">
        <f>SUM(ENERO!D83+FEBRERO!D83+MARZO!D83+ABRIL!D83+MAYO!D83+JUN!D83+JUL!D83+AGO!D83+SET!D83+OCT!D83+NOV!D83+DIC!D83)</f>
        <v>949</v>
      </c>
      <c r="E83" s="20">
        <f>SUM(ENERO!E83+FEBRERO!E83+MARZO!E83+ABRIL!E83+MAYO!E83+JUN!E83+JUL!E83+AGO!E83+SET!E83+OCT!E83+NOV!E83+DIC!E83)</f>
        <v>51</v>
      </c>
      <c r="F83" s="31">
        <f>SUM(ENERO!F83+FEBRERO!F83+MARZO!F83+ABRIL!F83+MAYO!F83+JUN!F83+JUL!F83+AGO!F83+SET!F83+OCT!F83+NOV!F83+DIC!F83)</f>
        <v>10</v>
      </c>
      <c r="G83" s="106">
        <f>SUM(ENERO!G83+FEBRERO!G83+MARZO!G83+ABRIL!G83+MAYO!G83+JUN!G83+JUL!G83+AGO!G83+SET!G83+OCT!G83+NOV!G83+DIC!G83)</f>
        <v>0</v>
      </c>
      <c r="H83" s="26">
        <f t="shared" si="10"/>
        <v>1291</v>
      </c>
      <c r="I83" s="1"/>
      <c r="R83" s="4"/>
      <c r="S83" s="1"/>
    </row>
    <row r="84" spans="1:19" x14ac:dyDescent="0.25">
      <c r="A84" s="22" t="s">
        <v>114</v>
      </c>
      <c r="B84" s="11">
        <f>SUM(ENERO!B84+FEBRERO!B84+MARZO!B84+ABRIL!B84+MAYO!B84+JUN!B84+JUL!B84+AGO!B84+SET!B84+OCT!B84+NOV!B84+DIC!B84)</f>
        <v>237</v>
      </c>
      <c r="C84" s="11">
        <f>SUM(ENERO!C84+FEBRERO!C84+MARZO!C84+ABRIL!C84+MAYO!C84+JUN!C84+JUL!C84+AGO!C84+SET!C84+OCT!C84+NOV!C84+DIC!C84)</f>
        <v>4</v>
      </c>
      <c r="D84" s="11">
        <f>SUM(ENERO!D84+FEBRERO!D84+MARZO!D84+ABRIL!D84+MAYO!D84+JUN!D84+JUL!D84+AGO!D84+SET!D84+OCT!D84+NOV!D84+DIC!D84)</f>
        <v>873</v>
      </c>
      <c r="E84" s="10">
        <f>SUM(ENERO!E84+FEBRERO!E84+MARZO!E84+ABRIL!E84+MAYO!E84+JUN!E84+JUL!E84+AGO!E84+SET!E84+OCT!E84+NOV!E84+DIC!E84)</f>
        <v>59</v>
      </c>
      <c r="F84" s="11">
        <f>SUM(ENERO!F84+FEBRERO!F84+MARZO!F84+ABRIL!F84+MAYO!F84+JUN!F84+JUL!F84+AGO!F84+SET!F84+OCT!F84+NOV!F84+DIC!F84)</f>
        <v>9</v>
      </c>
      <c r="G84" s="17">
        <f>SUM(ENERO!G84+FEBRERO!G84+MARZO!G84+ABRIL!G84+MAYO!G84+JUN!G84+JUL!G84+AGO!G84+SET!G84+OCT!G84+NOV!G84+DIC!G84)</f>
        <v>0</v>
      </c>
      <c r="H84" s="26">
        <f t="shared" si="10"/>
        <v>1182</v>
      </c>
      <c r="I84" s="1"/>
      <c r="R84" s="4"/>
      <c r="S84" s="1"/>
    </row>
    <row r="85" spans="1:19" ht="14.25" customHeight="1" x14ac:dyDescent="0.25">
      <c r="A85" s="22" t="s">
        <v>61</v>
      </c>
      <c r="B85" s="11">
        <f>SUM(ENERO!B85+FEBRERO!B85+MARZO!B85+ABRIL!B85+MAYO!B85+JUN!B85+JUL!B85+AGO!B85+SET!B85+OCT!B85+NOV!B85+DIC!B85)</f>
        <v>73</v>
      </c>
      <c r="C85" s="11">
        <f>SUM(ENERO!C85+FEBRERO!C85+MARZO!C85+ABRIL!C85+MAYO!C85+JUN!C85+JUL!C85+AGO!C85+SET!C85+OCT!C85+NOV!C85+DIC!C85)</f>
        <v>411</v>
      </c>
      <c r="D85" s="11">
        <f>SUM(ENERO!D85+FEBRERO!D85+MARZO!D85+ABRIL!D85+MAYO!D85+JUN!D85+JUL!D85+AGO!D85+SET!D85+OCT!D85+NOV!D85+DIC!D85)</f>
        <v>50</v>
      </c>
      <c r="E85" s="10">
        <f>SUM(ENERO!E85+FEBRERO!E85+MARZO!E85+ABRIL!E85+MAYO!E85+JUN!E85+JUL!E85+AGO!E85+SET!E85+OCT!E85+NOV!E85+DIC!E85)</f>
        <v>12</v>
      </c>
      <c r="F85" s="11">
        <f>SUM(ENERO!F85+FEBRERO!F85+MARZO!F85+ABRIL!F85+MAYO!F85+JUN!F85+JUL!F85+AGO!F85+SET!F85+OCT!F85+NOV!F85+DIC!F85)</f>
        <v>0</v>
      </c>
      <c r="G85" s="17">
        <f>SUM(ENERO!G85+FEBRERO!G85+MARZO!G85+ABRIL!G85+MAYO!G85+JUN!G85+JUL!G85+AGO!G85+SET!G85+OCT!G85+NOV!G85+DIC!G85)</f>
        <v>0</v>
      </c>
      <c r="H85" s="26">
        <f t="shared" si="10"/>
        <v>546</v>
      </c>
      <c r="I85" s="1"/>
      <c r="R85" s="4"/>
      <c r="S85" s="1"/>
    </row>
    <row r="86" spans="1:19" x14ac:dyDescent="0.25">
      <c r="A86" s="22" t="s">
        <v>62</v>
      </c>
      <c r="B86" s="11">
        <f>SUM(ENERO!B86+FEBRERO!B86+MARZO!B86+ABRIL!B86+MAYO!B86+JUN!B86+JUL!B86+AGO!B86+SET!B86+OCT!B86+NOV!B86+DIC!B86)</f>
        <v>283</v>
      </c>
      <c r="C86" s="11">
        <f>SUM(ENERO!C86+FEBRERO!C86+MARZO!C86+ABRIL!C86+MAYO!C86+JUN!C86+JUL!C86+AGO!C86+SET!C86+OCT!C86+NOV!C86+DIC!C86)</f>
        <v>6</v>
      </c>
      <c r="D86" s="11">
        <f>SUM(ENERO!D86+FEBRERO!D86+MARZO!D86+ABRIL!D86+MAYO!D86+JUN!D86+JUL!D86+AGO!D86+SET!D86+OCT!D86+NOV!D86+DIC!D86)</f>
        <v>1857</v>
      </c>
      <c r="E86" s="10">
        <f>SUM(ENERO!E86+FEBRERO!E86+MARZO!E86+ABRIL!E86+MAYO!E86+JUN!E86+JUL!E86+AGO!E86+SET!E86+OCT!E86+NOV!E86+DIC!E86)</f>
        <v>46</v>
      </c>
      <c r="F86" s="11">
        <f>SUM(ENERO!F86+FEBRERO!F86+MARZO!F86+ABRIL!F86+MAYO!F86+JUN!F86+JUL!F86+AGO!F86+SET!F86+OCT!F86+NOV!F86+DIC!F86)</f>
        <v>14</v>
      </c>
      <c r="G86" s="17">
        <f>SUM(ENERO!G86+FEBRERO!G86+MARZO!G86+ABRIL!G86+MAYO!G86+JUN!G86+JUL!G86+AGO!G86+SET!G86+OCT!G86+NOV!G86+DIC!G86)</f>
        <v>0</v>
      </c>
      <c r="H86" s="26">
        <f t="shared" si="10"/>
        <v>2206</v>
      </c>
      <c r="I86" s="1"/>
      <c r="K86" s="133"/>
      <c r="L86" s="133"/>
      <c r="M86" s="133"/>
      <c r="R86" s="4"/>
      <c r="S86" s="1"/>
    </row>
    <row r="87" spans="1:19" x14ac:dyDescent="0.25">
      <c r="A87" s="22" t="s">
        <v>93</v>
      </c>
      <c r="B87" s="11">
        <f>SUM(ENERO!B87+FEBRERO!B87+MARZO!B87+ABRIL!B87+MAYO!B87+JUN!B87+JUL!B87+AGO!B87+SET!B87+OCT!B87+NOV!B87+DIC!B87)</f>
        <v>2</v>
      </c>
      <c r="C87" s="11">
        <f>SUM(ENERO!C87+FEBRERO!C87+MARZO!C87+ABRIL!C87+MAYO!C87+JUN!C87+JUL!C87+AGO!C87+SET!C87+OCT!C87+NOV!C87+DIC!C87)</f>
        <v>0</v>
      </c>
      <c r="D87" s="11">
        <f>SUM(ENERO!D87+FEBRERO!D87+MARZO!D87+ABRIL!D87+MAYO!D87+JUN!D87+JUL!D87+AGO!D87+SET!D87+OCT!D87+NOV!D87+DIC!D87)</f>
        <v>2</v>
      </c>
      <c r="E87" s="10">
        <f>SUM(ENERO!E87+FEBRERO!E87+MARZO!E87+ABRIL!E87+MAYO!E87+JUN!E87+JUL!E87+AGO!E87+SET!E87+OCT!E87+NOV!E87+DIC!E87)</f>
        <v>0</v>
      </c>
      <c r="F87" s="11">
        <f>SUM(ENERO!F87+FEBRERO!F87+MARZO!F87+ABRIL!F87+MAYO!F87+JUN!F87+JUL!F87+AGO!F87+SET!F87+OCT!F87+NOV!F87+DIC!F87)</f>
        <v>0</v>
      </c>
      <c r="G87" s="17">
        <f>SUM(ENERO!G87+FEBRERO!G87+MARZO!G87+ABRIL!G87+MAYO!G87+JUN!G87+JUL!G87+AGO!G87+SET!G87+OCT!G87+NOV!G87+DIC!G87)</f>
        <v>0</v>
      </c>
      <c r="H87" s="26">
        <f t="shared" si="10"/>
        <v>4</v>
      </c>
      <c r="I87" s="1"/>
      <c r="R87" s="4"/>
      <c r="S87" s="1"/>
    </row>
    <row r="88" spans="1:19" x14ac:dyDescent="0.25">
      <c r="A88" s="22" t="s">
        <v>94</v>
      </c>
      <c r="B88" s="11">
        <f>SUM(ENERO!B88+FEBRERO!B88+MARZO!B88+ABRIL!B88+MAYO!B88+JUN!B88+JUL!B88+AGO!B88+SET!B88+OCT!B88+NOV!B88+DIC!B88)</f>
        <v>0</v>
      </c>
      <c r="C88" s="11">
        <f>SUM(ENERO!C88+FEBRERO!C88+MARZO!C88+ABRIL!C88+MAYO!C88+JUN!C88+JUL!C88+AGO!C88+SET!C88+OCT!C88+NOV!C88+DIC!C88)</f>
        <v>0</v>
      </c>
      <c r="D88" s="11">
        <f>SUM(ENERO!D88+FEBRERO!D88+MARZO!D88+ABRIL!D88+MAYO!D88+JUN!D88+JUL!D88+AGO!D88+SET!D88+OCT!D88+NOV!D88+DIC!D88)</f>
        <v>0</v>
      </c>
      <c r="E88" s="10">
        <f>SUM(ENERO!E88+FEBRERO!E88+MARZO!E88+ABRIL!E88+MAYO!E88+JUN!E88+JUL!E88+AGO!E88+SET!E88+OCT!E88+NOV!E88+DIC!E88)</f>
        <v>0</v>
      </c>
      <c r="F88" s="11">
        <f>SUM(ENERO!F88+FEBRERO!F88+MARZO!F88+ABRIL!F88+MAYO!F88+JUN!F88+JUL!F88+AGO!F88+SET!F88+OCT!F88+NOV!F88+DIC!F88)</f>
        <v>0</v>
      </c>
      <c r="G88" s="17">
        <f>SUM(ENERO!G88+FEBRERO!G88+MARZO!G88+ABRIL!G88+MAYO!G88+JUN!G88+JUL!G88+AGO!G88+SET!G88+OCT!G88+NOV!G88+DIC!G88)</f>
        <v>0</v>
      </c>
      <c r="H88" s="33">
        <f t="shared" si="10"/>
        <v>0</v>
      </c>
      <c r="I88" s="1"/>
      <c r="R88" s="4"/>
      <c r="S88" s="1"/>
    </row>
    <row r="89" spans="1:19" x14ac:dyDescent="0.25">
      <c r="A89" s="101" t="s">
        <v>108</v>
      </c>
      <c r="B89" s="69">
        <f>SUM(ENERO!B89+FEBRERO!B89+MARZO!B89+ABRIL!B89+MAYO!B89+JUN!B89+JUL!B89+AGO!B89+SET!B89+OCT!B89+NOV!B89+DIC!B89)</f>
        <v>1608</v>
      </c>
      <c r="C89" s="69">
        <f>SUM(ENERO!C89+FEBRERO!C89+MARZO!C89+ABRIL!C89+MAYO!C89+JUN!C89+JUL!C89+AGO!C89+SET!C89+OCT!C89+NOV!C89+DIC!C89)</f>
        <v>7638</v>
      </c>
      <c r="D89" s="69">
        <f>SUM(ENERO!D89+FEBRERO!D89+MARZO!D89+ABRIL!D89+MAYO!D89+JUN!D89+JUL!D89+AGO!D89+SET!D89+OCT!D89+NOV!D89+DIC!D89)</f>
        <v>4526</v>
      </c>
      <c r="E89" s="110">
        <f>SUM(ENERO!E89+FEBRERO!E89+MARZO!E89+ABRIL!E89+MAYO!E89+JUN!E89+JUL!E89+AGO!E89+SET!E89+OCT!E89+NOV!E89+DIC!E89)</f>
        <v>337</v>
      </c>
      <c r="F89" s="69">
        <f>SUM(ENERO!F89+FEBRERO!F89+MARZO!F89+ABRIL!F89+MAYO!F89+JUN!F89+JUL!F89+AGO!F89+SET!F89+OCT!F89+NOV!F89+DIC!F89)</f>
        <v>13</v>
      </c>
      <c r="G89" s="111">
        <f>SUM(ENERO!G89+FEBRERO!G89+MARZO!G89+ABRIL!G89+MAYO!G89+JUN!G89+JUL!G89+AGO!G89+SET!G89+OCT!G89+NOV!G89+DIC!G89)</f>
        <v>0</v>
      </c>
      <c r="H89" s="102">
        <f>SUM(B89:G89)</f>
        <v>14122</v>
      </c>
      <c r="I89" s="1"/>
      <c r="R89" s="4"/>
      <c r="S89" s="1"/>
    </row>
    <row r="90" spans="1:19" ht="14.25" customHeight="1" x14ac:dyDescent="0.25">
      <c r="A90" s="32" t="s">
        <v>63</v>
      </c>
      <c r="B90" s="11">
        <f>SUM(ENERO!B90+FEBRERO!B90+MARZO!B90+ABRIL!B90+MAYO!B90+JUN!B90+JUL!B90+AGO!B90+SET!B90+OCT!B90+NOV!B90+DIC!B90)</f>
        <v>9</v>
      </c>
      <c r="C90" s="11">
        <f>SUM(ENERO!C90+FEBRERO!C90+MARZO!C90+ABRIL!C90+MAYO!C90+JUN!C90+JUL!C90+AGO!C90+SET!C90+OCT!C90+NOV!C90+DIC!C90)</f>
        <v>0</v>
      </c>
      <c r="D90" s="11">
        <f>SUM(ENERO!D90+FEBRERO!D90+MARZO!D90+ABRIL!D90+MAYO!D90+JUN!D90+JUL!D90+AGO!D90+SET!D90+OCT!D90+NOV!D90+DIC!D90)</f>
        <v>16</v>
      </c>
      <c r="E90" s="10">
        <f>SUM(ENERO!E90+FEBRERO!E90+MARZO!E90+ABRIL!E90+MAYO!E90+JUN!E90+JUL!E90+AGO!E90+SET!E90+OCT!E90+NOV!E90+DIC!E90)</f>
        <v>1</v>
      </c>
      <c r="F90" s="11">
        <f>SUM(ENERO!F90+FEBRERO!F90+MARZO!F90+ABRIL!F90+MAYO!F90+JUN!F90+JUL!F90+AGO!F90+SET!F90+OCT!F90+NOV!F90+DIC!F90)</f>
        <v>0</v>
      </c>
      <c r="G90" s="17">
        <f>SUM(ENERO!G90+FEBRERO!G90+MARZO!G90+ABRIL!G90+MAYO!G90+JUN!G90+JUL!G90+AGO!G90+SET!G90+OCT!G90+NOV!G90+DIC!G90)</f>
        <v>0</v>
      </c>
      <c r="H90" s="108">
        <f t="shared" si="10"/>
        <v>26</v>
      </c>
      <c r="I90" s="1"/>
      <c r="R90" s="4"/>
      <c r="S90" s="1"/>
    </row>
    <row r="91" spans="1:19" ht="14.25" customHeight="1" x14ac:dyDescent="0.25">
      <c r="A91" s="22" t="s">
        <v>153</v>
      </c>
      <c r="B91" s="11">
        <f>SUM(ENERO!B91+FEBRERO!B91+MARZO!B91+ABRIL!B91+MAYO!B91+JUN!B91+JUL!B91+AGO!B91+SET!B91+OCT!B91+NOV!B91+DIC!B91)</f>
        <v>18</v>
      </c>
      <c r="C91" s="11">
        <f>SUM(ENERO!C91+FEBRERO!C91+MARZO!C91+ABRIL!C91+MAYO!C91+JUN!C91+JUL!C91+AGO!C91+SET!C91+OCT!C91+NOV!C91+DIC!C91)</f>
        <v>0</v>
      </c>
      <c r="D91" s="11">
        <f>SUM(ENERO!D91+FEBRERO!D91+MARZO!D91+ABRIL!D91+MAYO!D91+JUN!D91+JUL!D91+AGO!D91+SET!D91+OCT!D91+NOV!D91+DIC!D91)</f>
        <v>60</v>
      </c>
      <c r="E91" s="10">
        <f>SUM(ENERO!E91+FEBRERO!E91+MARZO!E91+ABRIL!E91+MAYO!E91+JUN!E91+JUL!E91+AGO!E91+SET!E91+OCT!E91+NOV!E91+DIC!E91)</f>
        <v>2</v>
      </c>
      <c r="F91" s="11">
        <f>SUM(ENERO!F91+FEBRERO!F91+MARZO!F91+ABRIL!F91+MAYO!F91+JUN!F91+JUL!F91+AGO!F91+SET!F91+OCT!F91+NOV!F91+DIC!F91)</f>
        <v>4</v>
      </c>
      <c r="G91" s="17">
        <f>SUM(ENERO!G91+FEBRERO!G91+MARZO!G91+ABRIL!G91+MAYO!G91+JUN!G91+JUL!G91+AGO!G91+SET!G91+OCT!G91+NOV!G91+DIC!G91)</f>
        <v>0</v>
      </c>
      <c r="H91" s="26">
        <f t="shared" si="10"/>
        <v>84</v>
      </c>
      <c r="I91" s="1"/>
      <c r="R91" s="4"/>
      <c r="S91" s="1"/>
    </row>
    <row r="92" spans="1:19" ht="14.25" customHeight="1" x14ac:dyDescent="0.25">
      <c r="A92" s="22" t="s">
        <v>107</v>
      </c>
      <c r="B92" s="11">
        <f>SUM(ENERO!B92+FEBRERO!B92+MARZO!B92+ABRIL!B92+MAYO!B92+JUN!B92+JUL!B92+AGO!B92+SET!B92+OCT!B92+NOV!B92+DIC!B92)</f>
        <v>195</v>
      </c>
      <c r="C92" s="11">
        <f>SUM(ENERO!C92+FEBRERO!C92+MARZO!C92+ABRIL!C92+MAYO!C92+JUN!C92+JUL!C92+AGO!C92+SET!C92+OCT!C92+NOV!C92+DIC!C92)</f>
        <v>333</v>
      </c>
      <c r="D92" s="11">
        <f>SUM(ENERO!D92+FEBRERO!D92+MARZO!D92+ABRIL!D92+MAYO!D92+JUN!D92+JUL!D92+AGO!D92+SET!D92+OCT!D92+NOV!D92+DIC!D92)</f>
        <v>1191</v>
      </c>
      <c r="E92" s="10">
        <f>SUM(ENERO!E92+FEBRERO!E92+MARZO!E92+ABRIL!E92+MAYO!E92+JUN!E92+JUL!E92+AGO!E92+SET!E92+OCT!E92+NOV!E92+DIC!E92)</f>
        <v>55</v>
      </c>
      <c r="F92" s="11">
        <f>SUM(ENERO!F92+FEBRERO!F92+MARZO!F92+ABRIL!F92+MAYO!F92+JUN!F92+JUL!F92+AGO!F92+SET!F92+OCT!F92+NOV!F92+DIC!F92)</f>
        <v>7</v>
      </c>
      <c r="G92" s="17">
        <f>SUM(ENERO!G92+FEBRERO!G92+MARZO!G92+ABRIL!G92+MAYO!G92+JUN!G92+JUL!G92+AGO!G92+SET!G92+OCT!G92+NOV!G92+DIC!G92)</f>
        <v>35</v>
      </c>
      <c r="H92" s="26">
        <f t="shared" si="10"/>
        <v>1816</v>
      </c>
      <c r="I92" s="1"/>
      <c r="R92" s="4"/>
      <c r="S92" s="1"/>
    </row>
    <row r="93" spans="1:19" x14ac:dyDescent="0.25">
      <c r="A93" s="22" t="s">
        <v>210</v>
      </c>
      <c r="B93" s="11">
        <f>SUM(ENERO!B93+FEBRERO!B94+MARZO!B94+ABRIL!B94+MAYO!B94+JUN!B94+JUL!B94+AGO!B94+SET!B94+OCT!B94+NOV!B94+DIC!B94)</f>
        <v>46</v>
      </c>
      <c r="C93" s="11">
        <f>SUM(ENERO!C93+FEBRERO!C94+MARZO!C94+ABRIL!C94+MAYO!C94+JUN!C94+JUL!C94+AGO!C94+SET!C94+OCT!C94+NOV!C94+DIC!C94)</f>
        <v>0</v>
      </c>
      <c r="D93" s="11">
        <f>SUM(ENERO!D93+FEBRERO!D94+MARZO!D94+ABRIL!D94+MAYO!D94+JUN!D94+JUL!D94+AGO!D94+SET!D94+OCT!D94+NOV!D94+DIC!D94)</f>
        <v>38</v>
      </c>
      <c r="E93" s="10">
        <f>SUM(ENERO!E93+FEBRERO!E94+MARZO!E94+ABRIL!E94+MAYO!E94+JUN!E94+JUL!E94+AGO!E94+SET!E94+OCT!E94+NOV!E94+DIC!E94)</f>
        <v>2</v>
      </c>
      <c r="F93" s="11">
        <f>SUM(ENERO!F93+FEBRERO!F94+MARZO!F94+ABRIL!F94+MAYO!F94+JUN!F94+JUL!F94+AGO!F94+SET!F94+OCT!F94+NOV!F94+DIC!F94)</f>
        <v>1</v>
      </c>
      <c r="G93" s="17">
        <f>SUM(ENERO!G93+FEBRERO!G94+MARZO!G94+ABRIL!G94+MAYO!G94+JUN!G94+JUL!G94+AGO!G94+SET!G94+OCT!G94+NOV!G94+DIC!G94)</f>
        <v>0</v>
      </c>
      <c r="H93" s="26">
        <f t="shared" si="10"/>
        <v>87</v>
      </c>
      <c r="I93" s="1"/>
      <c r="R93" s="4"/>
      <c r="S93" s="1"/>
    </row>
    <row r="94" spans="1:19" x14ac:dyDescent="0.25">
      <c r="A94" s="22" t="s">
        <v>182</v>
      </c>
      <c r="B94" s="19">
        <f>SUM(ENERO!B94+FEBRERO!B94+MARZO!B94+ABRIL!B94+MAYO!B94+JUN!B94+JUL!B94+AGO!B94+SET!B94+OCT!B94+NOV!B94+DIC!B94)</f>
        <v>47</v>
      </c>
      <c r="C94" s="19">
        <f>SUM(ENERO!C94+FEBRERO!C94+MARZO!C94+ABRIL!C94+MAYO!C94+JUN!C94+JUL!C94+AGO!C94+SET!C94+OCT!C94+NOV!C94+DIC!C94)</f>
        <v>0</v>
      </c>
      <c r="D94" s="19">
        <f>SUM(ENERO!D94+FEBRERO!D94+MARZO!D94+ABRIL!D94+MAYO!D94+JUN!D94+JUL!D94+AGO!D94+SET!D94+OCT!D94+NOV!D94+DIC!D94)</f>
        <v>33</v>
      </c>
      <c r="E94" s="21">
        <f>SUM(ENERO!E94+FEBRERO!E94+MARZO!E94+ABRIL!E94+MAYO!E94+JUN!E94+JUL!E94+AGO!E94+SET!E94+OCT!E94+NOV!E94+DIC!E94)</f>
        <v>0</v>
      </c>
      <c r="F94" s="19">
        <f>SUM(ENERO!F94+FEBRERO!F94+MARZO!F94+ABRIL!F94+MAYO!F94+JUN!F94+JUL!F94+AGO!F94+SET!F94+OCT!F94+NOV!F94+DIC!F94)</f>
        <v>0</v>
      </c>
      <c r="G94" s="38">
        <f>SUM(ENERO!G94+FEBRERO!G94+MARZO!G94+ABRIL!G94+MAYO!G94+JUN!G94+JUL!G94+AGO!G94+SET!G94+OCT!G94+NOV!G94+DIC!G94)</f>
        <v>0</v>
      </c>
      <c r="H94" s="26">
        <f t="shared" si="10"/>
        <v>80</v>
      </c>
      <c r="I94" s="1"/>
      <c r="R94" s="4"/>
      <c r="S94" s="1"/>
    </row>
    <row r="95" spans="1:19" x14ac:dyDescent="0.25">
      <c r="A95" s="73" t="s">
        <v>3</v>
      </c>
      <c r="B95" s="76">
        <f>SUM(B96:B155)</f>
        <v>13277</v>
      </c>
      <c r="C95" s="76">
        <f t="shared" ref="C95:G95" si="13">SUM(C96:C155)</f>
        <v>11336</v>
      </c>
      <c r="D95" s="76">
        <f t="shared" si="13"/>
        <v>26019</v>
      </c>
      <c r="E95" s="76">
        <f t="shared" si="13"/>
        <v>653</v>
      </c>
      <c r="F95" s="76">
        <f t="shared" si="13"/>
        <v>681</v>
      </c>
      <c r="G95" s="76">
        <f t="shared" si="13"/>
        <v>34</v>
      </c>
      <c r="H95" s="75">
        <f t="shared" si="10"/>
        <v>52000</v>
      </c>
      <c r="I95" s="1"/>
      <c r="R95" s="4"/>
      <c r="S95" s="1"/>
    </row>
    <row r="96" spans="1:19" x14ac:dyDescent="0.25">
      <c r="A96" s="7" t="s">
        <v>113</v>
      </c>
      <c r="B96" s="11">
        <f>SUM(ENERO!B96+FEBRERO!B96+MARZO!B96+ABRIL!B96+MAYO!B96+JUN!B96+JUL!B96+AGO!B96+SET!B96+OCT!B96+NOV!B96+DIC!B96)</f>
        <v>1073</v>
      </c>
      <c r="C96" s="11">
        <f>SUM(ENERO!C96+FEBRERO!C96+MARZO!C96+ABRIL!C96+MAYO!C96+JUN!C96+JUL!C96+AGO!C96+SET!C96+OCT!C96+NOV!C96+DIC!C96)</f>
        <v>2427</v>
      </c>
      <c r="D96" s="11">
        <f>SUM(ENERO!D96+FEBRERO!D96+MARZO!D96+ABRIL!D96+MAYO!D96+JUN!D96+JUL!D96+AGO!D96+SET!D96+OCT!D96+NOV!D96+DIC!D96)</f>
        <v>3219</v>
      </c>
      <c r="E96" s="11">
        <f>SUM(ENERO!E96+FEBRERO!E96+MARZO!E96+ABRIL!E96+MAYO!E96+JUN!E96+JUL!E96+AGO!E96+SET!E96+OCT!E96+NOV!E96+DIC!E96)</f>
        <v>46</v>
      </c>
      <c r="F96" s="11">
        <f>SUM(ENERO!F96+FEBRERO!F96+MARZO!F96+ABRIL!F96+MAYO!F96+JUN!F96+JUL!F96+AGO!F96+SET!F96+OCT!F96+NOV!F96+DIC!F96)</f>
        <v>76</v>
      </c>
      <c r="G96" s="11">
        <f>SUM(ENERO!G96+FEBRERO!G96+MARZO!G96+ABRIL!G96+MAYO!G96+JUN!G96+JUL!G96+AGO!G96+SET!G96+OCT!G96+NOV!G96+DIC!G96)</f>
        <v>0</v>
      </c>
      <c r="H96" s="14">
        <f t="shared" si="10"/>
        <v>6841</v>
      </c>
      <c r="I96" s="1"/>
      <c r="R96" s="4"/>
      <c r="S96" s="1"/>
    </row>
    <row r="97" spans="1:19" x14ac:dyDescent="0.25">
      <c r="A97" s="7" t="s">
        <v>112</v>
      </c>
      <c r="B97" s="11">
        <f>SUM(ENERO!B97+FEBRERO!B97+MARZO!B97+ABRIL!B97+MAYO!B97+JUN!B97+JUL!B97+AGO!B97+SET!B97+OCT!B97+NOV!B97+DIC!B97)</f>
        <v>0</v>
      </c>
      <c r="C97" s="11">
        <f>SUM(ENERO!C97+FEBRERO!C97+MARZO!C97+ABRIL!C97+MAYO!C97+JUN!C97+JUL!C97+AGO!C97+SET!C97+OCT!C97+NOV!C97+DIC!C97)</f>
        <v>0</v>
      </c>
      <c r="D97" s="11">
        <f>SUM(ENERO!D97+FEBRERO!D97+MARZO!D97+ABRIL!D97+MAYO!D97+JUN!D97+JUL!D97+AGO!D97+SET!D97+OCT!D97+NOV!D97+DIC!D97)</f>
        <v>0</v>
      </c>
      <c r="E97" s="11">
        <f>SUM(ENERO!E97+FEBRERO!E97+MARZO!E97+ABRIL!E97+MAYO!E97+JUN!E97+JUL!E97+AGO!E97+SET!E97+OCT!E97+NOV!E97+DIC!E97)</f>
        <v>0</v>
      </c>
      <c r="F97" s="11">
        <f>SUM(ENERO!F97+FEBRERO!F97+MARZO!F97+ABRIL!F97+MAYO!F97+JUN!F97+JUL!F97+AGO!F97+SET!F97+OCT!F97+NOV!F97+DIC!F97)</f>
        <v>0</v>
      </c>
      <c r="G97" s="11">
        <f>SUM(ENERO!G97+FEBRERO!G97+MARZO!G97+ABRIL!G97+MAYO!G97+JUN!G97+JUL!G97+AGO!G97+SET!G97+OCT!G97+NOV!G97+DIC!G97)</f>
        <v>0</v>
      </c>
      <c r="H97" s="27">
        <f t="shared" si="10"/>
        <v>0</v>
      </c>
      <c r="I97" s="1"/>
      <c r="R97" s="4"/>
      <c r="S97" s="1"/>
    </row>
    <row r="98" spans="1:19" x14ac:dyDescent="0.25">
      <c r="A98" s="7" t="s">
        <v>41</v>
      </c>
      <c r="B98" s="11">
        <f>SUM(ENERO!B98+FEBRERO!B98+MARZO!B98+ABRIL!B98+MAYO!B98+JUN!B98+JUL!B98+AGO!B98+SET!B98+OCT!B98+NOV!B98+DIC!B98)</f>
        <v>7</v>
      </c>
      <c r="C98" s="11">
        <f>SUM(ENERO!C98+FEBRERO!C98+MARZO!C98+ABRIL!C98+MAYO!C98+JUN!C98+JUL!C98+AGO!C98+SET!C98+OCT!C98+NOV!C98+DIC!C98)</f>
        <v>2</v>
      </c>
      <c r="D98" s="11">
        <f>SUM(ENERO!D98+FEBRERO!D98+MARZO!D98+ABRIL!D98+MAYO!D98+JUN!D98+JUL!D98+AGO!D98+SET!D98+OCT!D98+NOV!D98+DIC!D98)</f>
        <v>7</v>
      </c>
      <c r="E98" s="11">
        <f>SUM(ENERO!E98+FEBRERO!E98+MARZO!E98+ABRIL!E98+MAYO!E98+JUN!E98+JUL!E98+AGO!E98+SET!E98+OCT!E98+NOV!E98+DIC!E98)</f>
        <v>0</v>
      </c>
      <c r="F98" s="11">
        <f>SUM(ENERO!F98+FEBRERO!F98+MARZO!F98+ABRIL!F98+MAYO!F98+JUN!F98+JUL!F98+AGO!F98+SET!F98+OCT!F98+NOV!F98+DIC!F98)</f>
        <v>0</v>
      </c>
      <c r="G98" s="11">
        <f>SUM(ENERO!G98+FEBRERO!G98+MARZO!G98+ABRIL!G98+MAYO!G98+JUN!G98+JUL!G98+AGO!G98+SET!G98+OCT!G98+NOV!G98+DIC!G98)</f>
        <v>0</v>
      </c>
      <c r="H98" s="27">
        <f t="shared" si="10"/>
        <v>16</v>
      </c>
      <c r="I98" s="1"/>
      <c r="R98" s="4"/>
      <c r="S98" s="1"/>
    </row>
    <row r="99" spans="1:19" x14ac:dyDescent="0.25">
      <c r="A99" s="7" t="s">
        <v>192</v>
      </c>
      <c r="B99" s="11">
        <f>SUM(ENERO!B99+FEBRERO!B99+MARZO!B99+ABRIL!B99+MAYO!B99+JUN!B105+JUL!B99+AGO!B99+SET!B99+OCT!B99+NOV!B99+DIC!B99)</f>
        <v>3</v>
      </c>
      <c r="C99" s="11">
        <f>SUM(ENERO!C99+FEBRERO!C99+MARZO!C99+ABRIL!C99+MAYO!C99+JUN!C105+JUL!C99+AGO!C99+SET!C99+OCT!C99+NOV!C99+DIC!C99)</f>
        <v>0</v>
      </c>
      <c r="D99" s="11">
        <f>SUM(ENERO!D99+FEBRERO!D99+MARZO!D99+ABRIL!D99+MAYO!D99+JUN!D105+JUL!D99+AGO!D99+SET!D99+OCT!D99+NOV!D99+DIC!D99)</f>
        <v>3</v>
      </c>
      <c r="E99" s="11">
        <f>SUM(ENERO!E99+FEBRERO!E99+MARZO!E99+ABRIL!E99+MAYO!E99+JUN!E105+JUL!E99+AGO!E99+SET!E99+OCT!E99+NOV!E99+DIC!E99)</f>
        <v>0</v>
      </c>
      <c r="F99" s="11">
        <f>SUM(ENERO!F99+FEBRERO!F99+MARZO!F99+ABRIL!F99+MAYO!F99+JUN!F105+JUL!F99+AGO!F99+SET!F99+OCT!F99+NOV!F99+DIC!F99)</f>
        <v>0</v>
      </c>
      <c r="G99" s="11">
        <f>SUM(ENERO!G99+FEBRERO!G99+MARZO!G99+ABRIL!G99+MAYO!G99+JUN!G105+JUL!G99+AGO!G99+SET!G99+OCT!G99+NOV!G99+DIC!G99)</f>
        <v>0</v>
      </c>
      <c r="H99" s="27">
        <f t="shared" si="10"/>
        <v>6</v>
      </c>
      <c r="I99" s="1"/>
      <c r="R99" s="4"/>
      <c r="S99" s="1"/>
    </row>
    <row r="100" spans="1:19" x14ac:dyDescent="0.25">
      <c r="A100" s="7" t="s">
        <v>213</v>
      </c>
      <c r="B100" s="11">
        <f>SUM(ENERO!B100+FEBRERO!B100+MARZO!B100+ABRIL!B100+MAYO!B100+JUN!B106+JUL!B100+AGO!B100+SET!B100+OCT!B100+NOV!B100+DIC!B100)</f>
        <v>36</v>
      </c>
      <c r="C100" s="11">
        <f>SUM(ENERO!C100+FEBRERO!C100+MARZO!C100+ABRIL!C100+MAYO!C100+JUN!C106+JUL!C100+AGO!C100+SET!C100+OCT!C100+NOV!C100+DIC!C100)</f>
        <v>0</v>
      </c>
      <c r="D100" s="11">
        <f>SUM(ENERO!D100+FEBRERO!D100+MARZO!D100+ABRIL!D100+MAYO!D100+JUN!D106+JUL!D100+AGO!D100+SET!D100+OCT!D100+NOV!D100+DIC!D100)</f>
        <v>29</v>
      </c>
      <c r="E100" s="11">
        <f>SUM(ENERO!E100+FEBRERO!E100+MARZO!E100+ABRIL!E100+MAYO!E100+JUN!E106+JUL!E100+AGO!E100+SET!E100+OCT!E100+NOV!E100+DIC!E100)</f>
        <v>0</v>
      </c>
      <c r="F100" s="11">
        <f>SUM(ENERO!F100+FEBRERO!F100+MARZO!F100+ABRIL!F100+MAYO!F100+JUN!F106+JUL!F100+AGO!F100+SET!F100+OCT!F100+NOV!F100+DIC!F100)</f>
        <v>0</v>
      </c>
      <c r="G100" s="11">
        <f>SUM(ENERO!G100+FEBRERO!G100+MARZO!G100+ABRIL!G100+MAYO!G100+JUN!G106+JUL!G100+AGO!G100+SET!G100+OCT!G100+NOV!G100+DIC!G100)</f>
        <v>0</v>
      </c>
      <c r="H100" s="27">
        <f t="shared" si="10"/>
        <v>65</v>
      </c>
      <c r="I100" s="1"/>
      <c r="R100" s="4"/>
      <c r="S100" s="1"/>
    </row>
    <row r="101" spans="1:19" x14ac:dyDescent="0.25">
      <c r="A101" s="7" t="s">
        <v>214</v>
      </c>
      <c r="B101" s="11">
        <f>SUM(ENERO!B101+FEBRERO!B101+MARZO!B101+ABRIL!B101+MAYO!B101+JUN!B107+JUL!B101+AGO!B101+SET!B101+OCT!B101+NOV!B101+DIC!B101)</f>
        <v>38</v>
      </c>
      <c r="C101" s="11">
        <f>SUM(ENERO!C101+FEBRERO!C101+MARZO!C101+ABRIL!C101+MAYO!C101+JUN!C107+JUL!C101+AGO!C101+SET!C101+OCT!C101+NOV!C101+DIC!C101)</f>
        <v>0</v>
      </c>
      <c r="D101" s="11">
        <f>SUM(ENERO!D101+FEBRERO!D101+MARZO!D101+ABRIL!D101+MAYO!D101+JUN!D107+JUL!D101+AGO!D101+SET!D101+OCT!D101+NOV!D101+DIC!D101)</f>
        <v>29</v>
      </c>
      <c r="E101" s="11">
        <f>SUM(ENERO!E101+FEBRERO!E101+MARZO!E101+ABRIL!E101+MAYO!E101+JUN!E107+JUL!E101+AGO!E101+SET!E101+OCT!E101+NOV!E101+DIC!E101)</f>
        <v>0</v>
      </c>
      <c r="F101" s="11">
        <f>SUM(ENERO!F101+FEBRERO!F101+MARZO!F101+ABRIL!F101+MAYO!F101+JUN!F107+JUL!F101+AGO!F101+SET!F101+OCT!F101+NOV!F101+DIC!F101)</f>
        <v>0</v>
      </c>
      <c r="G101" s="11">
        <f>SUM(ENERO!G101+FEBRERO!G101+MARZO!G101+ABRIL!G101+MAYO!G101+JUN!G107+JUL!G101+AGO!G101+SET!G101+OCT!G101+NOV!G101+DIC!G101)</f>
        <v>0</v>
      </c>
      <c r="H101" s="27">
        <f t="shared" si="10"/>
        <v>67</v>
      </c>
      <c r="I101" s="1"/>
      <c r="R101" s="4"/>
      <c r="S101" s="1"/>
    </row>
    <row r="102" spans="1:19" x14ac:dyDescent="0.25">
      <c r="A102" s="7" t="s">
        <v>215</v>
      </c>
      <c r="B102" s="11">
        <f>SUM(ENERO!B102+FEBRERO!B102+MARZO!B102+ABRIL!B102+MAYO!B102+JUN!B108+JUL!B102+AGO!B102+SET!B102+OCT!B102+NOV!B102+DIC!B102)</f>
        <v>16</v>
      </c>
      <c r="C102" s="11">
        <f>SUM(ENERO!C102+FEBRERO!C102+MARZO!C102+ABRIL!C102+MAYO!C102+JUN!C108+JUL!C102+AGO!C102+SET!C102+OCT!C102+NOV!C102+DIC!C102)</f>
        <v>0</v>
      </c>
      <c r="D102" s="11">
        <f>SUM(ENERO!D102+FEBRERO!D102+MARZO!D102+ABRIL!D102+MAYO!D102+JUN!D108+JUL!D102+AGO!D102+SET!D102+OCT!D102+NOV!D102+DIC!D102)</f>
        <v>21</v>
      </c>
      <c r="E102" s="11">
        <f>SUM(ENERO!E102+FEBRERO!E102+MARZO!E102+ABRIL!E102+MAYO!E102+JUN!E108+JUL!E102+AGO!E102+SET!E102+OCT!E102+NOV!E102+DIC!E102)</f>
        <v>1</v>
      </c>
      <c r="F102" s="11">
        <f>SUM(ENERO!F102+FEBRERO!F102+MARZO!F102+ABRIL!F102+MAYO!F102+JUN!F108+JUL!F102+AGO!F102+SET!F102+OCT!F102+NOV!F102+DIC!F102)</f>
        <v>0</v>
      </c>
      <c r="G102" s="11">
        <f>SUM(ENERO!G102+FEBRERO!G102+MARZO!G102+ABRIL!G102+MAYO!G102+JUN!G108+JUL!G102+AGO!G102+SET!G102+OCT!G102+NOV!G102+DIC!G102)</f>
        <v>0</v>
      </c>
      <c r="H102" s="27">
        <f t="shared" si="10"/>
        <v>38</v>
      </c>
      <c r="I102" s="1"/>
      <c r="R102" s="4"/>
      <c r="S102" s="1"/>
    </row>
    <row r="103" spans="1:19" x14ac:dyDescent="0.25">
      <c r="A103" s="7" t="s">
        <v>219</v>
      </c>
      <c r="B103" s="11">
        <f>SUM(ENERO!B103+FEBRERO!B103+MARZO!B103+ABRIL!B103+MAYO!B103+JUN!B109+JUL!B103+AGO!B103+SET!B103+OCT!B103+NOV!B103+DIC!B103)</f>
        <v>8</v>
      </c>
      <c r="C103" s="11">
        <f>SUM(ENERO!C103+FEBRERO!C103+MARZO!C103+ABRIL!C103+MAYO!C103+JUN!C109+JUL!C103+AGO!C103+SET!C103+OCT!C103+NOV!C103+DIC!C103)</f>
        <v>258</v>
      </c>
      <c r="D103" s="11">
        <f>SUM(ENERO!D103+FEBRERO!D103+MARZO!D103+ABRIL!D103+MAYO!D103+JUN!D109+JUL!D103+AGO!D103+SET!D103+OCT!D103+NOV!D103+DIC!D103)</f>
        <v>31</v>
      </c>
      <c r="E103" s="11">
        <f>SUM(ENERO!E103+FEBRERO!E103+MARZO!E103+ABRIL!E103+MAYO!E103+JUN!E109+JUL!E103+AGO!E103+SET!E103+OCT!E103+NOV!E103+DIC!E103)</f>
        <v>1</v>
      </c>
      <c r="F103" s="11">
        <f>SUM(ENERO!F103+FEBRERO!F103+MARZO!F103+ABRIL!F103+MAYO!F103+JUN!F109+JUL!F103+AGO!F103+SET!F103+OCT!F103+NOV!F103+DIC!F103)</f>
        <v>0</v>
      </c>
      <c r="G103" s="11">
        <f>SUM(ENERO!G103+FEBRERO!G103+MARZO!G103+ABRIL!G103+MAYO!G103+JUN!G109+JUL!G103+AGO!G103+SET!G103+OCT!G103+NOV!G103+DIC!G103)</f>
        <v>0</v>
      </c>
      <c r="H103" s="27">
        <f t="shared" si="10"/>
        <v>298</v>
      </c>
      <c r="I103" s="1"/>
      <c r="R103" s="4"/>
      <c r="S103" s="1"/>
    </row>
    <row r="104" spans="1:19" x14ac:dyDescent="0.25">
      <c r="A104" s="7" t="s">
        <v>220</v>
      </c>
      <c r="B104" s="11">
        <f>SUM(ENERO!B104+FEBRERO!B104+MARZO!B104+ABRIL!B104+MAYO!B104+JUN!B110+JUL!B104+AGO!B104+SET!B104+OCT!B104+NOV!B104+DIC!B104)</f>
        <v>10</v>
      </c>
      <c r="C104" s="11">
        <f>SUM(ENERO!C104+FEBRERO!C104+MARZO!C104+ABRIL!C104+MAYO!C104+JUN!C110+JUL!C104+AGO!C104+SET!C104+OCT!C104+NOV!C104+DIC!C104)</f>
        <v>248</v>
      </c>
      <c r="D104" s="11">
        <f>SUM(ENERO!D104+FEBRERO!D104+MARZO!D104+ABRIL!D104+MAYO!D104+JUN!D110+JUL!D104+AGO!D104+SET!D104+OCT!D104+NOV!D104+DIC!D104)</f>
        <v>49</v>
      </c>
      <c r="E104" s="11">
        <f>SUM(ENERO!E104+FEBRERO!E104+MARZO!E104+ABRIL!E104+MAYO!E104+JUN!E110+JUL!E104+AGO!E104+SET!E104+OCT!E104+NOV!E104+DIC!E104)</f>
        <v>0</v>
      </c>
      <c r="F104" s="11">
        <f>SUM(ENERO!F104+FEBRERO!F104+MARZO!F104+ABRIL!F104+MAYO!F104+JUN!F110+JUL!F104+AGO!F104+SET!F104+OCT!F104+NOV!F104+DIC!F104)</f>
        <v>0</v>
      </c>
      <c r="G104" s="11">
        <f>SUM(ENERO!G104+FEBRERO!G104+MARZO!G104+ABRIL!G104+MAYO!G104+JUN!G110+JUL!G104+AGO!G104+SET!G104+OCT!G104+NOV!G104+DIC!G104)</f>
        <v>0</v>
      </c>
      <c r="H104" s="27">
        <f t="shared" si="10"/>
        <v>307</v>
      </c>
      <c r="I104" s="1"/>
      <c r="R104" s="4"/>
      <c r="S104" s="1"/>
    </row>
    <row r="105" spans="1:19" x14ac:dyDescent="0.25">
      <c r="A105" s="7" t="s">
        <v>216</v>
      </c>
      <c r="B105" s="11">
        <f>SUM(ENERO!B105+FEBRERO!B105+MARZO!B105+ABRIL!B105+MAYO!B105+JUN!B111+JUL!B105+AGO!B105+SET!B105+OCT!B105+NOV!B105+DIC!B105)</f>
        <v>26</v>
      </c>
      <c r="C105" s="11">
        <f>SUM(ENERO!C105+FEBRERO!C105+MARZO!C105+ABRIL!C105+MAYO!C105+JUN!C111+JUL!C105+AGO!C105+SET!C105+OCT!C105+NOV!C105+DIC!C105)</f>
        <v>50</v>
      </c>
      <c r="D105" s="11">
        <f>SUM(ENERO!D105+FEBRERO!D105+MARZO!D105+ABRIL!D105+MAYO!D105+JUN!D111+JUL!D105+AGO!D105+SET!D105+OCT!D105+NOV!D105+DIC!D105)</f>
        <v>61</v>
      </c>
      <c r="E105" s="11">
        <f>SUM(ENERO!E105+FEBRERO!E105+MARZO!E105+ABRIL!E105+MAYO!E105+JUN!E111+JUL!E105+AGO!E105+SET!E105+OCT!E105+NOV!E105+DIC!E105)</f>
        <v>0</v>
      </c>
      <c r="F105" s="11">
        <f>SUM(ENERO!F105+FEBRERO!F105+MARZO!F105+ABRIL!F105+MAYO!F105+JUN!F111+JUL!F105+AGO!F105+SET!F105+OCT!F105+NOV!F105+DIC!F105)</f>
        <v>1</v>
      </c>
      <c r="G105" s="11">
        <f>SUM(ENERO!G105+FEBRERO!G105+MARZO!G105+ABRIL!G105+MAYO!G105+JUN!G111+JUL!G105+AGO!G105+SET!G105+OCT!G105+NOV!G105+DIC!G105)</f>
        <v>0</v>
      </c>
      <c r="H105" s="27">
        <f t="shared" si="10"/>
        <v>138</v>
      </c>
      <c r="I105" s="1"/>
      <c r="R105" s="4"/>
      <c r="S105" s="1"/>
    </row>
    <row r="106" spans="1:19" x14ac:dyDescent="0.25">
      <c r="A106" s="7" t="s">
        <v>174</v>
      </c>
      <c r="B106" s="11">
        <f>SUM(ENERO!B106+FEBRERO!B106+MARZO!B106+ABRIL!B106+MAYO!B106+JUN!B106+JUL!B106+AGO!B106+SET!B106+OCT!B106+NOV!B106+DIC!B106)</f>
        <v>4</v>
      </c>
      <c r="C106" s="11">
        <f>SUM(ENERO!C106+FEBRERO!C106+MARZO!C106+ABRIL!C106+MAYO!C106+JUN!C106+JUL!C106+AGO!C106+SET!C106+OCT!C106+NOV!C106+DIC!C106)</f>
        <v>18</v>
      </c>
      <c r="D106" s="11">
        <f>SUM(ENERO!D106+FEBRERO!D106+MARZO!D106+ABRIL!D106+MAYO!D106+JUN!D106+JUL!D106+AGO!D106+SET!D106+OCT!D106+NOV!D106+DIC!D106)</f>
        <v>93</v>
      </c>
      <c r="E106" s="11">
        <f>SUM(ENERO!E106+FEBRERO!E106+MARZO!E106+ABRIL!E106+MAYO!E106+JUN!E106+JUL!E106+AGO!E106+SET!E106+OCT!E106+NOV!E106+DIC!E106)</f>
        <v>8</v>
      </c>
      <c r="F106" s="11">
        <f>SUM(ENERO!F106+FEBRERO!F106+MARZO!F106+ABRIL!F106+MAYO!F106+JUN!F106+JUL!F106+AGO!F106+SET!F106+OCT!F106+NOV!F106+DIC!F106)</f>
        <v>3</v>
      </c>
      <c r="G106" s="11">
        <f>SUM(ENERO!G106+FEBRERO!G106+MARZO!G106+ABRIL!G106+MAYO!G106+JUN!G106+JUL!G106+AGO!G106+SET!G106+OCT!G106+NOV!G106+DIC!G106)</f>
        <v>0</v>
      </c>
      <c r="H106" s="27">
        <f t="shared" si="10"/>
        <v>126</v>
      </c>
      <c r="I106" s="1"/>
      <c r="R106" s="4"/>
      <c r="S106" s="1"/>
    </row>
    <row r="107" spans="1:19" x14ac:dyDescent="0.25">
      <c r="A107" s="7" t="s">
        <v>175</v>
      </c>
      <c r="B107" s="11">
        <f>SUM(ENERO!B107+FEBRERO!B107+MARZO!B107+ABRIL!B107+MAYO!B107+JUN!B107+JUL!B107+AGO!B107+SET!B107+OCT!B107+NOV!B107+DIC!B107)</f>
        <v>4</v>
      </c>
      <c r="C107" s="11">
        <f>SUM(ENERO!C107+FEBRERO!C107+MARZO!C107+ABRIL!C107+MAYO!C107+JUN!C107+JUL!C107+AGO!C107+SET!C107+OCT!C107+NOV!C107+DIC!C107)</f>
        <v>18</v>
      </c>
      <c r="D107" s="11">
        <f>SUM(ENERO!D107+FEBRERO!D107+MARZO!D107+ABRIL!D107+MAYO!D107+JUN!D107+JUL!D107+AGO!D107+SET!D107+OCT!D107+NOV!D107+DIC!D107)</f>
        <v>65</v>
      </c>
      <c r="E107" s="11">
        <f>SUM(ENERO!E107+FEBRERO!E107+MARZO!E107+ABRIL!E107+MAYO!E107+JUN!E107+JUL!E107+AGO!E107+SET!E107+OCT!E107+NOV!E107+DIC!E107)</f>
        <v>6</v>
      </c>
      <c r="F107" s="11">
        <f>SUM(ENERO!F107+FEBRERO!F107+MARZO!F107+ABRIL!F107+MAYO!F107+JUN!F107+JUL!F107+AGO!F107+SET!F107+OCT!F107+NOV!F107+DIC!F107)</f>
        <v>1</v>
      </c>
      <c r="G107" s="11">
        <f>SUM(ENERO!G107+FEBRERO!G107+MARZO!G107+ABRIL!G107+MAYO!G107+JUN!G107+JUL!G107+AGO!G107+SET!G107+OCT!G107+NOV!G107+DIC!G107)</f>
        <v>0</v>
      </c>
      <c r="H107" s="27">
        <f t="shared" si="10"/>
        <v>94</v>
      </c>
      <c r="I107" s="1"/>
      <c r="R107" s="4"/>
      <c r="S107" s="1"/>
    </row>
    <row r="108" spans="1:19" x14ac:dyDescent="0.25">
      <c r="A108" s="143" t="s">
        <v>109</v>
      </c>
      <c r="B108" s="143"/>
      <c r="C108" s="143"/>
      <c r="D108" s="143"/>
      <c r="E108" s="143"/>
      <c r="F108" s="143"/>
      <c r="G108" s="143"/>
      <c r="H108" s="143"/>
      <c r="I108" s="1"/>
      <c r="R108" s="4"/>
      <c r="S108" s="1"/>
    </row>
    <row r="109" spans="1:19" x14ac:dyDescent="0.25">
      <c r="A109" s="7" t="s">
        <v>123</v>
      </c>
      <c r="B109" s="11">
        <f>SUM(ENERO!B109+FEBRERO!B109+MARZO!B109+ABRIL!B109+MAYO!B109+JUN!B109+JUL!B109+AGO!B109+SET!B109+OCT!B109+NOV!B109+DIC!B109)</f>
        <v>678</v>
      </c>
      <c r="C109" s="11">
        <f>SUM(ENERO!C109+FEBRERO!C109+MARZO!C109+ABRIL!C109+MAYO!C109+JUN!C109+JUL!C109+AGO!C109+SET!C109+OCT!C109+NOV!C109+DIC!C109)</f>
        <v>2817</v>
      </c>
      <c r="D109" s="11">
        <f>SUM(ENERO!D109+FEBRERO!D109+MARZO!D109+ABRIL!D109+MAYO!D109+JUN!D109+JUL!D109+AGO!D109+SET!D109+OCT!D109+NOV!D109+DIC!D109)</f>
        <v>2057</v>
      </c>
      <c r="E109" s="11">
        <f>SUM(ENERO!E109+FEBRERO!E109+MARZO!E109+ABRIL!E109+MAYO!E109+JUN!E109+JUL!E109+AGO!E109+SET!E109+OCT!E109+NOV!E109+DIC!E109)</f>
        <v>23</v>
      </c>
      <c r="F109" s="11">
        <f>SUM(ENERO!F109+FEBRERO!F109+MARZO!F109+ABRIL!F109+MAYO!F109+JUN!F109+JUL!F109+AGO!F109+SET!F109+OCT!F109+NOV!F109+DIC!F109)</f>
        <v>51</v>
      </c>
      <c r="G109" s="11">
        <f>SUM(ENERO!G109+FEBRERO!G109+MARZO!G109+ABRIL!G109+MAYO!G109+JUN!G109+JUL!G109+AGO!G109+SET!G109+OCT!G109+NOV!G109+DIC!G109)</f>
        <v>0</v>
      </c>
      <c r="H109" s="28">
        <f t="shared" si="10"/>
        <v>5626</v>
      </c>
      <c r="I109" s="1"/>
      <c r="R109" s="4"/>
      <c r="S109" s="1"/>
    </row>
    <row r="110" spans="1:19" x14ac:dyDescent="0.25">
      <c r="A110" s="7" t="s">
        <v>122</v>
      </c>
      <c r="B110" s="11">
        <f>SUM(ENERO!B110+FEBRERO!B110+MARZO!B110+ABRIL!B110+MAYO!B110+JUN!B110+JUL!B110+AGO!B110+SET!B110+OCT!B110+NOV!B110+DIC!B110)</f>
        <v>688</v>
      </c>
      <c r="C110" s="11">
        <f>SUM(ENERO!C110+FEBRERO!C110+MARZO!C110+ABRIL!C110+MAYO!C110+JUN!C110+JUL!C110+AGO!C110+SET!C110+OCT!C110+NOV!C110+DIC!C110)</f>
        <v>2699</v>
      </c>
      <c r="D110" s="11">
        <f>SUM(ENERO!D110+FEBRERO!D110+MARZO!D110+ABRIL!D110+MAYO!D110+JUN!D110+JUL!D110+AGO!D110+SET!D110+OCT!D110+NOV!D110+DIC!D110)</f>
        <v>2157</v>
      </c>
      <c r="E110" s="11">
        <f>SUM(ENERO!E110+FEBRERO!E110+MARZO!E110+ABRIL!E110+MAYO!E110+JUN!E110+JUL!E110+AGO!E110+SET!E110+OCT!E110+NOV!E110+DIC!E110)</f>
        <v>29</v>
      </c>
      <c r="F110" s="11">
        <f>SUM(ENERO!F110+FEBRERO!F110+MARZO!F110+ABRIL!F110+MAYO!F110+JUN!F110+JUL!F110+AGO!F110+SET!F110+OCT!F110+NOV!F110+DIC!F110)</f>
        <v>73</v>
      </c>
      <c r="G110" s="11">
        <f>SUM(ENERO!G110+FEBRERO!G110+MARZO!G110+ABRIL!G110+MAYO!G110+JUN!G110+JUL!G110+AGO!G110+SET!G110+OCT!G110+NOV!G110+DIC!G110)</f>
        <v>0</v>
      </c>
      <c r="H110" s="14">
        <f t="shared" si="10"/>
        <v>5646</v>
      </c>
      <c r="I110" s="1"/>
      <c r="J110" s="133"/>
      <c r="K110" s="133"/>
      <c r="R110" s="4"/>
      <c r="S110" s="1"/>
    </row>
    <row r="111" spans="1:19" x14ac:dyDescent="0.25">
      <c r="A111" s="7" t="s">
        <v>121</v>
      </c>
      <c r="B111" s="11">
        <f>SUM(ENERO!B111+FEBRERO!B111+MARZO!B111+ABRIL!B111+MAYO!B111+JUN!B111+JUL!B111+AGO!B111+SET!B111+OCT!B111+NOV!B111+DIC!B111)</f>
        <v>447</v>
      </c>
      <c r="C111" s="11">
        <f>SUM(ENERO!C111+FEBRERO!C111+MARZO!C111+ABRIL!C111+MAYO!C111+JUN!C111+JUL!C111+AGO!C111+SET!C111+OCT!C111+NOV!C111+DIC!C111)</f>
        <v>662</v>
      </c>
      <c r="D111" s="11">
        <f>SUM(ENERO!D111+FEBRERO!D111+MARZO!D111+ABRIL!D111+MAYO!D111+JUN!D111+JUL!D111+AGO!D111+SET!D111+OCT!D111+NOV!D111+DIC!D111)</f>
        <v>720</v>
      </c>
      <c r="E111" s="11">
        <f>SUM(ENERO!E111+FEBRERO!E111+MARZO!E111+ABRIL!E111+MAYO!E111+JUN!E111+JUL!E111+AGO!E111+SET!E111+OCT!E111+NOV!E111+DIC!E111)</f>
        <v>17</v>
      </c>
      <c r="F111" s="11">
        <f>SUM(ENERO!F111+FEBRERO!F111+MARZO!F111+ABRIL!F111+MAYO!F111+JUN!F111+JUL!F111+AGO!F111+SET!F111+OCT!F111+NOV!F111+DIC!F111)</f>
        <v>35</v>
      </c>
      <c r="G111" s="11">
        <f>SUM(ENERO!G111+FEBRERO!G111+MARZO!G111+ABRIL!G111+MAYO!G111+JUN!G111+JUL!G111+AGO!G111+SET!G111+OCT!G111+NOV!G111+DIC!G111)</f>
        <v>0</v>
      </c>
      <c r="H111" s="14">
        <f t="shared" si="10"/>
        <v>1881</v>
      </c>
      <c r="I111" s="1"/>
      <c r="J111" s="133"/>
      <c r="K111" s="133"/>
      <c r="R111" s="4"/>
      <c r="S111" s="1"/>
    </row>
    <row r="112" spans="1:19" x14ac:dyDescent="0.25">
      <c r="A112" s="7" t="s">
        <v>120</v>
      </c>
      <c r="B112" s="11">
        <f>SUM(ENERO!B112+FEBRERO!B112+MARZO!B112+ABRIL!B112+MAYO!B112+JUN!B112+JUL!B112+AGO!B112+SET!B112+OCT!B112+NOV!B112+DIC!B112)</f>
        <v>423</v>
      </c>
      <c r="C112" s="11">
        <f>SUM(ENERO!C112+FEBRERO!C112+MARZO!C112+ABRIL!C112+MAYO!C112+JUN!C112+JUL!C112+AGO!C112+SET!C112+OCT!C112+NOV!C112+DIC!C112)</f>
        <v>329</v>
      </c>
      <c r="D112" s="11">
        <f>SUM(ENERO!D112+FEBRERO!D112+MARZO!D112+ABRIL!D112+MAYO!D112+JUN!D112+JUL!D112+AGO!D112+SET!D112+OCT!D112+NOV!D112+DIC!D112)</f>
        <v>638</v>
      </c>
      <c r="E112" s="11">
        <f>SUM(ENERO!E112+FEBRERO!E112+MARZO!E112+ABRIL!E112+MAYO!E112+JUN!E112+JUL!E112+AGO!E112+SET!E112+OCT!E112+NOV!E112+DIC!E112)</f>
        <v>13</v>
      </c>
      <c r="F112" s="11">
        <f>SUM(ENERO!F112+FEBRERO!F112+MARZO!F112+ABRIL!F112+MAYO!F112+JUN!F112+JUL!F112+AGO!F112+SET!F112+OCT!F112+NOV!F112+DIC!F112)</f>
        <v>30</v>
      </c>
      <c r="G112" s="11">
        <f>SUM(ENERO!G112+FEBRERO!G112+MARZO!G112+ABRIL!G112+MAYO!G112+JUN!G112+JUL!G112+AGO!G112+SET!G112+OCT!G112+NOV!G112+DIC!G112)</f>
        <v>0</v>
      </c>
      <c r="H112" s="14">
        <f t="shared" si="10"/>
        <v>1433</v>
      </c>
      <c r="I112" s="1"/>
      <c r="R112" s="4"/>
      <c r="S112" s="1"/>
    </row>
    <row r="113" spans="1:19" x14ac:dyDescent="0.25">
      <c r="A113" s="7" t="s">
        <v>124</v>
      </c>
      <c r="B113" s="11">
        <f>SUM(ENERO!B113+FEBRERO!B113+MARZO!B113+ABRIL!B113+MAYO!B113+JUN!B113+JUL!B113+AGO!B113+SET!B113+OCT!B113+NOV!B113+DIC!B113)</f>
        <v>340</v>
      </c>
      <c r="C113" s="11">
        <f>SUM(ENERO!C113+FEBRERO!C113+MARZO!C113+ABRIL!C113+MAYO!C113+JUN!C113+JUL!C113+AGO!C113+SET!C113+OCT!C113+NOV!C113+DIC!C113)</f>
        <v>2</v>
      </c>
      <c r="D113" s="11">
        <f>SUM(ENERO!D113+FEBRERO!D113+MARZO!D113+ABRIL!D113+MAYO!D113+JUN!D113+JUL!D113+AGO!D113+SET!D113+OCT!D113+NOV!D113+DIC!D113)</f>
        <v>152</v>
      </c>
      <c r="E113" s="11">
        <f>SUM(ENERO!E113+FEBRERO!E113+MARZO!E113+ABRIL!E113+MAYO!E113+JUN!E113+JUL!E113+AGO!E113+SET!E113+OCT!E113+NOV!E113+DIC!E113)</f>
        <v>27</v>
      </c>
      <c r="F113" s="11">
        <f>SUM(ENERO!F113+FEBRERO!F113+MARZO!F113+ABRIL!F113+MAYO!F113+JUN!F113+JUL!F113+AGO!F113+SET!F113+OCT!F113+NOV!F113+DIC!F113)</f>
        <v>0</v>
      </c>
      <c r="G113" s="11">
        <f>SUM(ENERO!G113+FEBRERO!G113+MARZO!G113+ABRIL!G113+MAYO!G113+JUN!G113+JUL!G113+AGO!G113+SET!G113+OCT!G113+NOV!G113+DIC!G113)</f>
        <v>32</v>
      </c>
      <c r="H113" s="14">
        <f t="shared" si="10"/>
        <v>553</v>
      </c>
      <c r="I113" s="1"/>
      <c r="R113" s="4"/>
      <c r="S113" s="1"/>
    </row>
    <row r="114" spans="1:19" x14ac:dyDescent="0.25">
      <c r="A114" s="7" t="s">
        <v>48</v>
      </c>
      <c r="B114" s="11">
        <f>SUM(ENERO!B114+FEBRERO!B114+MARZO!B114+ABRIL!B114+MAYO!B114+JUN!B114+JUL!B114+AGO!B114+SET!B114+OCT!B114+NOV!B114+DIC!B114)</f>
        <v>0</v>
      </c>
      <c r="C114" s="11">
        <f>SUM(ENERO!C114+FEBRERO!C114+MARZO!C114+ABRIL!C114+MAYO!C114+JUN!C114+JUL!C114+AGO!C114+SET!C114+OCT!C114+NOV!C114+DIC!C114)</f>
        <v>13</v>
      </c>
      <c r="D114" s="11">
        <f>SUM(ENERO!D114+FEBRERO!D114+MARZO!D114+ABRIL!D114+MAYO!D114+JUN!D114+JUL!D114+AGO!D114+SET!D114+OCT!D114+NOV!D114+DIC!D114)</f>
        <v>6</v>
      </c>
      <c r="E114" s="11">
        <f>SUM(ENERO!E114+FEBRERO!E114+MARZO!E114+ABRIL!E114+MAYO!E114+JUN!E114+JUL!E114+AGO!E114+SET!E114+OCT!E114+NOV!E114+DIC!E114)</f>
        <v>0</v>
      </c>
      <c r="F114" s="11">
        <f>SUM(ENERO!F114+FEBRERO!F114+MARZO!F114+ABRIL!F114+MAYO!F114+JUN!F114+JUL!F114+AGO!F114+SET!F114+OCT!F114+NOV!F114+DIC!F114)</f>
        <v>1</v>
      </c>
      <c r="G114" s="11">
        <f>SUM(ENERO!G114+FEBRERO!G114+MARZO!G114+ABRIL!G114+MAYO!G114+JUN!G114+JUL!G114+AGO!G114+SET!G114+OCT!G114+NOV!G114+DIC!G114)</f>
        <v>0</v>
      </c>
      <c r="H114" s="14">
        <f>SUM(B114:G114)</f>
        <v>20</v>
      </c>
      <c r="I114" s="1"/>
      <c r="R114" s="4"/>
      <c r="S114" s="1"/>
    </row>
    <row r="115" spans="1:19" x14ac:dyDescent="0.25">
      <c r="A115" s="140" t="s">
        <v>110</v>
      </c>
      <c r="B115" s="141"/>
      <c r="C115" s="141"/>
      <c r="D115" s="141"/>
      <c r="E115" s="141"/>
      <c r="F115" s="141"/>
      <c r="G115" s="141"/>
      <c r="H115" s="142"/>
      <c r="I115" s="1"/>
      <c r="R115" s="4"/>
      <c r="S115" s="1"/>
    </row>
    <row r="116" spans="1:19" x14ac:dyDescent="0.25">
      <c r="A116" s="8" t="s">
        <v>111</v>
      </c>
      <c r="B116" s="20">
        <f>SUM(ENERO!B116+FEBRERO!B116+MARZO!B116+ABRIL!B116+MAYO!B116+JUN!B116+JUL!B116+AGO!B116+SET!B116+OCT!B116+NOV!B116+DIC!B116)</f>
        <v>553</v>
      </c>
      <c r="C116" s="20">
        <f>SUM(ENERO!C116+FEBRERO!C116+MARZO!C116+ABRIL!C116+MAYO!C116+JUN!C116+JUL!C116+AGO!C116+SET!C116+OCT!C116+NOV!C116+DIC!C116)</f>
        <v>91</v>
      </c>
      <c r="D116" s="20">
        <f>SUM(ENERO!D116+FEBRERO!D116+MARZO!D116+ABRIL!D116+MAYO!D116+JUN!D116+JUL!D116+AGO!D116+SET!D116+OCT!D116+NOV!D116+DIC!D116)</f>
        <v>1397</v>
      </c>
      <c r="E116" s="20">
        <f>SUM(ENERO!E116+FEBRERO!E116+MARZO!E116+ABRIL!E116+MAYO!E116+JUN!E116+JUL!E116+AGO!E116+SET!E116+OCT!E116+NOV!E116+DIC!E116)</f>
        <v>30</v>
      </c>
      <c r="F116" s="20">
        <f>SUM(ENERO!F116+FEBRERO!F116+MARZO!F116+ABRIL!F116+MAYO!F116+JUN!F116+JUL!F116+AGO!F116+SET!F116+OCT!F116+NOV!F116+DIC!F116)</f>
        <v>29</v>
      </c>
      <c r="G116" s="20">
        <f>SUM(ENERO!G116+FEBRERO!G116+MARZO!G116+ABRIL!G116+MAYO!G116+JUN!G116+JUL!G116+AGO!G116+SET!G116+OCT!G116+NOV!G116+DIC!G116)</f>
        <v>0</v>
      </c>
      <c r="H116" s="14">
        <f t="shared" ref="H116:H146" si="14">SUM(B116:G116)</f>
        <v>2100</v>
      </c>
      <c r="I116" s="1"/>
      <c r="R116" s="4"/>
      <c r="S116" s="1"/>
    </row>
    <row r="117" spans="1:19" x14ac:dyDescent="0.25">
      <c r="A117" s="7" t="s">
        <v>158</v>
      </c>
      <c r="B117" s="20">
        <f>SUM(ENERO!B117+FEBRERO!B117+MARZO!B117+ABRIL!B117+MAYO!B117+JUN!B117+JUL!B117+AGO!B117+SET!B117+OCT!B117+NOV!B117+DIC!B117)</f>
        <v>568</v>
      </c>
      <c r="C117" s="20">
        <f>SUM(ENERO!C117+FEBRERO!C117+MARZO!C117+ABRIL!C117+MAYO!C117+JUN!C117+JUL!C117+AGO!C117+SET!C117+OCT!C117+NOV!C117+DIC!C117)</f>
        <v>62</v>
      </c>
      <c r="D117" s="20">
        <f>SUM(ENERO!D117+FEBRERO!D117+MARZO!D117+ABRIL!D117+MAYO!D117+JUN!D117+JUL!D117+AGO!D117+SET!D117+OCT!D117+NOV!D117+DIC!D117)</f>
        <v>1573</v>
      </c>
      <c r="E117" s="20">
        <f>SUM(ENERO!E117+FEBRERO!E117+MARZO!E117+ABRIL!E117+MAYO!E117+JUN!E117+JUL!E117+AGO!E117+SET!E117+OCT!E117+NOV!E117+DIC!E117)</f>
        <v>27</v>
      </c>
      <c r="F117" s="20">
        <f>SUM(ENERO!F117+FEBRERO!F117+MARZO!F117+ABRIL!F117+MAYO!F117+JUN!F117+JUL!F117+AGO!F117+SET!F117+OCT!F117+NOV!F117+DIC!F117)</f>
        <v>34</v>
      </c>
      <c r="G117" s="20">
        <f>SUM(ENERO!G117+FEBRERO!G117+MARZO!G117+ABRIL!G117+MAYO!G117+JUN!G117+JUL!G117+AGO!G117+SET!G117+OCT!G117+NOV!G117+DIC!G117)</f>
        <v>0</v>
      </c>
      <c r="H117" s="14">
        <f t="shared" si="14"/>
        <v>2264</v>
      </c>
      <c r="I117" s="1"/>
      <c r="R117" s="4"/>
      <c r="S117" s="1"/>
    </row>
    <row r="118" spans="1:19" x14ac:dyDescent="0.25">
      <c r="A118" s="7" t="s">
        <v>156</v>
      </c>
      <c r="B118" s="20">
        <f>SUM(ENERO!B118+FEBRERO!B118+MARZO!B118+ABRIL!B118+MAYO!B118+JUN!B118+JUL!B118+AGO!B118+SET!B118+OCT!B118+NOV!B118+DIC!B118)</f>
        <v>525</v>
      </c>
      <c r="C118" s="20">
        <f>SUM(ENERO!C118+FEBRERO!C118+MARZO!C118+ABRIL!C118+MAYO!C118+JUN!C118+JUL!C118+AGO!C118+SET!C118+OCT!C118+NOV!C118+DIC!C118)</f>
        <v>6</v>
      </c>
      <c r="D118" s="20">
        <f>SUM(ENERO!D118+FEBRERO!D118+MARZO!D118+ABRIL!D118+MAYO!D118+JUN!D118+JUL!D118+AGO!D118+SET!D118+OCT!D118+NOV!D118+DIC!D118)</f>
        <v>1242</v>
      </c>
      <c r="E118" s="20">
        <f>SUM(ENERO!E118+FEBRERO!E118+MARZO!E118+ABRIL!E118+MAYO!E118+JUN!E118+JUL!E118+AGO!E118+SET!E118+OCT!E118+NOV!E118+DIC!E118)</f>
        <v>15</v>
      </c>
      <c r="F118" s="20">
        <f>SUM(ENERO!F118+FEBRERO!F118+MARZO!F118+ABRIL!F118+MAYO!F118+JUN!F118+JUL!F118+AGO!F118+SET!F118+OCT!F118+NOV!F118+DIC!F118)</f>
        <v>17</v>
      </c>
      <c r="G118" s="20">
        <f>SUM(ENERO!G118+FEBRERO!G118+MARZO!G118+ABRIL!G118+MAYO!G118+JUN!G118+JUL!G118+AGO!G118+SET!G118+OCT!G118+NOV!G118+DIC!G118)</f>
        <v>0</v>
      </c>
      <c r="H118" s="14">
        <f t="shared" si="14"/>
        <v>1805</v>
      </c>
      <c r="I118" s="1"/>
      <c r="R118" s="4"/>
      <c r="S118" s="1"/>
    </row>
    <row r="119" spans="1:19" x14ac:dyDescent="0.25">
      <c r="A119" s="7" t="s">
        <v>187</v>
      </c>
      <c r="B119" s="20">
        <f>SUM(ENERO!B119+FEBRERO!B119+MARZO!B119+ABRIL!B119+MAYO!B119+JUN!B119+JUL!B119+AGO!B119+SET!B119+OCT!B119+NOV!B119+DIC!B119)</f>
        <v>0</v>
      </c>
      <c r="C119" s="20">
        <f>SUM(ENERO!C119+FEBRERO!C119+MARZO!C119+ABRIL!C119+MAYO!C119+JUN!C119+JUL!C119+AGO!C119+SET!C119+OCT!C119+NOV!C119+DIC!C119)</f>
        <v>0</v>
      </c>
      <c r="D119" s="20">
        <f>SUM(ENERO!D119+FEBRERO!D119+MARZO!D119+ABRIL!D119+MAYO!D119+JUN!D119+JUL!D119+AGO!D119+SET!D119+OCT!D119+NOV!D119+DIC!D119)</f>
        <v>0</v>
      </c>
      <c r="E119" s="20">
        <f>SUM(ENERO!E119+FEBRERO!E119+MARZO!E119+ABRIL!E119+MAYO!E119+JUN!E119+JUL!E119+AGO!E119+SET!E119+OCT!E119+NOV!E119+DIC!E119)</f>
        <v>1</v>
      </c>
      <c r="F119" s="20">
        <f>SUM(ENERO!F119+FEBRERO!F119+MARZO!F119+ABRIL!F119+MAYO!F119+JUN!F119+JUL!F119+AGO!F119+SET!F119+OCT!F119+NOV!F119+DIC!F119)</f>
        <v>0</v>
      </c>
      <c r="G119" s="20">
        <f>SUM(ENERO!G119+FEBRERO!G119+MARZO!G119+ABRIL!G119+MAYO!G119+JUN!G119+JUL!G119+AGO!G119+SET!G119+OCT!G119+NOV!G119+DIC!G119)</f>
        <v>0</v>
      </c>
      <c r="H119" s="14">
        <f t="shared" si="14"/>
        <v>1</v>
      </c>
      <c r="I119" s="1"/>
      <c r="R119" s="4"/>
      <c r="S119" s="1"/>
    </row>
    <row r="120" spans="1:19" x14ac:dyDescent="0.25">
      <c r="A120" s="7" t="s">
        <v>157</v>
      </c>
      <c r="B120" s="20">
        <f>SUM(ENERO!B120+FEBRERO!B120+MARZO!B120+ABRIL!B120+MAYO!B120+JUN!B120+JUL!B120+AGO!B120+SET!B120+OCT!B120+NOV!B120+DIC!B120)</f>
        <v>604</v>
      </c>
      <c r="C120" s="20">
        <f>SUM(ENERO!C120+FEBRERO!C120+MARZO!C120+ABRIL!C120+MAYO!C120+JUN!C120+JUL!C120+AGO!C120+SET!C120+OCT!C120+NOV!C120+DIC!C120)</f>
        <v>11</v>
      </c>
      <c r="D120" s="20">
        <f>SUM(ENERO!D120+FEBRERO!D120+MARZO!D120+ABRIL!D120+MAYO!D120+JUN!D120+JUL!D120+AGO!D120+SET!D120+OCT!D120+NOV!D120+DIC!D120)</f>
        <v>1168</v>
      </c>
      <c r="E120" s="20">
        <f>SUM(ENERO!E120+FEBRERO!E120+MARZO!E120+ABRIL!E120+MAYO!E120+JUN!E120+JUL!E120+AGO!E120+SET!E120+OCT!E120+NOV!E120+DIC!E120)</f>
        <v>13</v>
      </c>
      <c r="F120" s="20">
        <f>SUM(ENERO!F120+FEBRERO!F120+MARZO!F120+ABRIL!F120+MAYO!F120+JUN!F120+JUL!F120+AGO!F120+SET!F120+OCT!F120+NOV!F120+DIC!F120)</f>
        <v>22</v>
      </c>
      <c r="G120" s="20">
        <f>SUM(ENERO!G120+FEBRERO!G120+MARZO!G120+ABRIL!G120+MAYO!G120+JUN!G120+JUL!G120+AGO!G120+SET!G120+OCT!G120+NOV!G120+DIC!G120)</f>
        <v>0</v>
      </c>
      <c r="H120" s="14">
        <f t="shared" si="14"/>
        <v>1818</v>
      </c>
      <c r="I120" s="1"/>
      <c r="R120" s="4"/>
      <c r="S120" s="1"/>
    </row>
    <row r="121" spans="1:19" x14ac:dyDescent="0.25">
      <c r="A121" s="7" t="s">
        <v>125</v>
      </c>
      <c r="B121" s="20">
        <f>SUM(ENERO!B121+FEBRERO!B121+MARZO!B121+ABRIL!B121+MAYO!B121+JUN!B121+JUL!B121+AGO!B121+SET!B121+OCT!B121+NOV!B121+DIC!B121)</f>
        <v>512</v>
      </c>
      <c r="C121" s="20">
        <f>SUM(ENERO!C121+FEBRERO!C121+MARZO!C121+ABRIL!C121+MAYO!C121+JUN!C121+JUL!C121+AGO!C121+SET!C121+OCT!C121+NOV!C121+DIC!C121)</f>
        <v>53</v>
      </c>
      <c r="D121" s="20">
        <f>SUM(ENERO!D121+FEBRERO!D121+MARZO!D121+ABRIL!D121+MAYO!D121+JUN!D121+JUL!D121+AGO!D121+SET!D121+OCT!D121+NOV!D121+DIC!D121)</f>
        <v>426</v>
      </c>
      <c r="E121" s="20">
        <f>SUM(ENERO!E121+FEBRERO!E121+MARZO!E121+ABRIL!E121+MAYO!E121+JUN!E121+JUL!E121+AGO!E121+SET!E121+OCT!E121+NOV!E121+DIC!E121)</f>
        <v>2</v>
      </c>
      <c r="F121" s="20">
        <f>SUM(ENERO!F121+FEBRERO!F121+MARZO!F121+ABRIL!F121+MAYO!F121+JUN!F121+JUL!F121+AGO!F121+SET!F121+OCT!F121+NOV!F121+DIC!F121)</f>
        <v>10</v>
      </c>
      <c r="G121" s="20">
        <f>SUM(ENERO!G121+FEBRERO!G121+MARZO!G121+ABRIL!G121+MAYO!G121+JUN!G121+JUL!G121+AGO!G121+SET!G121+OCT!G121+NOV!G121+DIC!G121)</f>
        <v>0</v>
      </c>
      <c r="H121" s="14">
        <f t="shared" si="14"/>
        <v>1003</v>
      </c>
      <c r="I121" s="1"/>
      <c r="R121" s="4"/>
      <c r="S121" s="1"/>
    </row>
    <row r="122" spans="1:19" x14ac:dyDescent="0.25">
      <c r="A122" s="7" t="s">
        <v>126</v>
      </c>
      <c r="B122" s="20">
        <f>SUM(ENERO!B122+FEBRERO!B122+MARZO!B122+ABRIL!B122+MAYO!B122+JUN!B122+JUL!B122+AGO!B122+SET!B122+OCT!B122+NOV!B122+DIC!B122)</f>
        <v>270</v>
      </c>
      <c r="C122" s="20">
        <f>SUM(ENERO!C122+FEBRERO!C122+MARZO!C122+ABRIL!C122+MAYO!C122+JUN!C122+JUL!C122+AGO!C122+SET!C122+OCT!C122+NOV!C122+DIC!C122)</f>
        <v>16</v>
      </c>
      <c r="D122" s="20">
        <f>SUM(ENERO!D122+FEBRERO!D122+MARZO!D122+ABRIL!D122+MAYO!D122+JUN!D122+JUL!D122+AGO!D122+SET!D122+OCT!D122+NOV!D122+DIC!D122)</f>
        <v>199</v>
      </c>
      <c r="E122" s="20">
        <f>SUM(ENERO!E122+FEBRERO!E122+MARZO!E122+ABRIL!E122+MAYO!E122+JUN!E122+JUL!E122+AGO!E122+SET!E122+OCT!E122+NOV!E122+DIC!E122)</f>
        <v>1</v>
      </c>
      <c r="F122" s="20">
        <f>SUM(ENERO!F122+FEBRERO!F122+MARZO!F122+ABRIL!F122+MAYO!F122+JUN!F122+JUL!F122+AGO!F122+SET!F122+OCT!F122+NOV!F122+DIC!F122)</f>
        <v>4</v>
      </c>
      <c r="G122" s="20">
        <f>SUM(ENERO!G122+FEBRERO!G122+MARZO!G122+ABRIL!G122+MAYO!G122+JUN!G122+JUL!G122+AGO!G122+SET!G122+OCT!G122+NOV!G122+DIC!G122)</f>
        <v>0</v>
      </c>
      <c r="H122" s="14">
        <f t="shared" si="14"/>
        <v>490</v>
      </c>
      <c r="I122" s="1"/>
      <c r="R122" s="4"/>
      <c r="S122" s="1"/>
    </row>
    <row r="123" spans="1:19" x14ac:dyDescent="0.25">
      <c r="A123" s="7" t="s">
        <v>103</v>
      </c>
      <c r="B123" s="20">
        <f>SUM(ENERO!B123+FEBRERO!B123+MARZO!B123+ABRIL!B123+MAYO!B123+JUN!B123+JUL!B123+AGO!B123+SET!B123+OCT!B123+NOV!B123+DIC!B123)</f>
        <v>144</v>
      </c>
      <c r="C123" s="20">
        <f>SUM(ENERO!C123+FEBRERO!C123+MARZO!C123+ABRIL!C123+MAYO!C123+JUN!C123+JUL!C123+AGO!C123+SET!C123+OCT!C123+NOV!C123+DIC!C123)</f>
        <v>11</v>
      </c>
      <c r="D123" s="20">
        <f>SUM(ENERO!D123+FEBRERO!D123+MARZO!D123+ABRIL!D123+MAYO!D123+JUN!D123+JUL!D123+AGO!D123+SET!D123+OCT!D123+NOV!D123+DIC!D123)</f>
        <v>415</v>
      </c>
      <c r="E123" s="20">
        <f>SUM(ENERO!E123+FEBRERO!E123+MARZO!E123+ABRIL!E123+MAYO!E123+JUN!E123+JUL!E123+AGO!E123+SET!E123+OCT!E123+NOV!E123+DIC!E123)</f>
        <v>19</v>
      </c>
      <c r="F123" s="20">
        <f>SUM(ENERO!F123+FEBRERO!F123+MARZO!F123+ABRIL!F123+MAYO!F123+JUN!F123+JUL!F123+AGO!F123+SET!F123+OCT!F123+NOV!F123+DIC!F123)</f>
        <v>11</v>
      </c>
      <c r="G123" s="20">
        <f>SUM(ENERO!G123+FEBRERO!G123+MARZO!G123+ABRIL!G123+MAYO!G123+JUN!G123+JUL!G123+AGO!G123+SET!G123+OCT!G123+NOV!G123+DIC!G123)</f>
        <v>0</v>
      </c>
      <c r="H123" s="14">
        <f t="shared" si="14"/>
        <v>600</v>
      </c>
      <c r="I123" s="1"/>
      <c r="R123" s="4"/>
      <c r="S123" s="1"/>
    </row>
    <row r="124" spans="1:19" x14ac:dyDescent="0.25">
      <c r="A124" s="7" t="s">
        <v>127</v>
      </c>
      <c r="B124" s="20">
        <f>SUM(ENERO!B124+FEBRERO!B124+MARZO!B124+ABRIL!B124+MAYO!B124+JUN!B124+JUL!B124+AGO!B124+SET!B124+OCT!B124+NOV!B124+DIC!B124)</f>
        <v>361</v>
      </c>
      <c r="C124" s="20">
        <f>SUM(ENERO!C124+FEBRERO!C124+MARZO!C124+ABRIL!C124+MAYO!C124+JUN!C124+JUL!C124+AGO!C124+SET!C124+OCT!C124+NOV!C124+DIC!C124)</f>
        <v>32</v>
      </c>
      <c r="D124" s="20">
        <f>SUM(ENERO!D124+FEBRERO!D124+MARZO!D124+ABRIL!D124+MAYO!D124+JUN!D124+JUL!D124+AGO!D124+SET!D124+OCT!D124+NOV!D124+DIC!D124)</f>
        <v>260</v>
      </c>
      <c r="E124" s="20">
        <f>SUM(ENERO!E124+FEBRERO!E124+MARZO!E124+ABRIL!E124+MAYO!E124+JUN!E124+JUL!E124+AGO!E124+SET!E124+OCT!E124+NOV!E124+DIC!E124)</f>
        <v>4</v>
      </c>
      <c r="F124" s="20">
        <f>SUM(ENERO!F124+FEBRERO!F124+MARZO!F124+ABRIL!F124+MAYO!F124+JUN!F124+JUL!F124+AGO!F124+SET!F124+OCT!F124+NOV!F124+DIC!F124)</f>
        <v>3</v>
      </c>
      <c r="G124" s="20">
        <f>SUM(ENERO!G124+FEBRERO!G124+MARZO!G124+ABRIL!G124+MAYO!G124+JUN!G124+JUL!G124+AGO!G124+SET!G124+OCT!G124+NOV!G124+DIC!G124)</f>
        <v>0</v>
      </c>
      <c r="H124" s="14">
        <f t="shared" si="14"/>
        <v>660</v>
      </c>
      <c r="I124" s="1"/>
      <c r="R124" s="4"/>
      <c r="S124" s="1"/>
    </row>
    <row r="125" spans="1:19" x14ac:dyDescent="0.25">
      <c r="A125" s="7" t="s">
        <v>128</v>
      </c>
      <c r="B125" s="20">
        <f>SUM(ENERO!B125+FEBRERO!B125+MARZO!B125+ABRIL!B125+MAYO!B125+JUN!B125+JUL!B125+AGO!B125+SET!B125+OCT!B125+NOV!B125+DIC!B125)</f>
        <v>333</v>
      </c>
      <c r="C125" s="20">
        <f>SUM(ENERO!C125+FEBRERO!C125+MARZO!C125+ABRIL!C125+MAYO!C125+JUN!C125+JUL!C125+AGO!C125+SET!C125+OCT!C125+NOV!C125+DIC!C125)</f>
        <v>17</v>
      </c>
      <c r="D125" s="20">
        <f>SUM(ENERO!D125+FEBRERO!D125+MARZO!D125+ABRIL!D125+MAYO!D125+JUN!D125+JUL!D125+AGO!D125+SET!D125+OCT!D125+NOV!D125+DIC!D125)</f>
        <v>328</v>
      </c>
      <c r="E125" s="20">
        <f>SUM(ENERO!E125+FEBRERO!E125+MARZO!E125+ABRIL!E125+MAYO!E125+JUN!E125+JUL!E125+AGO!E125+SET!E125+OCT!E125+NOV!E125+DIC!E125)</f>
        <v>7</v>
      </c>
      <c r="F125" s="20">
        <f>SUM(ENERO!F125+FEBRERO!F125+MARZO!F125+ABRIL!F125+MAYO!F125+JUN!F125+JUL!F125+AGO!F125+SET!F125+OCT!F125+NOV!F125+DIC!F125)</f>
        <v>3</v>
      </c>
      <c r="G125" s="20">
        <f>SUM(ENERO!G125+FEBRERO!G125+MARZO!G125+ABRIL!G125+MAYO!G125+JUN!G125+JUL!G125+AGO!G125+SET!G125+OCT!G125+NOV!G125+DIC!G125)</f>
        <v>0</v>
      </c>
      <c r="H125" s="14">
        <f t="shared" si="14"/>
        <v>688</v>
      </c>
      <c r="I125" s="1"/>
      <c r="R125" s="4"/>
      <c r="S125" s="1"/>
    </row>
    <row r="126" spans="1:19" x14ac:dyDescent="0.25">
      <c r="A126" s="7" t="s">
        <v>129</v>
      </c>
      <c r="B126" s="20">
        <f>SUM(ENERO!B126+FEBRERO!B126+MARZO!B126+ABRIL!B126+MAYO!B126+JUN!B126+JUL!B126+AGO!B126+SET!B126+OCT!B126+NOV!B126+DIC!B126)</f>
        <v>382</v>
      </c>
      <c r="C126" s="20">
        <f>SUM(ENERO!C126+FEBRERO!C126+MARZO!C126+ABRIL!C126+MAYO!C126+JUN!C126+JUL!C126+AGO!C126+SET!C126+OCT!C126+NOV!C126+DIC!C126)</f>
        <v>17</v>
      </c>
      <c r="D126" s="20">
        <f>SUM(ENERO!D126+FEBRERO!D126+MARZO!D126+ABRIL!D126+MAYO!D126+JUN!D126+JUL!D126+AGO!D126+SET!D126+OCT!D126+NOV!D126+DIC!D126)</f>
        <v>285</v>
      </c>
      <c r="E126" s="20">
        <f>SUM(ENERO!E126+FEBRERO!E126+MARZO!E126+ABRIL!E126+MAYO!E126+JUN!E126+JUL!E126+AGO!E126+SET!E126+OCT!E126+NOV!E126+DIC!E126)</f>
        <v>0</v>
      </c>
      <c r="F126" s="20">
        <f>SUM(ENERO!F126+FEBRERO!F126+MARZO!F126+ABRIL!F126+MAYO!F126+JUN!F126+JUL!F126+AGO!F126+SET!F126+OCT!F126+NOV!F126+DIC!F126)</f>
        <v>3</v>
      </c>
      <c r="G126" s="20">
        <f>SUM(ENERO!G126+FEBRERO!G126+MARZO!G126+ABRIL!G126+MAYO!G126+JUN!G126+JUL!G126+AGO!G126+SET!G126+OCT!G126+NOV!G126+DIC!G126)</f>
        <v>0</v>
      </c>
      <c r="H126" s="14">
        <f t="shared" si="14"/>
        <v>687</v>
      </c>
      <c r="I126" s="1"/>
      <c r="R126" s="4"/>
      <c r="S126" s="1"/>
    </row>
    <row r="127" spans="1:19" x14ac:dyDescent="0.25">
      <c r="A127" s="7" t="s">
        <v>44</v>
      </c>
      <c r="B127" s="20">
        <f>SUM(ENERO!B127+FEBRERO!B127+MARZO!B127+ABRIL!B127+MAYO!B127+JUN!B127+JUL!B127+AGO!B127+SET!B127+OCT!B127+NOV!B127+DIC!B127)</f>
        <v>248</v>
      </c>
      <c r="C127" s="20">
        <f>SUM(ENERO!C127+FEBRERO!C127+MARZO!C127+ABRIL!C127+MAYO!C127+JUN!C127+JUL!C127+AGO!C127+SET!C127+OCT!C127+NOV!C127+DIC!C127)</f>
        <v>41</v>
      </c>
      <c r="D127" s="20">
        <f>SUM(ENERO!D127+FEBRERO!D127+MARZO!D127+ABRIL!D127+MAYO!D127+JUN!D127+JUL!D127+AGO!D127+SET!D127+OCT!D127+NOV!D127+DIC!D127)</f>
        <v>868</v>
      </c>
      <c r="E127" s="20">
        <f>SUM(ENERO!E127+FEBRERO!E127+MARZO!E127+ABRIL!E127+MAYO!E127+JUN!E127+JUL!E127+AGO!E127+SET!E127+OCT!E127+NOV!E127+DIC!E127)</f>
        <v>34</v>
      </c>
      <c r="F127" s="20">
        <f>SUM(ENERO!F127+FEBRERO!F127+MARZO!F127+ABRIL!F127+MAYO!F127+JUN!F127+JUL!F127+AGO!F127+SET!F127+OCT!F127+NOV!F127+DIC!F127)</f>
        <v>44</v>
      </c>
      <c r="G127" s="20">
        <f>SUM(ENERO!G127+FEBRERO!G127+MARZO!G127+ABRIL!G127+MAYO!G127+JUN!G127+JUL!G127+AGO!G127+SET!G127+OCT!G127+NOV!G127+DIC!G127)</f>
        <v>1</v>
      </c>
      <c r="H127" s="14">
        <f t="shared" si="14"/>
        <v>1236</v>
      </c>
      <c r="I127" s="1"/>
      <c r="R127" s="4"/>
      <c r="S127" s="1"/>
    </row>
    <row r="128" spans="1:19" x14ac:dyDescent="0.25">
      <c r="A128" s="7" t="s">
        <v>92</v>
      </c>
      <c r="B128" s="20">
        <f>SUM(ENERO!B128+FEBRERO!B128+MARZO!B128+ABRIL!B128+MAYO!B128+JUN!B128+JUL!B128+AGO!B128+SET!B128+OCT!B128+NOV!B128+DIC!B128)</f>
        <v>106</v>
      </c>
      <c r="C128" s="20">
        <f>SUM(ENERO!C128+FEBRERO!C128+MARZO!C128+ABRIL!C128+MAYO!C128+JUN!C128+JUL!C128+AGO!C128+SET!C128+OCT!C128+NOV!C128+DIC!C128)</f>
        <v>11</v>
      </c>
      <c r="D128" s="20">
        <f>SUM(ENERO!D128+FEBRERO!D128+MARZO!D128+ABRIL!D128+MAYO!D128+JUN!D128+JUL!D128+AGO!D128+SET!D128+OCT!D128+NOV!D128+DIC!D128)</f>
        <v>614</v>
      </c>
      <c r="E128" s="20">
        <f>SUM(ENERO!E128+FEBRERO!E128+MARZO!E128+ABRIL!E128+MAYO!E128+JUN!E128+JUL!E128+AGO!E128+SET!E128+OCT!E128+NOV!E128+DIC!E128)</f>
        <v>19</v>
      </c>
      <c r="F128" s="20">
        <f>SUM(ENERO!F128+FEBRERO!F128+MARZO!F128+ABRIL!F128+MAYO!F128+JUN!F128+JUL!F128+AGO!F128+SET!F128+OCT!F128+NOV!F128+DIC!F128)</f>
        <v>36</v>
      </c>
      <c r="G128" s="20">
        <f>SUM(ENERO!G128+FEBRERO!G128+MARZO!G128+ABRIL!G128+MAYO!G128+JUN!G128+JUL!G128+AGO!G128+SET!G128+OCT!G128+NOV!G128+DIC!G128)</f>
        <v>1</v>
      </c>
      <c r="H128" s="14">
        <f t="shared" si="14"/>
        <v>787</v>
      </c>
      <c r="I128" s="1"/>
      <c r="R128" s="4"/>
      <c r="S128" s="1"/>
    </row>
    <row r="129" spans="1:19" x14ac:dyDescent="0.25">
      <c r="A129" s="7" t="s">
        <v>45</v>
      </c>
      <c r="B129" s="20">
        <f>SUM(ENERO!B129+FEBRERO!B129+MARZO!B129+ABRIL!B129+MAYO!B129+JUN!B129+JUL!B129+AGO!B129+SET!B129+OCT!B129+NOV!B129+DIC!B129)</f>
        <v>225</v>
      </c>
      <c r="C129" s="20">
        <f>SUM(ENERO!C129+FEBRERO!C129+MARZO!C129+ABRIL!C129+MAYO!C129+JUN!C129+JUL!C129+AGO!C129+SET!C129+OCT!C129+NOV!C129+DIC!C129)</f>
        <v>61</v>
      </c>
      <c r="D129" s="20">
        <f>SUM(ENERO!D129+FEBRERO!D129+MARZO!D129+ABRIL!D129+MAYO!D129+JUN!D129+JUL!D129+AGO!D129+SET!D129+OCT!D129+NOV!D129+DIC!D129)</f>
        <v>166</v>
      </c>
      <c r="E129" s="20">
        <f>SUM(ENERO!E129+FEBRERO!E129+MARZO!E129+ABRIL!E129+MAYO!E129+JUN!E129+JUL!E129+AGO!E129+SET!E129+OCT!E129+NOV!E129+DIC!E129)</f>
        <v>9</v>
      </c>
      <c r="F129" s="20">
        <f>SUM(ENERO!F129+FEBRERO!F129+MARZO!F129+ABRIL!F129+MAYO!F129+JUN!F129+JUL!F129+AGO!F129+SET!F129+OCT!F129+NOV!F129+DIC!F129)</f>
        <v>2</v>
      </c>
      <c r="G129" s="20">
        <f>SUM(ENERO!G129+FEBRERO!G129+MARZO!G129+ABRIL!G129+MAYO!G129+JUN!G129+JUL!G129+AGO!G129+SET!G129+OCT!G129+NOV!G129+DIC!G129)</f>
        <v>0</v>
      </c>
      <c r="H129" s="14">
        <f t="shared" si="14"/>
        <v>463</v>
      </c>
      <c r="I129" s="1"/>
      <c r="R129" s="4"/>
      <c r="S129" s="1"/>
    </row>
    <row r="130" spans="1:19" x14ac:dyDescent="0.25">
      <c r="A130" s="7" t="s">
        <v>99</v>
      </c>
      <c r="B130" s="20">
        <f>SUM(ENERO!B130+FEBRERO!B130+MARZO!B130+ABRIL!B130+MAYO!B130+JUN!B130+JUL!B130+AGO!B130+SET!B130+OCT!B130+NOV!B130+DIC!B130)</f>
        <v>658</v>
      </c>
      <c r="C130" s="20">
        <f>SUM(ENERO!C130+FEBRERO!C130+MARZO!C130+ABRIL!C130+MAYO!C130+JUN!C130+JUL!C130+AGO!C130+SET!C130+OCT!C130+NOV!C130+DIC!C130)</f>
        <v>289</v>
      </c>
      <c r="D130" s="20">
        <f>SUM(ENERO!D130+FEBRERO!D130+MARZO!D130+ABRIL!D130+MAYO!D130+JUN!D130+JUL!D130+AGO!D130+SET!D130+OCT!D130+NOV!D130+DIC!D130)</f>
        <v>72</v>
      </c>
      <c r="E130" s="20">
        <f>SUM(ENERO!E130+FEBRERO!E130+MARZO!E130+ABRIL!E130+MAYO!E130+JUN!E130+JUL!E130+AGO!E130+SET!E130+OCT!E130+NOV!E130+DIC!E130)</f>
        <v>4</v>
      </c>
      <c r="F130" s="20">
        <f>SUM(ENERO!F130+FEBRERO!F130+MARZO!F130+ABRIL!F130+MAYO!F130+JUN!F130+JUL!F130+AGO!F130+SET!F130+OCT!F130+NOV!F130+DIC!F130)</f>
        <v>5</v>
      </c>
      <c r="G130" s="20">
        <f>SUM(ENERO!G130+FEBRERO!G130+MARZO!G130+ABRIL!G130+MAYO!G130+JUN!G130+JUL!G130+AGO!G130+SET!G130+OCT!G130+NOV!G130+DIC!G130)</f>
        <v>0</v>
      </c>
      <c r="H130" s="14">
        <f t="shared" si="14"/>
        <v>1028</v>
      </c>
      <c r="I130" s="1"/>
      <c r="R130" s="4"/>
      <c r="S130" s="1"/>
    </row>
    <row r="131" spans="1:19" x14ac:dyDescent="0.25">
      <c r="A131" s="7" t="s">
        <v>100</v>
      </c>
      <c r="B131" s="20">
        <f>SUM(ENERO!B131+FEBRERO!B131+MARZO!B131+ABRIL!B131+MAYO!B131+JUN!B131+JUL!B131+AGO!B131+SET!B131+OCT!B131+NOV!B131+DIC!B131)</f>
        <v>46</v>
      </c>
      <c r="C131" s="20">
        <f>SUM(ENERO!C131+FEBRERO!C131+MARZO!C131+ABRIL!C131+MAYO!C131+JUN!C131+JUL!C131+AGO!C131+SET!C131+OCT!C131+NOV!C131+DIC!C131)</f>
        <v>0</v>
      </c>
      <c r="D131" s="20">
        <f>SUM(ENERO!D131+FEBRERO!D131+MARZO!D131+ABRIL!D131+MAYO!D131+JUN!D131+JUL!D131+AGO!D131+SET!D131+OCT!D131+NOV!D131+DIC!D131)</f>
        <v>279</v>
      </c>
      <c r="E131" s="20">
        <f>SUM(ENERO!E131+FEBRERO!E131+MARZO!E131+ABRIL!E131+MAYO!E131+JUN!E131+JUL!E131+AGO!E131+SET!E131+OCT!E131+NOV!E131+DIC!E131)</f>
        <v>19</v>
      </c>
      <c r="F131" s="20">
        <f>SUM(ENERO!F131+FEBRERO!F131+MARZO!F131+ABRIL!F131+MAYO!F131+JUN!F131+JUL!F131+AGO!F131+SET!F131+OCT!F131+NOV!F131+DIC!F131)</f>
        <v>10</v>
      </c>
      <c r="G131" s="20">
        <f>SUM(ENERO!G131+FEBRERO!G131+MARZO!G131+ABRIL!G131+MAYO!G131+JUN!G131+JUL!G131+AGO!G131+SET!G131+OCT!G131+NOV!G131+DIC!G131)</f>
        <v>0</v>
      </c>
      <c r="H131" s="14">
        <f t="shared" si="14"/>
        <v>354</v>
      </c>
      <c r="I131" s="1"/>
      <c r="R131" s="4"/>
      <c r="S131" s="1"/>
    </row>
    <row r="132" spans="1:19" ht="15.75" customHeight="1" x14ac:dyDescent="0.25">
      <c r="A132" s="7" t="s">
        <v>46</v>
      </c>
      <c r="B132" s="20">
        <f>SUM(ENERO!B132+FEBRERO!B132+MARZO!B132+ABRIL!B132+MAYO!B132+JUN!B132+JUL!B132+AGO!B132+SET!B132+OCT!B132+NOV!B132+DIC!B132)</f>
        <v>50</v>
      </c>
      <c r="C132" s="20">
        <f>SUM(ENERO!C132+FEBRERO!C132+MARZO!C132+ABRIL!C132+MAYO!C132+JUN!C132+JUL!C132+AGO!C132+SET!C132+OCT!C132+NOV!C132+DIC!C132)</f>
        <v>6</v>
      </c>
      <c r="D132" s="20">
        <f>SUM(ENERO!D132+FEBRERO!D132+MARZO!D132+ABRIL!D132+MAYO!D132+JUN!D132+JUL!D132+AGO!D132+SET!D132+OCT!D132+NOV!D132+DIC!D132)</f>
        <v>97</v>
      </c>
      <c r="E132" s="20">
        <f>SUM(ENERO!E132+FEBRERO!E132+MARZO!E132+ABRIL!E132+MAYO!E132+JUN!E132+JUL!E132+AGO!E132+SET!E132+OCT!E132+NOV!E132+DIC!E132)</f>
        <v>4</v>
      </c>
      <c r="F132" s="20">
        <f>SUM(ENERO!F132+FEBRERO!F132+MARZO!F132+ABRIL!F132+MAYO!F132+JUN!F132+JUL!F132+AGO!F132+SET!F132+OCT!F132+NOV!F132+DIC!F132)</f>
        <v>2</v>
      </c>
      <c r="G132" s="20">
        <f>SUM(ENERO!G132+FEBRERO!G132+MARZO!G132+ABRIL!G132+MAYO!G132+JUN!G132+JUL!G132+AGO!G132+SET!G132+OCT!G132+NOV!G132+DIC!G132)</f>
        <v>0</v>
      </c>
      <c r="H132" s="14">
        <f t="shared" si="14"/>
        <v>159</v>
      </c>
      <c r="I132" s="1"/>
      <c r="R132" s="4"/>
      <c r="S132" s="1"/>
    </row>
    <row r="133" spans="1:19" x14ac:dyDescent="0.25">
      <c r="A133" s="7" t="s">
        <v>47</v>
      </c>
      <c r="B133" s="20">
        <f>SUM(ENERO!B133+FEBRERO!B133+MARZO!B133+ABRIL!B133+MAYO!B133+JUN!B133+JUL!B133+AGO!B133+SET!B133+OCT!B133+NOV!B133+DIC!B133)</f>
        <v>4</v>
      </c>
      <c r="C133" s="20">
        <f>SUM(ENERO!C133+FEBRERO!C133+MARZO!C133+ABRIL!C133+MAYO!C133+JUN!C133+JUL!C133+AGO!C133+SET!C133+OCT!C133+NOV!C133+DIC!C133)</f>
        <v>1</v>
      </c>
      <c r="D133" s="20">
        <f>SUM(ENERO!D133+FEBRERO!D133+MARZO!D133+ABRIL!D133+MAYO!D133+JUN!D133+JUL!D133+AGO!D133+SET!D133+OCT!D133+NOV!D133+DIC!D133)</f>
        <v>12</v>
      </c>
      <c r="E133" s="20">
        <f>SUM(ENERO!E133+FEBRERO!E133+MARZO!E133+ABRIL!E133+MAYO!E133+JUN!E133+JUL!E133+AGO!E133+SET!E133+OCT!E133+NOV!E133+DIC!E133)</f>
        <v>1</v>
      </c>
      <c r="F133" s="20">
        <f>SUM(ENERO!F133+FEBRERO!F133+MARZO!F133+ABRIL!F133+MAYO!F133+JUN!F133+JUL!F133+AGO!F133+SET!F133+OCT!F133+NOV!F133+DIC!F133)</f>
        <v>0</v>
      </c>
      <c r="G133" s="20">
        <f>SUM(ENERO!G133+FEBRERO!G133+MARZO!G133+ABRIL!G133+MAYO!G133+JUN!G133+JUL!G133+AGO!G133+SET!G133+OCT!G133+NOV!G133+DIC!G133)</f>
        <v>0</v>
      </c>
      <c r="H133" s="14">
        <f t="shared" si="14"/>
        <v>18</v>
      </c>
      <c r="I133" s="1"/>
      <c r="R133" s="4"/>
      <c r="S133" s="1"/>
    </row>
    <row r="134" spans="1:19" x14ac:dyDescent="0.25">
      <c r="A134" s="7" t="s">
        <v>53</v>
      </c>
      <c r="B134" s="20">
        <f>SUM(ENERO!B134+FEBRERO!B134+MARZO!B134+ABRIL!B134+MAYO!B134+JUN!B134+JUL!B134+AGO!B134+SET!B134+OCT!B134+NOV!B134+DIC!B134)</f>
        <v>4</v>
      </c>
      <c r="C134" s="20">
        <f>SUM(ENERO!C134+FEBRERO!C134+MARZO!C134+ABRIL!C134+MAYO!C134+JUN!C134+JUL!C134+AGO!C134+SET!C134+OCT!C134+NOV!C134+DIC!C134)</f>
        <v>0</v>
      </c>
      <c r="D134" s="20">
        <f>SUM(ENERO!D134+FEBRERO!D134+MARZO!D134+ABRIL!D134+MAYO!D134+JUN!D134+JUL!D134+AGO!D134+SET!D134+OCT!D134+NOV!D134+DIC!D134)</f>
        <v>31</v>
      </c>
      <c r="E134" s="20">
        <f>SUM(ENERO!E134+FEBRERO!E134+MARZO!E134+ABRIL!E134+MAYO!E134+JUN!E134+JUL!E134+AGO!E134+SET!E134+OCT!E134+NOV!E134+DIC!E134)</f>
        <v>3</v>
      </c>
      <c r="F134" s="20">
        <f>SUM(ENERO!F134+FEBRERO!F134+MARZO!F134+ABRIL!F134+MAYO!F134+JUN!F134+JUL!F134+AGO!F134+SET!F134+OCT!F134+NOV!F134+DIC!F134)</f>
        <v>0</v>
      </c>
      <c r="G134" s="20">
        <f>SUM(ENERO!G134+FEBRERO!G134+MARZO!G134+ABRIL!G134+MAYO!G134+JUN!G134+JUL!G134+AGO!G134+SET!G134+OCT!G134+NOV!G134+DIC!G134)</f>
        <v>0</v>
      </c>
      <c r="H134" s="14">
        <f t="shared" si="14"/>
        <v>38</v>
      </c>
      <c r="I134" s="1"/>
      <c r="R134" s="4"/>
      <c r="S134" s="1"/>
    </row>
    <row r="135" spans="1:19" x14ac:dyDescent="0.25">
      <c r="A135" s="7" t="s">
        <v>134</v>
      </c>
      <c r="B135" s="20">
        <f>SUM(ENERO!B135+FEBRERO!B135+MARZO!B135+ABRIL!B135+MAYO!B135+JUN!B135+JUL!B135+AGO!B135+SET!B135+OCT!B135+NOV!B135+DIC!B135)</f>
        <v>678</v>
      </c>
      <c r="C135" s="20">
        <f>SUM(ENERO!C135+FEBRERO!C135+MARZO!C135+ABRIL!C135+MAYO!C135+JUN!C135+JUL!C135+AGO!C135+SET!C135+OCT!C135+NOV!C135+DIC!C135)</f>
        <v>65</v>
      </c>
      <c r="D135" s="20">
        <f>SUM(ENERO!D135+FEBRERO!D135+MARZO!D135+ABRIL!D135+MAYO!D135+JUN!D135+JUL!D135+AGO!D135+SET!D135+OCT!D135+NOV!D135+DIC!D135)</f>
        <v>1435</v>
      </c>
      <c r="E135" s="20">
        <f>SUM(ENERO!E135+FEBRERO!E135+MARZO!E135+ABRIL!E135+MAYO!E135+JUN!E135+JUL!E135+AGO!E135+SET!E135+OCT!E135+NOV!E135+DIC!E135)</f>
        <v>45</v>
      </c>
      <c r="F135" s="20">
        <f>SUM(ENERO!F135+FEBRERO!F135+MARZO!F135+ABRIL!F135+MAYO!F135+JUN!F135+JUL!F135+AGO!F135+SET!F135+OCT!F135+NOV!F135+DIC!F135)</f>
        <v>29</v>
      </c>
      <c r="G135" s="20">
        <f>SUM(ENERO!G135+FEBRERO!G135+MARZO!G135+ABRIL!G135+MAYO!G135+JUN!G135+JUL!G135+AGO!G135+SET!G135+OCT!G135+NOV!G135+DIC!G135)</f>
        <v>0</v>
      </c>
      <c r="H135" s="14">
        <f t="shared" si="14"/>
        <v>2252</v>
      </c>
      <c r="I135" s="1"/>
      <c r="R135" s="4"/>
      <c r="S135" s="1"/>
    </row>
    <row r="136" spans="1:19" x14ac:dyDescent="0.25">
      <c r="A136" s="7" t="s">
        <v>135</v>
      </c>
      <c r="B136" s="20">
        <f>SUM(ENERO!B136+FEBRERO!B136+MARZO!B136+ABRIL!B136+MAYO!B136+JUN!B136+JUL!B136+AGO!B136+SET!B136+OCT!B136+NOV!B136+DIC!B136)</f>
        <v>743</v>
      </c>
      <c r="C136" s="20">
        <f>SUM(ENERO!C136+FEBRERO!C136+MARZO!C136+ABRIL!C136+MAYO!C136+JUN!C136+JUL!C136+AGO!C136+SET!C136+OCT!C136+NOV!C136+DIC!C136)</f>
        <v>122</v>
      </c>
      <c r="D136" s="20">
        <f>SUM(ENERO!D136+FEBRERO!D136+MARZO!D136+ABRIL!D136+MAYO!D136+JUN!D136+JUL!D136+AGO!D136+SET!D136+OCT!D136+NOV!D136+DIC!D136)</f>
        <v>2080</v>
      </c>
      <c r="E136" s="20">
        <f>SUM(ENERO!E136+FEBRERO!E136+MARZO!E136+ABRIL!E136+MAYO!E136+JUN!E136+JUL!E136+AGO!E136+SET!E136+OCT!E136+NOV!E136+DIC!E136)</f>
        <v>91</v>
      </c>
      <c r="F136" s="20">
        <f>SUM(ENERO!F136+FEBRERO!F136+MARZO!F136+ABRIL!F136+MAYO!F136+JUN!F136+JUL!F136+AGO!F136+SET!F136+OCT!F136+NOV!F136+DIC!F136)</f>
        <v>57</v>
      </c>
      <c r="G136" s="20">
        <f>SUM(ENERO!G136+FEBRERO!G136+MARZO!G136+ABRIL!G136+MAYO!G136+JUN!G136+JUL!G136+AGO!G136+SET!G136+OCT!G136+NOV!G136+DIC!G136)</f>
        <v>0</v>
      </c>
      <c r="H136" s="14">
        <f t="shared" si="14"/>
        <v>3093</v>
      </c>
      <c r="I136" s="1"/>
      <c r="R136" s="4"/>
      <c r="S136" s="1"/>
    </row>
    <row r="137" spans="1:19" x14ac:dyDescent="0.25">
      <c r="A137" s="7" t="s">
        <v>49</v>
      </c>
      <c r="B137" s="20">
        <f>SUM(ENERO!B137+FEBRERO!B137+MARZO!B137+ABRIL!B137+MAYO!B137+JUN!B137+JUL!B137+AGO!B137+SET!B137+OCT!B137+NOV!B137+DIC!B137)</f>
        <v>778</v>
      </c>
      <c r="C137" s="20">
        <f>SUM(ENERO!C137+FEBRERO!C137+MARZO!C137+ABRIL!C137+MAYO!C137+JUN!C137+JUL!C137+AGO!C137+SET!C137+OCT!C137+NOV!C137+DIC!C137)</f>
        <v>101</v>
      </c>
      <c r="D137" s="20">
        <f>SUM(ENERO!D137+FEBRERO!D137+MARZO!D137+ABRIL!D137+MAYO!D137+JUN!D137+JUL!D137+AGO!D137+SET!D137+OCT!D137+NOV!D137+DIC!D137)</f>
        <v>2053</v>
      </c>
      <c r="E137" s="20">
        <f>SUM(ENERO!E137+FEBRERO!E137+MARZO!E137+ABRIL!E137+MAYO!E137+JUN!E137+JUL!E137+AGO!E137+SET!E137+OCT!E137+NOV!E137+DIC!E137)</f>
        <v>93</v>
      </c>
      <c r="F137" s="20">
        <f>SUM(ENERO!F137+FEBRERO!F137+MARZO!F137+ABRIL!F137+MAYO!F137+JUN!F137+JUL!F137+AGO!F137+SET!F137+OCT!F137+NOV!F137+DIC!F137)</f>
        <v>63</v>
      </c>
      <c r="G137" s="20">
        <f>SUM(ENERO!G137+FEBRERO!G137+MARZO!G137+ABRIL!G137+MAYO!G137+JUN!G137+JUL!G137+AGO!G137+SET!G137+OCT!G137+NOV!G137+DIC!G137)</f>
        <v>0</v>
      </c>
      <c r="H137" s="27">
        <f t="shared" si="14"/>
        <v>3088</v>
      </c>
      <c r="I137" s="1"/>
      <c r="R137" s="4"/>
      <c r="S137" s="1"/>
    </row>
    <row r="138" spans="1:19" x14ac:dyDescent="0.25">
      <c r="A138" s="7" t="s">
        <v>189</v>
      </c>
      <c r="B138" s="20">
        <f>SUM(ENERO!B138+FEBRERO!B138+MARZO!B138+ABRIL!B138+MAYO!B138+JUN!B138+JUL!B138+AGO!B138+SET!B138+OCT!B138+NOV!B138+DIC!B138)</f>
        <v>167</v>
      </c>
      <c r="C138" s="20">
        <f>SUM(ENERO!C138+FEBRERO!C138+MARZO!C138+ABRIL!C138+MAYO!C138+JUN!C138+JUL!C138+AGO!C138+SET!C138+OCT!C138+NOV!C138+DIC!C138)</f>
        <v>6</v>
      </c>
      <c r="D138" s="20">
        <f>SUM(ENERO!D138+FEBRERO!D138+MARZO!D138+ABRIL!D138+MAYO!D138+JUN!D138+JUL!D138+AGO!D138+SET!D138+OCT!D138+NOV!D138+DIC!D138)</f>
        <v>233</v>
      </c>
      <c r="E138" s="20">
        <f>SUM(ENERO!E138+FEBRERO!E138+MARZO!E138+ABRIL!E138+MAYO!E138+JUN!E138+JUL!E138+AGO!E138+SET!E138+OCT!E138+NOV!E138+DIC!E138)</f>
        <v>2</v>
      </c>
      <c r="F138" s="20">
        <f>SUM(ENERO!F138+FEBRERO!F138+MARZO!F138+ABRIL!F138+MAYO!F138+JUN!F138+JUL!F138+AGO!F138+SET!F138+OCT!F138+NOV!F138+DIC!F138)</f>
        <v>3</v>
      </c>
      <c r="G138" s="20">
        <f>SUM(ENERO!G138+FEBRERO!G138+MARZO!G138+ABRIL!G138+MAYO!G138+JUN!G138+JUL!G138+AGO!G138+SET!G138+OCT!G138+NOV!G138+DIC!G138)</f>
        <v>0</v>
      </c>
      <c r="H138" s="27">
        <f t="shared" si="14"/>
        <v>411</v>
      </c>
      <c r="I138" s="1"/>
      <c r="R138" s="4"/>
      <c r="S138" s="1"/>
    </row>
    <row r="139" spans="1:19" x14ac:dyDescent="0.25">
      <c r="A139" s="7" t="s">
        <v>50</v>
      </c>
      <c r="B139" s="20">
        <f>SUM(ENERO!B139+FEBRERO!B139+MARZO!B139+ABRIL!B139+MAYO!B139+JUN!B139+JUL!B139+AGO!B139+SET!B139+OCT!B139+NOV!B139+DIC!B139)</f>
        <v>207</v>
      </c>
      <c r="C139" s="20">
        <f>SUM(ENERO!C139+FEBRERO!C139+MARZO!C139+ABRIL!C139+MAYO!C139+JUN!C139+JUL!C139+AGO!C139+SET!C139+OCT!C139+NOV!C139+DIC!C139)</f>
        <v>629</v>
      </c>
      <c r="D139" s="20">
        <f>SUM(ENERO!D139+FEBRERO!D139+MARZO!D139+ABRIL!D139+MAYO!D139+JUN!D139+JUL!D139+AGO!D139+SET!D139+OCT!D139+NOV!D139+DIC!D139)</f>
        <v>28</v>
      </c>
      <c r="E139" s="20">
        <f>SUM(ENERO!E139+FEBRERO!E139+MARZO!E139+ABRIL!E139+MAYO!E139+JUN!E139+JUL!E139+AGO!E139+SET!E139+OCT!E139+NOV!E139+DIC!E139)</f>
        <v>1</v>
      </c>
      <c r="F139" s="20">
        <f>SUM(ENERO!F139+FEBRERO!F139+MARZO!F139+ABRIL!F139+MAYO!F139+JUN!F139+JUL!F139+AGO!F139+SET!F139+OCT!F139+NOV!F139+DIC!F139)</f>
        <v>1</v>
      </c>
      <c r="G139" s="20">
        <f>SUM(ENERO!G139+FEBRERO!G139+MARZO!G139+ABRIL!G139+MAYO!G139+JUN!G139+JUL!G139+AGO!G139+SET!G139+OCT!G139+NOV!G139+DIC!G139)</f>
        <v>0</v>
      </c>
      <c r="H139" s="14">
        <f t="shared" si="14"/>
        <v>866</v>
      </c>
      <c r="I139" s="1"/>
      <c r="R139" s="4"/>
      <c r="S139" s="1"/>
    </row>
    <row r="140" spans="1:19" x14ac:dyDescent="0.25">
      <c r="A140" s="7" t="s">
        <v>104</v>
      </c>
      <c r="B140" s="20">
        <f>SUM(ENERO!B140+FEBRERO!B140+MARZO!B140+ABRIL!B140+MAYO!B140+JUN!B140+JUL!B140+AGO!B140+SET!B140+OCT!B140+NOV!B140+DIC!B140)</f>
        <v>126</v>
      </c>
      <c r="C140" s="20">
        <f>SUM(ENERO!C140+FEBRERO!C140+MARZO!C140+ABRIL!C140+MAYO!C140+JUN!C140+JUL!C140+AGO!C140+SET!C140+OCT!C140+NOV!C140+DIC!C140)</f>
        <v>10</v>
      </c>
      <c r="D140" s="20">
        <f>SUM(ENERO!D140+FEBRERO!D140+MARZO!D140+ABRIL!D140+MAYO!D140+JUN!D140+JUL!D140+AGO!D140+SET!D140+OCT!D140+NOV!D140+DIC!D140)</f>
        <v>50</v>
      </c>
      <c r="E140" s="20">
        <f>SUM(ENERO!E140+FEBRERO!E140+MARZO!E140+ABRIL!E140+MAYO!E140+JUN!E140+JUL!E140+AGO!E140+SET!E140+OCT!E140+NOV!E140+DIC!E140)</f>
        <v>2</v>
      </c>
      <c r="F140" s="20">
        <f>SUM(ENERO!F140+FEBRERO!F140+MARZO!F140+ABRIL!F140+MAYO!F140+JUN!F140+JUL!F140+AGO!F140+SET!F140+OCT!F140+NOV!F140+DIC!F140)</f>
        <v>0</v>
      </c>
      <c r="G140" s="20">
        <f>SUM(ENERO!G140+FEBRERO!G140+MARZO!G140+ABRIL!G140+MAYO!G140+JUN!G140+JUL!G140+AGO!G140+SET!G140+OCT!G140+NOV!G140+DIC!G140)</f>
        <v>0</v>
      </c>
      <c r="H140" s="14">
        <f t="shared" si="14"/>
        <v>188</v>
      </c>
      <c r="I140" s="1"/>
      <c r="R140" s="4"/>
      <c r="S140" s="1"/>
    </row>
    <row r="141" spans="1:19" x14ac:dyDescent="0.25">
      <c r="A141" s="7" t="s">
        <v>51</v>
      </c>
      <c r="B141" s="20">
        <f>SUM(ENERO!B141+FEBRERO!B141+MARZO!B141+ABRIL!B141+MAYO!B141+JUN!B141+JUL!B141+AGO!B141+SET!B141+OCT!B141+NOV!B141+DIC!B141)</f>
        <v>112</v>
      </c>
      <c r="C141" s="20">
        <f>SUM(ENERO!C141+FEBRERO!C141+MARZO!C141+ABRIL!C141+MAYO!C141+JUN!C141+JUL!C141+AGO!C141+SET!C141+OCT!C141+NOV!C141+DIC!C141)</f>
        <v>6</v>
      </c>
      <c r="D141" s="20">
        <f>SUM(ENERO!D141+FEBRERO!D141+MARZO!D141+ABRIL!D141+MAYO!D141+JUN!D141+JUL!D141+AGO!D141+SET!D141+OCT!D141+NOV!D141+DIC!D141)</f>
        <v>61</v>
      </c>
      <c r="E141" s="20">
        <f>SUM(ENERO!E141+FEBRERO!E141+MARZO!E141+ABRIL!E141+MAYO!E141+JUN!E141+JUL!E141+AGO!E141+SET!E141+OCT!E141+NOV!E141+DIC!E141)</f>
        <v>5</v>
      </c>
      <c r="F141" s="20">
        <f>SUM(ENERO!F141+FEBRERO!F141+MARZO!F141+ABRIL!F141+MAYO!F141+JUN!F141+JUL!F141+AGO!F141+SET!F141+OCT!F141+NOV!F141+DIC!F141)</f>
        <v>0</v>
      </c>
      <c r="G141" s="20">
        <f>SUM(ENERO!G141+FEBRERO!G141+MARZO!G141+ABRIL!G141+MAYO!G141+JUN!G141+JUL!G141+AGO!G141+SET!G141+OCT!G141+NOV!G141+DIC!G141)</f>
        <v>0</v>
      </c>
      <c r="H141" s="14">
        <f t="shared" si="14"/>
        <v>184</v>
      </c>
      <c r="I141" s="1"/>
      <c r="R141" s="6"/>
      <c r="S141" s="1"/>
    </row>
    <row r="142" spans="1:19" x14ac:dyDescent="0.25">
      <c r="A142" s="7" t="s">
        <v>52</v>
      </c>
      <c r="B142" s="20">
        <f>SUM(ENERO!B142+FEBRERO!B142+MARZO!B142+ABRIL!B142+MAYO!B142+JUN!B142+JUL!B142+AGO!B142+SET!B142+OCT!B142+NOV!B142+DIC!B142)</f>
        <v>167</v>
      </c>
      <c r="C142" s="20">
        <f>SUM(ENERO!C142+FEBRERO!C142+MARZO!C142+ABRIL!C142+MAYO!C142+JUN!C142+JUL!C142+AGO!C142+SET!C142+OCT!C142+NOV!C142+DIC!C142)</f>
        <v>18</v>
      </c>
      <c r="D142" s="20">
        <f>SUM(ENERO!D142+FEBRERO!D142+MARZO!D142+ABRIL!D142+MAYO!D142+JUN!D142+JUL!D142+AGO!D142+SET!D142+OCT!D142+NOV!D142+DIC!D142)</f>
        <v>76</v>
      </c>
      <c r="E142" s="20">
        <f>SUM(ENERO!E142+FEBRERO!E142+MARZO!E142+ABRIL!E142+MAYO!E142+JUN!E142+JUL!E142+AGO!E142+SET!E142+OCT!E142+NOV!E142+DIC!E142)</f>
        <v>8</v>
      </c>
      <c r="F142" s="20">
        <f>SUM(ENERO!F142+FEBRERO!F142+MARZO!F142+ABRIL!F142+MAYO!F142+JUN!F142+JUL!F142+AGO!F142+SET!F142+OCT!F142+NOV!F142+DIC!F142)</f>
        <v>2</v>
      </c>
      <c r="G142" s="20">
        <f>SUM(ENERO!G142+FEBRERO!G142+MARZO!G142+ABRIL!G142+MAYO!G142+JUN!G142+JUL!G142+AGO!G142+SET!G142+OCT!G142+NOV!G142+DIC!G142)</f>
        <v>0</v>
      </c>
      <c r="H142" s="14">
        <f t="shared" si="14"/>
        <v>271</v>
      </c>
    </row>
    <row r="143" spans="1:19" x14ac:dyDescent="0.25">
      <c r="A143" s="7" t="s">
        <v>115</v>
      </c>
      <c r="B143" s="20">
        <f>SUM(ENERO!B143+FEBRERO!B143+MARZO!B143+ABRIL!B143+MAYO!B143+JUN!B143+JUL!B143+AGO!B143+SET!B143+OCT!B143+NOV!B143+DIC!B143)</f>
        <v>59</v>
      </c>
      <c r="C143" s="20">
        <f>SUM(ENERO!C143+FEBRERO!C143+MARZO!C143+ABRIL!C143+MAYO!C143+JUN!C143+JUL!C143+AGO!C143+SET!C143+OCT!C143+NOV!C143+DIC!C143)</f>
        <v>11</v>
      </c>
      <c r="D143" s="20">
        <f>SUM(ENERO!D143+FEBRERO!D143+MARZO!D143+ABRIL!D143+MAYO!D143+JUN!D143+JUL!D143+AGO!D143+SET!D143+OCT!D143+NOV!D143+DIC!D143)</f>
        <v>33</v>
      </c>
      <c r="E143" s="20">
        <f>SUM(ENERO!E143+FEBRERO!E143+MARZO!E143+ABRIL!E143+MAYO!E143+JUN!E143+JUL!E143+AGO!E143+SET!E143+OCT!E143+NOV!E143+DIC!E143)</f>
        <v>0</v>
      </c>
      <c r="F143" s="20">
        <f>SUM(ENERO!F143+FEBRERO!F143+MARZO!F143+ABRIL!F143+MAYO!F143+JUN!F143+JUL!F143+AGO!F143+SET!F143+OCT!F143+NOV!F143+DIC!F143)</f>
        <v>0</v>
      </c>
      <c r="G143" s="20">
        <f>SUM(ENERO!G143+FEBRERO!G143+MARZO!G143+ABRIL!G143+MAYO!G143+JUN!G143+JUL!G143+AGO!G143+SET!G143+OCT!G143+NOV!G143+DIC!G143)</f>
        <v>0</v>
      </c>
      <c r="H143" s="14">
        <f t="shared" si="14"/>
        <v>103</v>
      </c>
    </row>
    <row r="144" spans="1:19" x14ac:dyDescent="0.25">
      <c r="A144" s="7" t="s">
        <v>116</v>
      </c>
      <c r="B144" s="20">
        <f>SUM(ENERO!B144+FEBRERO!B144+MARZO!B144+ABRIL!B144+MAYO!B144+JUN!B144+JUL!B144+AGO!B144+SET!B144+OCT!B144+NOV!B144+DIC!B144)</f>
        <v>103</v>
      </c>
      <c r="C144" s="20">
        <f>SUM(ENERO!C144+FEBRERO!C144+MARZO!C144+ABRIL!C144+MAYO!C144+JUN!C144+JUL!C144+AGO!C144+SET!C144+OCT!C144+NOV!C144+DIC!C144)</f>
        <v>15</v>
      </c>
      <c r="D144" s="20">
        <f>SUM(ENERO!D144+FEBRERO!D144+MARZO!D144+ABRIL!D144+MAYO!D144+JUN!D144+JUL!D144+AGO!D144+SET!D144+OCT!D144+NOV!D144+DIC!D144)</f>
        <v>66</v>
      </c>
      <c r="E144" s="20">
        <f>SUM(ENERO!E144+FEBRERO!E144+MARZO!E144+ABRIL!E144+MAYO!E144+JUN!E144+JUL!E144+AGO!E144+SET!E144+OCT!E144+NOV!E144+DIC!E144)</f>
        <v>1</v>
      </c>
      <c r="F144" s="20">
        <f>SUM(ENERO!F144+FEBRERO!F144+MARZO!F144+ABRIL!F144+MAYO!F144+JUN!F144+JUL!F144+AGO!F144+SET!F144+OCT!F144+NOV!F144+DIC!F144)</f>
        <v>0</v>
      </c>
      <c r="G144" s="20">
        <f>SUM(ENERO!G144+FEBRERO!G144+MARZO!G144+ABRIL!G144+MAYO!G144+JUN!G144+JUL!G144+AGO!G144+SET!G144+OCT!G144+NOV!G144+DIC!G144)</f>
        <v>0</v>
      </c>
      <c r="H144" s="14">
        <f t="shared" si="14"/>
        <v>185</v>
      </c>
    </row>
    <row r="145" spans="1:13" x14ac:dyDescent="0.25">
      <c r="A145" s="7" t="s">
        <v>102</v>
      </c>
      <c r="B145" s="20">
        <f>SUM(ENERO!B145+FEBRERO!B145+MARZO!B145+ABRIL!B145+MAYO!B145+JUN!B145+JUL!B145+AGO!B145+SET!B145+OCT!B145+NOV!B145+DIC!B145)</f>
        <v>268</v>
      </c>
      <c r="C145" s="20">
        <f>SUM(ENERO!C145+FEBRERO!C145+MARZO!C145+ABRIL!C145+MAYO!C145+JUN!C145+JUL!C145+AGO!C145+SET!C145+OCT!C145+NOV!C145+DIC!C145)</f>
        <v>37</v>
      </c>
      <c r="D145" s="20">
        <f>SUM(ENERO!D145+FEBRERO!D145+MARZO!D145+ABRIL!D145+MAYO!D145+JUN!D145+JUL!D145+AGO!D145+SET!D145+OCT!D145+NOV!D145+DIC!D145)</f>
        <v>288</v>
      </c>
      <c r="E145" s="20">
        <f>SUM(ENERO!E145+FEBRERO!E145+MARZO!E145+ABRIL!E145+MAYO!E145+JUN!E145+JUL!E145+AGO!E145+SET!E145+OCT!E145+NOV!E145+DIC!E145)</f>
        <v>8</v>
      </c>
      <c r="F145" s="20">
        <f>SUM(ENERO!F145+FEBRERO!F145+MARZO!F145+ABRIL!F145+MAYO!F145+JUN!F145+JUL!F145+AGO!F145+SET!F145+OCT!F145+NOV!F145+DIC!F145)</f>
        <v>3</v>
      </c>
      <c r="G145" s="20">
        <f>SUM(ENERO!G145+FEBRERO!G145+MARZO!G145+ABRIL!G145+MAYO!G145+JUN!G145+JUL!G145+AGO!G145+SET!G145+OCT!G145+NOV!G145+DIC!G145)</f>
        <v>0</v>
      </c>
      <c r="H145" s="14">
        <f t="shared" si="14"/>
        <v>604</v>
      </c>
    </row>
    <row r="146" spans="1:13" x14ac:dyDescent="0.25">
      <c r="A146" s="7" t="s">
        <v>203</v>
      </c>
      <c r="B146" s="20">
        <f>SUM(ENERO!B146+FEBRERO!B146+MARZO!B146+ABRIL!B146+MAYO!B146+JUN!B146+JUL!B146+AGO!B146+SET!B146+OCT!B146+NOV!B146+DIC!B146)</f>
        <v>68</v>
      </c>
      <c r="C146" s="20">
        <f>SUM(ENERO!C146+FEBRERO!C146+MARZO!C146+ABRIL!C146+MAYO!C146+JUN!C146+JUL!C146+AGO!C146+SET!C146+OCT!C146+NOV!C146+DIC!C146)</f>
        <v>6</v>
      </c>
      <c r="D146" s="20">
        <f>SUM(ENERO!D146+FEBRERO!D146+MARZO!D146+ABRIL!D146+MAYO!D146+JUN!D146+JUL!D146+AGO!D146+SET!D146+OCT!D146+NOV!D146+DIC!D146)</f>
        <v>176</v>
      </c>
      <c r="E146" s="20">
        <f>SUM(ENERO!E146+FEBRERO!E146+MARZO!E146+ABRIL!E146+MAYO!E146+JUN!E146+JUL!E146+AGO!E146+SET!E146+OCT!E146+NOV!E146+DIC!E146)</f>
        <v>4</v>
      </c>
      <c r="F146" s="20">
        <f>SUM(ENERO!F146+FEBRERO!F146+MARZO!F146+ABRIL!F146+MAYO!F146+JUN!F146+JUL!F146+AGO!F146+SET!F146+OCT!F146+NOV!F146+DIC!F146)</f>
        <v>2</v>
      </c>
      <c r="G146" s="20">
        <f>SUM(ENERO!G146+FEBRERO!G146+MARZO!G146+ABRIL!G146+MAYO!G146+JUN!G146+JUL!G146+AGO!G146+SET!G146+OCT!G146+NOV!G146+DIC!G146)</f>
        <v>0</v>
      </c>
      <c r="H146" s="14">
        <f t="shared" si="14"/>
        <v>256</v>
      </c>
    </row>
    <row r="147" spans="1:13" x14ac:dyDescent="0.25">
      <c r="A147" s="7" t="s">
        <v>197</v>
      </c>
      <c r="B147" s="20">
        <f>SUM(ENERO!B147+FEBRERO!B147+MARZO!B147+ABRIL!B147+MAYO!B147+JUN!B148+JUL!B147+AGO!B147+SET!B147+OCT!B147+NOV!B147+DIC!B147)</f>
        <v>39</v>
      </c>
      <c r="C147" s="20">
        <f>SUM(ENERO!C147+FEBRERO!C147+MARZO!C147+ABRIL!C147+MAYO!C147+JUN!C148+JUL!C147+AGO!C147+SET!C147+OCT!C147+NOV!C147+DIC!C147)</f>
        <v>0</v>
      </c>
      <c r="D147" s="20">
        <f>SUM(ENERO!D147+FEBRERO!D147+MARZO!D147+ABRIL!D147+MAYO!D147+JUN!D148+JUL!D147+AGO!D147+SET!D147+OCT!D147+NOV!D147+DIC!D147)</f>
        <v>32</v>
      </c>
      <c r="E147" s="20">
        <f>SUM(ENERO!E147+FEBRERO!E147+MARZO!E147+ABRIL!E147+MAYO!E147+JUN!E148+JUL!E147+AGO!E147+SET!E147+OCT!E147+NOV!E147+DIC!E147)</f>
        <v>0</v>
      </c>
      <c r="F147" s="20">
        <f>SUM(ENERO!F147+FEBRERO!F147+MARZO!F147+ABRIL!F147+MAYO!F147+JUN!F148+JUL!F147+AGO!F147+SET!F147+OCT!F147+NOV!F147+DIC!F147)</f>
        <v>0</v>
      </c>
      <c r="G147" s="20">
        <f>SUM(ENERO!G147+FEBRERO!G147+MARZO!G147+ABRIL!G147+MAYO!G147+JUN!G148+JUL!G147+AGO!G147+SET!G147+OCT!G147+NOV!G147+DIC!G147)</f>
        <v>0</v>
      </c>
      <c r="H147" s="14">
        <f t="shared" ref="H147:H149" si="15">SUM(B147:G147)</f>
        <v>71</v>
      </c>
    </row>
    <row r="148" spans="1:13" x14ac:dyDescent="0.25">
      <c r="A148" s="7" t="s">
        <v>217</v>
      </c>
      <c r="B148" s="20">
        <f>SUM(ENERO!B148+FEBRERO!B148+MARZO!B148+ABRIL!B148+MAYO!B148+JUN!B149+JUL!B148+AGO!B148+SET!B148+OCT!B148+NOV!B148+DIC!B148)</f>
        <v>7</v>
      </c>
      <c r="C148" s="20">
        <f>SUM(ENERO!C148+FEBRERO!C148+MARZO!C148+ABRIL!C148+MAYO!C148+JUN!C149+JUL!C148+AGO!C148+SET!C148+OCT!C148+NOV!C148+DIC!C148)</f>
        <v>0</v>
      </c>
      <c r="D148" s="20">
        <f>SUM(ENERO!D148+FEBRERO!D148+MARZO!D148+ABRIL!D148+MAYO!D148+JUN!D149+JUL!D148+AGO!D148+SET!D148+OCT!D148+NOV!D148+DIC!D148)</f>
        <v>22</v>
      </c>
      <c r="E148" s="20">
        <f>SUM(ENERO!E148+FEBRERO!E148+MARZO!E148+ABRIL!E148+MAYO!E148+JUN!E149+JUL!E148+AGO!E148+SET!E148+OCT!E148+NOV!E148+DIC!E148)</f>
        <v>0</v>
      </c>
      <c r="F148" s="20">
        <f>SUM(ENERO!F148+FEBRERO!F148+MARZO!F148+ABRIL!F148+MAYO!F148+JUN!F149+JUL!F148+AGO!F148+SET!F148+OCT!F148+NOV!F148+DIC!F148)</f>
        <v>0</v>
      </c>
      <c r="G148" s="20">
        <f>SUM(ENERO!G148+FEBRERO!G148+MARZO!G148+ABRIL!G148+MAYO!G148+JUN!G149+JUL!G148+AGO!G148+SET!G148+OCT!G148+NOV!G148+DIC!G148)</f>
        <v>0</v>
      </c>
      <c r="H148" s="14">
        <f t="shared" si="15"/>
        <v>29</v>
      </c>
    </row>
    <row r="149" spans="1:13" x14ac:dyDescent="0.25">
      <c r="A149" s="7" t="s">
        <v>198</v>
      </c>
      <c r="B149" s="20">
        <f>SUM(ENERO!B149+FEBRERO!B149+MARZO!B149+ABRIL!B149+MAYO!B149+JUN!B149+JUL!B149+AGO!B149+SET!B149+OCT!B149+NOV!B149+DIC!B149)</f>
        <v>11</v>
      </c>
      <c r="C149" s="20">
        <f>SUM(ENERO!C149+FEBRERO!C149+MARZO!C149+ABRIL!C149+MAYO!C149+JUN!C149+JUL!C149+AGO!C149+SET!C149+OCT!C149+NOV!C149+DIC!C149)</f>
        <v>1</v>
      </c>
      <c r="D149" s="20">
        <f>SUM(ENERO!D149+FEBRERO!D149+MARZO!D149+ABRIL!D149+MAYO!D149+JUN!D149+JUL!D149+AGO!D149+SET!D149+OCT!D149+NOV!D149+DIC!D149)</f>
        <v>31</v>
      </c>
      <c r="E149" s="20">
        <f>SUM(ENERO!E149+FEBRERO!E149+MARZO!E149+ABRIL!E149+MAYO!E149+JUN!E149+JUL!E149+AGO!E149+SET!E149+OCT!E149+NOV!E149+DIC!E149)</f>
        <v>1</v>
      </c>
      <c r="F149" s="20">
        <f>SUM(ENERO!F149+FEBRERO!F149+MARZO!F149+ABRIL!F149+MAYO!F149+JUN!F149+JUL!F149+AGO!F149+SET!F149+OCT!F149+NOV!F149+DIC!F149)</f>
        <v>1</v>
      </c>
      <c r="G149" s="20">
        <f>SUM(ENERO!G149+FEBRERO!G149+MARZO!G149+ABRIL!G149+MAYO!G149+JUN!G149+JUL!G149+AGO!G149+SET!G149+OCT!G149+NOV!G149+DIC!G149)</f>
        <v>0</v>
      </c>
      <c r="H149" s="14">
        <f t="shared" si="15"/>
        <v>45</v>
      </c>
    </row>
    <row r="150" spans="1:13" x14ac:dyDescent="0.25">
      <c r="A150" s="7" t="s">
        <v>199</v>
      </c>
      <c r="B150" s="20">
        <f>SUM(ENERO!B150+FEBRERO!B150+MARZO!B150+ABRIL!B150+MAYO!B150+JUN!B150+JUL!B150+AGO!B150+SET!B150+OCT!B150+NOV!B150+DIC!B150)</f>
        <v>13</v>
      </c>
      <c r="C150" s="20">
        <f>SUM(ENERO!C150+FEBRERO!C150+MARZO!C150+ABRIL!C150+MAYO!C150+JUN!C150+JUL!C150+AGO!C150+SET!C150+OCT!C150+NOV!C150+DIC!C150)</f>
        <v>1</v>
      </c>
      <c r="D150" s="20">
        <f>SUM(ENERO!D150+FEBRERO!D150+MARZO!D150+ABRIL!D150+MAYO!D150+JUN!D150+JUL!D150+AGO!D150+SET!D150+OCT!D150+NOV!D150+DIC!D150)</f>
        <v>43</v>
      </c>
      <c r="E150" s="20">
        <f>SUM(ENERO!E150+FEBRERO!E150+MARZO!E150+ABRIL!E150+MAYO!E150+JUN!E150+JUL!E150+AGO!E150+SET!E150+OCT!E150+NOV!E150+DIC!E150)</f>
        <v>2</v>
      </c>
      <c r="F150" s="20">
        <f>SUM(ENERO!F150+FEBRERO!F150+MARZO!F150+ABRIL!F150+MAYO!F150+JUN!F150+JUL!F150+AGO!F150+SET!F150+OCT!F150+NOV!F150+DIC!F150)</f>
        <v>0</v>
      </c>
      <c r="G150" s="20">
        <f>SUM(ENERO!G150+FEBRERO!G150+MARZO!G150+ABRIL!G150+MAYO!G150+JUN!G150+JUL!G150+AGO!G150+SET!G150+OCT!G150+NOV!G150+DIC!G150)</f>
        <v>0</v>
      </c>
      <c r="H150" s="14">
        <f>SUM(B150:G150)</f>
        <v>59</v>
      </c>
    </row>
    <row r="151" spans="1:13" x14ac:dyDescent="0.25">
      <c r="A151" s="7" t="s">
        <v>200</v>
      </c>
      <c r="B151" s="20">
        <f>SUM(ENERO!B151+FEBRERO!B151+MARZO!B151+ABRIL!B151+MAYO!B151+JUN!B151+JUL!B151+AGO!B151+SET!B151+OCT!B151+NOV!B151+DIC!B151)</f>
        <v>42</v>
      </c>
      <c r="C151" s="20">
        <f>SUM(ENERO!C151+FEBRERO!C151+MARZO!C151+ABRIL!C151+MAYO!C151+JUN!C151+JUL!C151+AGO!C151+SET!C151+OCT!C151+NOV!C151+DIC!C151)</f>
        <v>4</v>
      </c>
      <c r="D151" s="20">
        <f>SUM(ENERO!D151+FEBRERO!D151+MARZO!D151+ABRIL!D151+MAYO!D151+JUN!D151+JUL!D151+AGO!D151+SET!D151+OCT!D151+NOV!D151+DIC!D151)</f>
        <v>195</v>
      </c>
      <c r="E151" s="20">
        <f>SUM(ENERO!E151+FEBRERO!E151+MARZO!E151+ABRIL!E151+MAYO!E151+JUN!E151+JUL!E151+AGO!E151+SET!E151+OCT!E151+NOV!E151+DIC!E151)</f>
        <v>2</v>
      </c>
      <c r="F151" s="20">
        <f>SUM(ENERO!F151+FEBRERO!F151+MARZO!F151+ABRIL!F151+MAYO!F151+JUN!F151+JUL!F151+AGO!F151+SET!F151+OCT!F151+NOV!F151+DIC!F151)</f>
        <v>7</v>
      </c>
      <c r="G151" s="20">
        <f>SUM(ENERO!G151+FEBRERO!G151+MARZO!G151+ABRIL!G151+MAYO!G151+JUN!G151+JUL!G151+AGO!G151+SET!G151+OCT!G151+NOV!G151+DIC!G151)</f>
        <v>0</v>
      </c>
      <c r="H151" s="14">
        <f>SUM(B151:G151)</f>
        <v>250</v>
      </c>
    </row>
    <row r="152" spans="1:13" x14ac:dyDescent="0.25">
      <c r="A152" s="7" t="s">
        <v>223</v>
      </c>
      <c r="B152" s="20">
        <f>SUM(ENERO!B152+FEBRERO!B152+MARZO!B152+ABRIL!B152+MAYO!B152+JUN!B152+JUL!B152+AGO!B152+SET!B152+OCT!B152+NOV!B152+DIC!B152)</f>
        <v>4</v>
      </c>
      <c r="C152" s="20">
        <f>SUM(ENERO!C152+FEBRERO!C152+MARZO!C152+ABRIL!C152+MAYO!C152+JUN!C152+JUL!C152+AGO!C152+SET!C152+OCT!C152+NOV!C152+DIC!C152)</f>
        <v>0</v>
      </c>
      <c r="D152" s="20">
        <f>SUM(ENERO!D152+FEBRERO!D152+MARZO!D152+ABRIL!D152+MAYO!D152+JUN!D152+JUL!D152+AGO!D152+SET!D152+OCT!D152+NOV!D152+DIC!D152)</f>
        <v>0</v>
      </c>
      <c r="E152" s="20">
        <f>SUM(ENERO!E152+FEBRERO!E152+MARZO!E152+ABRIL!E152+MAYO!E152+JUN!E152+JUL!E152+AGO!E152+SET!E152+OCT!E152+NOV!E152+DIC!E152)</f>
        <v>0</v>
      </c>
      <c r="F152" s="20">
        <f>SUM(ENERO!F152+FEBRERO!F152+MARZO!F152+ABRIL!F152+MAYO!F152+JUN!F152+JUL!F152+AGO!F152+SET!F152+OCT!F152+NOV!F152+DIC!F152)</f>
        <v>0</v>
      </c>
      <c r="G152" s="20">
        <f>SUM(ENERO!G152+FEBRERO!G152+MARZO!G152+ABRIL!G152+MAYO!G152+JUN!G152+JUL!G152+AGO!G152+SET!G152+OCT!G152+NOV!G152+DIC!G152)</f>
        <v>0</v>
      </c>
      <c r="H152" s="14">
        <f>SUM(B152:G152)</f>
        <v>4</v>
      </c>
    </row>
    <row r="153" spans="1:13" x14ac:dyDescent="0.25">
      <c r="A153" s="7" t="s">
        <v>105</v>
      </c>
      <c r="B153" s="20">
        <f>SUM(ENERO!B153+FEBRERO!B153+MARZO!B153+ABRIL!B153+MAYO!B153+JUN!B153+JUL!B153+AGO!B153+SET!B153+OCT!B153+NOV!B153+DIC!B153)</f>
        <v>246</v>
      </c>
      <c r="C153" s="20">
        <f>SUM(ENERO!C153+FEBRERO!C153+MARZO!C153+ABRIL!C153+MAYO!C153+JUN!C153+JUL!C153+AGO!C153+SET!C153+OCT!C153+NOV!C153+DIC!C153)</f>
        <v>31</v>
      </c>
      <c r="D153" s="20">
        <f>SUM(ENERO!D153+FEBRERO!D153+MARZO!D153+ABRIL!D153+MAYO!D153+JUN!D153+JUL!D153+AGO!D153+SET!D153+OCT!D153+NOV!D153+DIC!D153)</f>
        <v>316</v>
      </c>
      <c r="E153" s="20">
        <f>SUM(ENERO!E153+FEBRERO!E153+MARZO!E153+ABRIL!E153+MAYO!E153+JUN!E153+JUL!E153+AGO!E153+SET!E153+OCT!E153+NOV!E153+DIC!E153)</f>
        <v>5</v>
      </c>
      <c r="F153" s="20">
        <f>SUM(ENERO!F153+FEBRERO!F153+MARZO!F153+ABRIL!F153+MAYO!F153+JUN!F153+JUL!F153+AGO!F153+SET!F153+OCT!F153+NOV!F153+DIC!F153)</f>
        <v>7</v>
      </c>
      <c r="G153" s="20">
        <f>SUM(ENERO!G153+FEBRERO!G153+MARZO!G153+ABRIL!G153+MAYO!G153+JUN!G153+JUL!G153+AGO!G153+SET!G153+OCT!G153+NOV!G153+DIC!G153)</f>
        <v>0</v>
      </c>
      <c r="H153" s="27">
        <f>SUM(B153:G153)</f>
        <v>605</v>
      </c>
    </row>
    <row r="154" spans="1:13" x14ac:dyDescent="0.25">
      <c r="A154" s="7" t="s">
        <v>206</v>
      </c>
      <c r="B154" s="20">
        <f>SUM(ENERO!B154+FEBRERO!B154+MARZO!B154+ABRIL!B155+MAYO!B154+JUN!B154+JUL!B156+AGO!B155+SET!B154+OCT!B154+NOV!B154+DIC!B154)</f>
        <v>24</v>
      </c>
      <c r="C154" s="20">
        <f>SUM(ENERO!C154+FEBRERO!C154+MARZO!C154+ABRIL!C155+MAYO!C154+JUN!C154+JUL!C156+AGO!C155+SET!C154+OCT!C154+NOV!C154+DIC!C154)</f>
        <v>1</v>
      </c>
      <c r="D154" s="20">
        <f>SUM(ENERO!D154+FEBRERO!D154+MARZO!D154+ABRIL!D155+MAYO!D154+JUN!D154+JUL!D156+AGO!D155+SET!D154+OCT!D154+NOV!D154+DIC!D154)</f>
        <v>22</v>
      </c>
      <c r="E154" s="20">
        <f>SUM(ENERO!E154+FEBRERO!E154+MARZO!E154+ABRIL!E155+MAYO!E154+JUN!E154+JUL!E156+AGO!E155+SET!E154+OCT!E154+NOV!E154+DIC!E154)</f>
        <v>0</v>
      </c>
      <c r="F154" s="20">
        <f>SUM(ENERO!F154+FEBRERO!F154+MARZO!F154+ABRIL!F155+MAYO!F154+JUN!F154+JUL!F156+AGO!F155+SET!F154+OCT!F154+NOV!F154+DIC!F154)</f>
        <v>0</v>
      </c>
      <c r="G154" s="20">
        <f>SUM(ENERO!G154+FEBRERO!G154+MARZO!G154+ABRIL!G155+MAYO!G154+JUN!G154+JUL!G156+AGO!G155+SET!G154+OCT!G154+NOV!G154+DIC!G154)</f>
        <v>0</v>
      </c>
      <c r="H154" s="14">
        <f t="shared" ref="H154:H155" si="16">SUM(B154:G154)</f>
        <v>47</v>
      </c>
    </row>
    <row r="155" spans="1:13" x14ac:dyDescent="0.25">
      <c r="A155" s="107" t="s">
        <v>207</v>
      </c>
      <c r="B155" s="109">
        <f>SUM(ENERO!B155+FEBRERO!B155+MARZO!B155+ABRIL!B156+MAYO!B155+JUN!B155+JUL!B157+AGO!B156+SET!B155+OCT!B155+NOV!B155+DIC!B155)</f>
        <v>21</v>
      </c>
      <c r="C155" s="110">
        <f>SUM(ENERO!C155+FEBRERO!C155+MARZO!C155+ABRIL!C156+MAYO!C155+JUN!C155+JUL!C157+AGO!C156+SET!C155+OCT!C155+NOV!C155+DIC!C155)</f>
        <v>4</v>
      </c>
      <c r="D155" s="110">
        <f>SUM(ENERO!D155+FEBRERO!D155+MARZO!D155+ABRIL!D156+MAYO!D155+JUN!D155+JUL!D157+AGO!D156+SET!D155+OCT!D155+NOV!D155+DIC!D155)</f>
        <v>10</v>
      </c>
      <c r="E155" s="110">
        <f>SUM(ENERO!E155+FEBRERO!E155+MARZO!E155+ABRIL!E156+MAYO!E155+JUN!E155+JUL!E157+AGO!E156+SET!E155+OCT!E155+NOV!E155+DIC!E155)</f>
        <v>0</v>
      </c>
      <c r="F155" s="110">
        <f>SUM(ENERO!F155+FEBRERO!F155+MARZO!F155+ABRIL!F156+MAYO!F155+JUN!F155+JUL!F157+AGO!F156+SET!F155+OCT!F155+NOV!F155+DIC!F155)</f>
        <v>0</v>
      </c>
      <c r="G155" s="110">
        <f>SUM(ENERO!G155+FEBRERO!G155+MARZO!G155+ABRIL!G156+MAYO!G155+JUN!G155+JUL!G157+AGO!G156+SET!G155+OCT!G155+NOV!G155+DIC!G155)</f>
        <v>0</v>
      </c>
      <c r="H155" s="14">
        <f t="shared" si="16"/>
        <v>35</v>
      </c>
    </row>
    <row r="160" spans="1:13" x14ac:dyDescent="0.25">
      <c r="J160" s="133"/>
      <c r="K160" s="133"/>
      <c r="L160" s="133"/>
      <c r="M160" s="133"/>
    </row>
    <row r="161" spans="10:17" x14ac:dyDescent="0.25">
      <c r="J161" s="133"/>
    </row>
    <row r="168" spans="10:17" x14ac:dyDescent="0.25">
      <c r="P168" s="5"/>
      <c r="Q168" s="5"/>
    </row>
    <row r="170" spans="10:17" x14ac:dyDescent="0.25">
      <c r="J170" s="5"/>
      <c r="K170" s="5"/>
      <c r="L170" s="5"/>
      <c r="M170" s="5"/>
      <c r="N170" s="1"/>
      <c r="O170" s="1"/>
    </row>
  </sheetData>
  <mergeCells count="30">
    <mergeCell ref="J110:J111"/>
    <mergeCell ref="K110:K111"/>
    <mergeCell ref="A115:H115"/>
    <mergeCell ref="J160:J161"/>
    <mergeCell ref="K160:M160"/>
    <mergeCell ref="A108:H108"/>
    <mergeCell ref="J53:P53"/>
    <mergeCell ref="J54:P54"/>
    <mergeCell ref="J55:P55"/>
    <mergeCell ref="J56:P56"/>
    <mergeCell ref="J57:P57"/>
    <mergeCell ref="J58:P58"/>
    <mergeCell ref="J59:P59"/>
    <mergeCell ref="J60:P60"/>
    <mergeCell ref="J61:P61"/>
    <mergeCell ref="J62:P62"/>
    <mergeCell ref="K86:M86"/>
    <mergeCell ref="J52:Q52"/>
    <mergeCell ref="A3:R3"/>
    <mergeCell ref="B4:J4"/>
    <mergeCell ref="L4:R4"/>
    <mergeCell ref="A9:A10"/>
    <mergeCell ref="B9:H9"/>
    <mergeCell ref="J9:J10"/>
    <mergeCell ref="K9:Q9"/>
    <mergeCell ref="J26:J27"/>
    <mergeCell ref="K26:Q26"/>
    <mergeCell ref="J39:J40"/>
    <mergeCell ref="K39:Q39"/>
    <mergeCell ref="J50:M50"/>
  </mergeCells>
  <pageMargins left="1" right="1" top="1" bottom="1" header="0.5" footer="0.5"/>
  <pageSetup paperSize="9" scale="50" fitToHeight="0" orientation="landscape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9FBAE-B981-47E8-9E9A-03F9D363C7E1}">
  <dimension ref="A2:B16"/>
  <sheetViews>
    <sheetView workbookViewId="0">
      <selection activeCell="E18" sqref="E18"/>
    </sheetView>
  </sheetViews>
  <sheetFormatPr baseColWidth="10" defaultRowHeight="15" x14ac:dyDescent="0.25"/>
  <cols>
    <col min="1" max="1" width="16.7109375" customWidth="1"/>
    <col min="2" max="2" width="11.42578125" style="91"/>
    <col min="8" max="19" width="7.28515625" customWidth="1"/>
  </cols>
  <sheetData>
    <row r="2" spans="1:2" x14ac:dyDescent="0.25">
      <c r="A2" t="s">
        <v>225</v>
      </c>
    </row>
    <row r="4" spans="1:2" x14ac:dyDescent="0.25">
      <c r="A4" s="60" t="s">
        <v>224</v>
      </c>
      <c r="B4" s="30" t="s">
        <v>11</v>
      </c>
    </row>
    <row r="5" spans="1:2" x14ac:dyDescent="0.25">
      <c r="A5" s="124" t="s">
        <v>117</v>
      </c>
      <c r="B5" s="70">
        <f>ENERO!Q63</f>
        <v>50965</v>
      </c>
    </row>
    <row r="6" spans="1:2" x14ac:dyDescent="0.25">
      <c r="A6" s="124" t="s">
        <v>172</v>
      </c>
      <c r="B6" s="70">
        <f>FEBRERO!Q63</f>
        <v>48964</v>
      </c>
    </row>
    <row r="7" spans="1:2" x14ac:dyDescent="0.25">
      <c r="A7" s="124" t="s">
        <v>173</v>
      </c>
      <c r="B7" s="70">
        <f>MARZO!Q63</f>
        <v>51580</v>
      </c>
    </row>
    <row r="8" spans="1:2" x14ac:dyDescent="0.25">
      <c r="A8" s="124" t="s">
        <v>180</v>
      </c>
      <c r="B8" s="70">
        <f>ABRIL!Q63</f>
        <v>50161</v>
      </c>
    </row>
    <row r="9" spans="1:2" x14ac:dyDescent="0.25">
      <c r="A9" s="124" t="s">
        <v>185</v>
      </c>
      <c r="B9" s="70">
        <f>MAYO!Q63</f>
        <v>49459</v>
      </c>
    </row>
    <row r="10" spans="1:2" x14ac:dyDescent="0.25">
      <c r="A10" s="124" t="s">
        <v>190</v>
      </c>
      <c r="B10" s="70">
        <f>JUN!Q63</f>
        <v>49279</v>
      </c>
    </row>
    <row r="11" spans="1:2" x14ac:dyDescent="0.25">
      <c r="A11" s="124" t="s">
        <v>191</v>
      </c>
      <c r="B11" s="70">
        <f>JUL!Q63</f>
        <v>51388</v>
      </c>
    </row>
    <row r="12" spans="1:2" x14ac:dyDescent="0.25">
      <c r="A12" s="124" t="s">
        <v>193</v>
      </c>
      <c r="B12" s="70">
        <f>AGO!Q63</f>
        <v>50531</v>
      </c>
    </row>
    <row r="13" spans="1:2" x14ac:dyDescent="0.25">
      <c r="A13" s="124" t="s">
        <v>195</v>
      </c>
      <c r="B13" s="70">
        <f>SET!Q63</f>
        <v>56567</v>
      </c>
    </row>
    <row r="14" spans="1:2" x14ac:dyDescent="0.25">
      <c r="A14" s="124" t="s">
        <v>196</v>
      </c>
      <c r="B14" s="70">
        <f>OCT!Q63</f>
        <v>55934</v>
      </c>
    </row>
    <row r="15" spans="1:2" x14ac:dyDescent="0.25">
      <c r="A15" s="124" t="s">
        <v>201</v>
      </c>
      <c r="B15" s="70">
        <f>NOV!Q63</f>
        <v>49063</v>
      </c>
    </row>
    <row r="16" spans="1:2" x14ac:dyDescent="0.25">
      <c r="A16" s="124" t="s">
        <v>205</v>
      </c>
      <c r="B16" s="70">
        <f>DIC!Q63</f>
        <v>40954</v>
      </c>
    </row>
  </sheetData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FD5D-9A68-4CD5-BB38-71EDAC27B605}">
  <dimension ref="A2:M24"/>
  <sheetViews>
    <sheetView topLeftCell="A7" zoomScale="90" zoomScaleNormal="90" workbookViewId="0">
      <selection activeCell="P16" sqref="P16"/>
    </sheetView>
  </sheetViews>
  <sheetFormatPr baseColWidth="10" defaultRowHeight="15" x14ac:dyDescent="0.25"/>
  <cols>
    <col min="1" max="1" width="60.42578125" customWidth="1"/>
    <col min="2" max="13" width="7.28515625" customWidth="1"/>
  </cols>
  <sheetData>
    <row r="2" spans="1:13" x14ac:dyDescent="0.25">
      <c r="A2" t="s">
        <v>225</v>
      </c>
    </row>
    <row r="14" spans="1:13" ht="15.75" thickBot="1" x14ac:dyDescent="0.3"/>
    <row r="15" spans="1:13" ht="15.75" thickBot="1" x14ac:dyDescent="0.3">
      <c r="A15" s="164" t="s">
        <v>152</v>
      </c>
      <c r="B15" s="165"/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6"/>
    </row>
    <row r="16" spans="1:13" x14ac:dyDescent="0.25">
      <c r="A16" s="128" t="s">
        <v>72</v>
      </c>
      <c r="B16" s="122" t="s">
        <v>236</v>
      </c>
      <c r="C16" s="122" t="s">
        <v>237</v>
      </c>
      <c r="D16" s="122" t="s">
        <v>226</v>
      </c>
      <c r="E16" s="122" t="s">
        <v>227</v>
      </c>
      <c r="F16" s="122" t="s">
        <v>228</v>
      </c>
      <c r="G16" s="122" t="s">
        <v>229</v>
      </c>
      <c r="H16" s="122" t="s">
        <v>230</v>
      </c>
      <c r="I16" s="122" t="s">
        <v>231</v>
      </c>
      <c r="J16" s="122" t="s">
        <v>232</v>
      </c>
      <c r="K16" s="122" t="s">
        <v>233</v>
      </c>
      <c r="L16" s="122" t="s">
        <v>234</v>
      </c>
      <c r="M16" s="123" t="s">
        <v>235</v>
      </c>
    </row>
    <row r="17" spans="1:13" x14ac:dyDescent="0.25">
      <c r="A17" s="86" t="s">
        <v>137</v>
      </c>
      <c r="B17" s="127">
        <f>ENERO!Q55</f>
        <v>28372</v>
      </c>
      <c r="C17" s="125">
        <f>FEBRERO!Q55</f>
        <v>27315</v>
      </c>
      <c r="D17" s="125">
        <f>MARZO!Q55</f>
        <v>29058</v>
      </c>
      <c r="E17" s="125">
        <f>ABRIL!Q55</f>
        <v>29153</v>
      </c>
      <c r="F17" s="125">
        <f>ABRIL!Q55</f>
        <v>29153</v>
      </c>
      <c r="G17" s="125">
        <f>JUN!Q55</f>
        <v>28498</v>
      </c>
      <c r="H17" s="125">
        <f>JUL!Q55</f>
        <v>31508</v>
      </c>
      <c r="I17" s="125">
        <f>AGO!Q55</f>
        <v>29130</v>
      </c>
      <c r="J17" s="125">
        <f>SET!Q55</f>
        <v>32924</v>
      </c>
      <c r="K17" s="125">
        <f>OCT!Q55</f>
        <v>30626</v>
      </c>
      <c r="L17" s="125">
        <f>NOV!Q55</f>
        <v>27741</v>
      </c>
      <c r="M17" s="126">
        <f>DIC!Q55</f>
        <v>23578</v>
      </c>
    </row>
    <row r="18" spans="1:13" x14ac:dyDescent="0.25">
      <c r="A18" s="86" t="s">
        <v>138</v>
      </c>
      <c r="B18" s="127">
        <f>ENERO!Q56</f>
        <v>12761</v>
      </c>
      <c r="C18" s="125">
        <f>FEBRERO!Q56</f>
        <v>12280</v>
      </c>
      <c r="D18" s="125">
        <f>MARZO!Q56</f>
        <v>12371</v>
      </c>
      <c r="E18" s="125">
        <f>ABRIL!Q56</f>
        <v>10087</v>
      </c>
      <c r="F18" s="125">
        <f>ABRIL!Q56</f>
        <v>10087</v>
      </c>
      <c r="G18" s="125">
        <f>JUN!Q56</f>
        <v>10377</v>
      </c>
      <c r="H18" s="125">
        <f>JUL!Q56</f>
        <v>9787</v>
      </c>
      <c r="I18" s="125">
        <f>AGO!Q56</f>
        <v>10631</v>
      </c>
      <c r="J18" s="125">
        <f>SET!Q56</f>
        <v>11860</v>
      </c>
      <c r="K18" s="125">
        <f>OCT!Q56</f>
        <v>11882</v>
      </c>
      <c r="L18" s="125">
        <f>NOV!Q56</f>
        <v>10263</v>
      </c>
      <c r="M18" s="126">
        <f>DIC!Q56</f>
        <v>9512</v>
      </c>
    </row>
    <row r="19" spans="1:13" x14ac:dyDescent="0.25">
      <c r="A19" s="86" t="s">
        <v>140</v>
      </c>
      <c r="B19" s="127">
        <f>ENERO!Q57</f>
        <v>734</v>
      </c>
      <c r="C19" s="125">
        <f>FEBRERO!Q57</f>
        <v>684</v>
      </c>
      <c r="D19" s="125">
        <f>MARZO!Q57</f>
        <v>785</v>
      </c>
      <c r="E19" s="125">
        <f>ABRIL!Q57</f>
        <v>711</v>
      </c>
      <c r="F19" s="125">
        <f>ABRIL!Q57</f>
        <v>711</v>
      </c>
      <c r="G19" s="125">
        <f>JUN!Q57</f>
        <v>625</v>
      </c>
      <c r="H19" s="125">
        <f>JUL!Q57</f>
        <v>627</v>
      </c>
      <c r="I19" s="125">
        <f>AGO!Q57</f>
        <v>799</v>
      </c>
      <c r="J19" s="125">
        <f>SET!Q57</f>
        <v>923</v>
      </c>
      <c r="K19" s="125">
        <f>OCT!Q57</f>
        <v>969</v>
      </c>
      <c r="L19" s="125">
        <f>NOV!Q57</f>
        <v>892</v>
      </c>
      <c r="M19" s="126">
        <f>DIC!Q57</f>
        <v>754</v>
      </c>
    </row>
    <row r="20" spans="1:13" x14ac:dyDescent="0.25">
      <c r="A20" s="86" t="s">
        <v>144</v>
      </c>
      <c r="B20" s="127">
        <f>ENERO!Q58</f>
        <v>1914</v>
      </c>
      <c r="C20" s="125">
        <f>FEBRERO!Q58</f>
        <v>1684</v>
      </c>
      <c r="D20" s="125">
        <f>MARZO!Q58</f>
        <v>1661</v>
      </c>
      <c r="E20" s="125">
        <f>ABRIL!Q58</f>
        <v>1983</v>
      </c>
      <c r="F20" s="125">
        <f>ABRIL!Q58</f>
        <v>1983</v>
      </c>
      <c r="G20" s="125">
        <f>JUN!Q58</f>
        <v>1813</v>
      </c>
      <c r="H20" s="125">
        <f>JUL!Q58</f>
        <v>2222</v>
      </c>
      <c r="I20" s="125">
        <f>AGO!Q58</f>
        <v>1935</v>
      </c>
      <c r="J20" s="125">
        <f>SET!Q58</f>
        <v>1892</v>
      </c>
      <c r="K20" s="125">
        <f>OCT!Q58</f>
        <v>1917</v>
      </c>
      <c r="L20" s="125">
        <f>NOV!Q58</f>
        <v>1347</v>
      </c>
      <c r="M20" s="126">
        <f>DIC!Q58</f>
        <v>1399</v>
      </c>
    </row>
    <row r="21" spans="1:13" x14ac:dyDescent="0.25">
      <c r="A21" s="86" t="s">
        <v>141</v>
      </c>
      <c r="B21" s="127">
        <f>ENERO!Q59</f>
        <v>4458</v>
      </c>
      <c r="C21" s="125">
        <f>FEBRERO!Q59</f>
        <v>4069</v>
      </c>
      <c r="D21" s="125">
        <f>MARZO!Q59</f>
        <v>4546</v>
      </c>
      <c r="E21" s="125">
        <f>ABRIL!Q59</f>
        <v>4197</v>
      </c>
      <c r="F21" s="125">
        <f>ABRIL!Q59</f>
        <v>4197</v>
      </c>
      <c r="G21" s="125">
        <f>JUN!Q59</f>
        <v>4611</v>
      </c>
      <c r="H21" s="125">
        <f>JUL!Q59</f>
        <v>3965</v>
      </c>
      <c r="I21" s="125">
        <f>AGO!Q59</f>
        <v>4779</v>
      </c>
      <c r="J21" s="125">
        <f>SET!Q59</f>
        <v>4839</v>
      </c>
      <c r="K21" s="125">
        <f>OCT!Q59</f>
        <v>5199</v>
      </c>
      <c r="L21" s="125">
        <f>NOV!Q59</f>
        <v>5014</v>
      </c>
      <c r="M21" s="126">
        <f>DIC!Q59</f>
        <v>1994</v>
      </c>
    </row>
    <row r="22" spans="1:13" x14ac:dyDescent="0.25">
      <c r="A22" s="86" t="s">
        <v>143</v>
      </c>
      <c r="B22" s="127">
        <f>ENERO!Q60</f>
        <v>1017</v>
      </c>
      <c r="C22" s="125">
        <f>FEBRERO!Q60</f>
        <v>1011</v>
      </c>
      <c r="D22" s="125">
        <f>MARZO!Q60</f>
        <v>1467</v>
      </c>
      <c r="E22" s="125">
        <f>ABRIL!Q60</f>
        <v>2028</v>
      </c>
      <c r="F22" s="125">
        <f>ABRIL!Q60</f>
        <v>2028</v>
      </c>
      <c r="G22" s="125">
        <f>JUN!Q60</f>
        <v>1849</v>
      </c>
      <c r="H22" s="125">
        <f>JUL!Q60</f>
        <v>1716</v>
      </c>
      <c r="I22" s="125">
        <f>AGO!Q60</f>
        <v>1681</v>
      </c>
      <c r="J22" s="125">
        <f>SET!Q60</f>
        <v>2265</v>
      </c>
      <c r="K22" s="125">
        <f>OCT!Q60</f>
        <v>3666</v>
      </c>
      <c r="L22" s="125">
        <f>NOV!Q60</f>
        <v>2281</v>
      </c>
      <c r="M22" s="126">
        <f>DIC!Q60</f>
        <v>2260</v>
      </c>
    </row>
    <row r="23" spans="1:13" x14ac:dyDescent="0.25">
      <c r="A23" s="86" t="s">
        <v>145</v>
      </c>
      <c r="B23" s="127">
        <f>ENERO!Q61</f>
        <v>937</v>
      </c>
      <c r="C23" s="125">
        <f>FEBRERO!Q61</f>
        <v>850</v>
      </c>
      <c r="D23" s="125">
        <f>MARZO!Q61</f>
        <v>866</v>
      </c>
      <c r="E23" s="125">
        <f>ABRIL!Q61</f>
        <v>1097</v>
      </c>
      <c r="F23" s="125">
        <f>ABRIL!Q61</f>
        <v>1097</v>
      </c>
      <c r="G23" s="125">
        <f>JUN!Q61</f>
        <v>599</v>
      </c>
      <c r="H23" s="125">
        <f>JUL!Q61</f>
        <v>564</v>
      </c>
      <c r="I23" s="125">
        <f>AGO!Q61</f>
        <v>629</v>
      </c>
      <c r="J23" s="125">
        <f>SET!Q61</f>
        <v>611</v>
      </c>
      <c r="K23" s="125">
        <f>OCT!Q61</f>
        <v>574</v>
      </c>
      <c r="L23" s="125">
        <f>NOV!Q61</f>
        <v>479</v>
      </c>
      <c r="M23" s="126">
        <f>DIC!Q61</f>
        <v>420</v>
      </c>
    </row>
    <row r="24" spans="1:13" ht="15.75" thickBot="1" x14ac:dyDescent="0.3">
      <c r="A24" s="87" t="s">
        <v>151</v>
      </c>
      <c r="B24" s="127">
        <f>ENERO!Q62</f>
        <v>769</v>
      </c>
      <c r="C24" s="125">
        <f>FEBRERO!Q62</f>
        <v>1067</v>
      </c>
      <c r="D24" s="125">
        <f>MARZO!Q62</f>
        <v>822</v>
      </c>
      <c r="E24" s="125">
        <f>ABRIL!Q62</f>
        <v>901</v>
      </c>
      <c r="F24" s="125">
        <f>ABRIL!Q62</f>
        <v>901</v>
      </c>
      <c r="G24" s="125">
        <f>JUN!Q62</f>
        <v>904</v>
      </c>
      <c r="H24" s="125">
        <f>JUL!Q62</f>
        <v>995</v>
      </c>
      <c r="I24" s="125">
        <f>AGO!Q62</f>
        <v>943</v>
      </c>
      <c r="J24" s="125">
        <f>SET!Q62</f>
        <v>1249</v>
      </c>
      <c r="K24" s="125">
        <f>OCT!Q62</f>
        <v>1098</v>
      </c>
      <c r="L24" s="125">
        <f>NOV!Q62</f>
        <v>1043</v>
      </c>
      <c r="M24" s="126">
        <f>DIC!Q62</f>
        <v>1033</v>
      </c>
    </row>
  </sheetData>
  <mergeCells count="1">
    <mergeCell ref="A15:M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ENERO</vt:lpstr>
      <vt:lpstr>FEBRERO</vt:lpstr>
      <vt:lpstr>MARZO</vt:lpstr>
      <vt:lpstr>ABRIL</vt:lpstr>
      <vt:lpstr>MAYO</vt:lpstr>
      <vt:lpstr>JUN</vt:lpstr>
      <vt:lpstr>JUL</vt:lpstr>
      <vt:lpstr>AGO</vt:lpstr>
      <vt:lpstr>SET</vt:lpstr>
      <vt:lpstr>OCT</vt:lpstr>
      <vt:lpstr>NOV</vt:lpstr>
      <vt:lpstr>DIC</vt:lpstr>
      <vt:lpstr>CONSOLIDADO</vt:lpstr>
      <vt:lpstr>Hoja1</vt:lpstr>
      <vt:lpstr>Hoja1 (2)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 DE SERVICIOS INTERMEDIOS, DE APOYO Y OTROS SERVICIOS</dc:title>
  <dc:subject>SERVICIOS INTERMEDIOS</dc:subject>
  <dc:creator>CARMEN VALCARCEL</dc:creator>
  <cp:lastModifiedBy>Administrador</cp:lastModifiedBy>
  <cp:lastPrinted>2025-03-06T17:04:54Z</cp:lastPrinted>
  <dcterms:created xsi:type="dcterms:W3CDTF">2013-05-21T16:38:34Z</dcterms:created>
  <dcterms:modified xsi:type="dcterms:W3CDTF">2026-03-30T16:11:43Z</dcterms:modified>
</cp:coreProperties>
</file>