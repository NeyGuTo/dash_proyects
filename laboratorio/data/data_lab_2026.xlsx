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esktop\ESTADISTICA\ESTADISTICA 2026\"/>
    </mc:Choice>
  </mc:AlternateContent>
  <xr:revisionPtr revIDLastSave="0" documentId="13_ncr:1_{DE4F2210-81BE-47B9-88A7-808108F919CE}" xr6:coauthVersionLast="47" xr6:coauthVersionMax="47" xr10:uidLastSave="{00000000-0000-0000-0000-000000000000}"/>
  <bookViews>
    <workbookView xWindow="5010" yWindow="210" windowWidth="22185" windowHeight="15270" tabRatio="701" activeTab="1" xr2:uid="{00000000-000D-0000-FFFF-FFFF00000000}"/>
  </bookViews>
  <sheets>
    <sheet name="ENERO" sheetId="22" r:id="rId1"/>
    <sheet name="FEBRERO" sheetId="23" r:id="rId2"/>
    <sheet name="MARZO" sheetId="24" r:id="rId3"/>
    <sheet name="ABRIL" sheetId="25" r:id="rId4"/>
    <sheet name="MAYO" sheetId="27" r:id="rId5"/>
    <sheet name="CONSOLIDADO" sheetId="26" r:id="rId6"/>
    <sheet name="Hoja1" sheetId="35" r:id="rId7"/>
    <sheet name="Hoja1 (2)" sheetId="36" r:id="rId8"/>
    <sheet name="CALCULO PRESUPUESTO" sheetId="37" r:id="rId9"/>
  </sheets>
  <calcPr calcId="181029"/>
</workbook>
</file>

<file path=xl/calcChain.xml><?xml version="1.0" encoding="utf-8"?>
<calcChain xmlns="http://schemas.openxmlformats.org/spreadsheetml/2006/main">
  <c r="B96" i="37" l="1"/>
  <c r="V96" i="37" s="1"/>
  <c r="B95" i="25"/>
  <c r="G155" i="37"/>
  <c r="AA155" i="37" s="1"/>
  <c r="F155" i="37"/>
  <c r="Z155" i="37" s="1"/>
  <c r="E155" i="37"/>
  <c r="Y155" i="37" s="1"/>
  <c r="D155" i="37"/>
  <c r="X155" i="37" s="1"/>
  <c r="C155" i="37"/>
  <c r="W155" i="37" s="1"/>
  <c r="B155" i="37"/>
  <c r="V155" i="37" s="1"/>
  <c r="G154" i="37"/>
  <c r="AA154" i="37" s="1"/>
  <c r="F154" i="37"/>
  <c r="Z154" i="37" s="1"/>
  <c r="E154" i="37"/>
  <c r="Y154" i="37" s="1"/>
  <c r="D154" i="37"/>
  <c r="X154" i="37" s="1"/>
  <c r="C154" i="37"/>
  <c r="B154" i="37"/>
  <c r="V154" i="37" s="1"/>
  <c r="G153" i="37"/>
  <c r="AA153" i="37" s="1"/>
  <c r="F153" i="37"/>
  <c r="Z153" i="37" s="1"/>
  <c r="E153" i="37"/>
  <c r="Y153" i="37" s="1"/>
  <c r="D153" i="37"/>
  <c r="X153" i="37" s="1"/>
  <c r="C153" i="37"/>
  <c r="W153" i="37" s="1"/>
  <c r="B153" i="37"/>
  <c r="V153" i="37" s="1"/>
  <c r="G152" i="37"/>
  <c r="AA152" i="37" s="1"/>
  <c r="F152" i="37"/>
  <c r="Z152" i="37" s="1"/>
  <c r="E152" i="37"/>
  <c r="Y152" i="37" s="1"/>
  <c r="D152" i="37"/>
  <c r="X152" i="37" s="1"/>
  <c r="C152" i="37"/>
  <c r="W152" i="37" s="1"/>
  <c r="B152" i="37"/>
  <c r="V152" i="37" s="1"/>
  <c r="G151" i="37"/>
  <c r="AA151" i="37" s="1"/>
  <c r="F151" i="37"/>
  <c r="Z151" i="37" s="1"/>
  <c r="E151" i="37"/>
  <c r="Y151" i="37" s="1"/>
  <c r="D151" i="37"/>
  <c r="X151" i="37" s="1"/>
  <c r="C151" i="37"/>
  <c r="W151" i="37" s="1"/>
  <c r="B151" i="37"/>
  <c r="V151" i="37" s="1"/>
  <c r="G150" i="37"/>
  <c r="AA150" i="37" s="1"/>
  <c r="F150" i="37"/>
  <c r="Z150" i="37" s="1"/>
  <c r="E150" i="37"/>
  <c r="Y150" i="37" s="1"/>
  <c r="D150" i="37"/>
  <c r="X150" i="37" s="1"/>
  <c r="C150" i="37"/>
  <c r="W150" i="37" s="1"/>
  <c r="B150" i="37"/>
  <c r="V150" i="37" s="1"/>
  <c r="G149" i="37"/>
  <c r="AA149" i="37" s="1"/>
  <c r="F149" i="37"/>
  <c r="Z149" i="37" s="1"/>
  <c r="E149" i="37"/>
  <c r="Y149" i="37" s="1"/>
  <c r="D149" i="37"/>
  <c r="X149" i="37" s="1"/>
  <c r="C149" i="37"/>
  <c r="W149" i="37" s="1"/>
  <c r="B149" i="37"/>
  <c r="V149" i="37" s="1"/>
  <c r="G148" i="37"/>
  <c r="AA148" i="37" s="1"/>
  <c r="F148" i="37"/>
  <c r="Z148" i="37" s="1"/>
  <c r="E148" i="37"/>
  <c r="Y148" i="37" s="1"/>
  <c r="D148" i="37"/>
  <c r="X148" i="37" s="1"/>
  <c r="C148" i="37"/>
  <c r="W148" i="37" s="1"/>
  <c r="B148" i="37"/>
  <c r="V148" i="37" s="1"/>
  <c r="G147" i="37"/>
  <c r="AA147" i="37" s="1"/>
  <c r="F147" i="37"/>
  <c r="Z147" i="37" s="1"/>
  <c r="E147" i="37"/>
  <c r="Y147" i="37" s="1"/>
  <c r="D147" i="37"/>
  <c r="X147" i="37" s="1"/>
  <c r="C147" i="37"/>
  <c r="W147" i="37" s="1"/>
  <c r="B147" i="37"/>
  <c r="V147" i="37" s="1"/>
  <c r="G146" i="37"/>
  <c r="AA146" i="37" s="1"/>
  <c r="F146" i="37"/>
  <c r="Z146" i="37" s="1"/>
  <c r="E146" i="37"/>
  <c r="Y146" i="37" s="1"/>
  <c r="D146" i="37"/>
  <c r="X146" i="37" s="1"/>
  <c r="C146" i="37"/>
  <c r="W146" i="37" s="1"/>
  <c r="B146" i="37"/>
  <c r="V146" i="37" s="1"/>
  <c r="G145" i="37"/>
  <c r="AA145" i="37" s="1"/>
  <c r="F145" i="37"/>
  <c r="Z145" i="37" s="1"/>
  <c r="E145" i="37"/>
  <c r="Y145" i="37" s="1"/>
  <c r="D145" i="37"/>
  <c r="X145" i="37" s="1"/>
  <c r="C145" i="37"/>
  <c r="W145" i="37" s="1"/>
  <c r="B145" i="37"/>
  <c r="V145" i="37" s="1"/>
  <c r="G144" i="37"/>
  <c r="AA144" i="37" s="1"/>
  <c r="F144" i="37"/>
  <c r="Z144" i="37" s="1"/>
  <c r="E144" i="37"/>
  <c r="Y144" i="37" s="1"/>
  <c r="D144" i="37"/>
  <c r="X144" i="37" s="1"/>
  <c r="C144" i="37"/>
  <c r="W144" i="37" s="1"/>
  <c r="B144" i="37"/>
  <c r="V144" i="37" s="1"/>
  <c r="G143" i="37"/>
  <c r="AA143" i="37" s="1"/>
  <c r="F143" i="37"/>
  <c r="E143" i="37"/>
  <c r="Y143" i="37" s="1"/>
  <c r="D143" i="37"/>
  <c r="X143" i="37" s="1"/>
  <c r="C143" i="37"/>
  <c r="W143" i="37" s="1"/>
  <c r="B143" i="37"/>
  <c r="V143" i="37" s="1"/>
  <c r="G142" i="37"/>
  <c r="AA142" i="37" s="1"/>
  <c r="F142" i="37"/>
  <c r="Z142" i="37" s="1"/>
  <c r="E142" i="37"/>
  <c r="Y142" i="37" s="1"/>
  <c r="D142" i="37"/>
  <c r="X142" i="37" s="1"/>
  <c r="C142" i="37"/>
  <c r="W142" i="37" s="1"/>
  <c r="B142" i="37"/>
  <c r="V142" i="37" s="1"/>
  <c r="G141" i="37"/>
  <c r="AA141" i="37" s="1"/>
  <c r="F141" i="37"/>
  <c r="Z141" i="37" s="1"/>
  <c r="E141" i="37"/>
  <c r="Y141" i="37" s="1"/>
  <c r="D141" i="37"/>
  <c r="X141" i="37" s="1"/>
  <c r="C141" i="37"/>
  <c r="W141" i="37" s="1"/>
  <c r="B141" i="37"/>
  <c r="V141" i="37" s="1"/>
  <c r="G140" i="37"/>
  <c r="AA140" i="37" s="1"/>
  <c r="F140" i="37"/>
  <c r="Z140" i="37" s="1"/>
  <c r="E140" i="37"/>
  <c r="Y140" i="37" s="1"/>
  <c r="D140" i="37"/>
  <c r="X140" i="37" s="1"/>
  <c r="C140" i="37"/>
  <c r="W140" i="37" s="1"/>
  <c r="B140" i="37"/>
  <c r="V140" i="37" s="1"/>
  <c r="G139" i="37"/>
  <c r="AA139" i="37" s="1"/>
  <c r="F139" i="37"/>
  <c r="Z139" i="37" s="1"/>
  <c r="E139" i="37"/>
  <c r="Y139" i="37" s="1"/>
  <c r="D139" i="37"/>
  <c r="X139" i="37" s="1"/>
  <c r="C139" i="37"/>
  <c r="W139" i="37" s="1"/>
  <c r="B139" i="37"/>
  <c r="V139" i="37" s="1"/>
  <c r="G138" i="37"/>
  <c r="AA138" i="37" s="1"/>
  <c r="F138" i="37"/>
  <c r="Z138" i="37" s="1"/>
  <c r="E138" i="37"/>
  <c r="Y138" i="37" s="1"/>
  <c r="D138" i="37"/>
  <c r="X138" i="37" s="1"/>
  <c r="C138" i="37"/>
  <c r="W138" i="37" s="1"/>
  <c r="B138" i="37"/>
  <c r="V138" i="37" s="1"/>
  <c r="G137" i="37"/>
  <c r="AA137" i="37" s="1"/>
  <c r="F137" i="37"/>
  <c r="Z137" i="37" s="1"/>
  <c r="E137" i="37"/>
  <c r="Y137" i="37" s="1"/>
  <c r="D137" i="37"/>
  <c r="X137" i="37" s="1"/>
  <c r="C137" i="37"/>
  <c r="W137" i="37" s="1"/>
  <c r="B137" i="37"/>
  <c r="V137" i="37" s="1"/>
  <c r="G136" i="37"/>
  <c r="AA136" i="37" s="1"/>
  <c r="F136" i="37"/>
  <c r="Z136" i="37" s="1"/>
  <c r="E136" i="37"/>
  <c r="Y136" i="37" s="1"/>
  <c r="D136" i="37"/>
  <c r="X136" i="37" s="1"/>
  <c r="C136" i="37"/>
  <c r="W136" i="37" s="1"/>
  <c r="B136" i="37"/>
  <c r="V136" i="37" s="1"/>
  <c r="G135" i="37"/>
  <c r="AA135" i="37" s="1"/>
  <c r="F135" i="37"/>
  <c r="Z135" i="37" s="1"/>
  <c r="E135" i="37"/>
  <c r="Y135" i="37" s="1"/>
  <c r="D135" i="37"/>
  <c r="X135" i="37" s="1"/>
  <c r="C135" i="37"/>
  <c r="W135" i="37" s="1"/>
  <c r="B135" i="37"/>
  <c r="V135" i="37" s="1"/>
  <c r="G134" i="37"/>
  <c r="AA134" i="37" s="1"/>
  <c r="F134" i="37"/>
  <c r="Z134" i="37" s="1"/>
  <c r="E134" i="37"/>
  <c r="Y134" i="37" s="1"/>
  <c r="D134" i="37"/>
  <c r="X134" i="37" s="1"/>
  <c r="C134" i="37"/>
  <c r="W134" i="37" s="1"/>
  <c r="B134" i="37"/>
  <c r="V134" i="37" s="1"/>
  <c r="G133" i="37"/>
  <c r="AA133" i="37" s="1"/>
  <c r="F133" i="37"/>
  <c r="Z133" i="37" s="1"/>
  <c r="E133" i="37"/>
  <c r="Y133" i="37" s="1"/>
  <c r="D133" i="37"/>
  <c r="X133" i="37" s="1"/>
  <c r="C133" i="37"/>
  <c r="W133" i="37" s="1"/>
  <c r="B133" i="37"/>
  <c r="V133" i="37" s="1"/>
  <c r="G132" i="37"/>
  <c r="AA132" i="37" s="1"/>
  <c r="F132" i="37"/>
  <c r="Z132" i="37" s="1"/>
  <c r="E132" i="37"/>
  <c r="Y132" i="37" s="1"/>
  <c r="D132" i="37"/>
  <c r="X132" i="37" s="1"/>
  <c r="C132" i="37"/>
  <c r="W132" i="37" s="1"/>
  <c r="B132" i="37"/>
  <c r="V132" i="37" s="1"/>
  <c r="G131" i="37"/>
  <c r="AA131" i="37" s="1"/>
  <c r="F131" i="37"/>
  <c r="E131" i="37"/>
  <c r="Y131" i="37" s="1"/>
  <c r="D131" i="37"/>
  <c r="X131" i="37" s="1"/>
  <c r="C131" i="37"/>
  <c r="W131" i="37" s="1"/>
  <c r="B131" i="37"/>
  <c r="V131" i="37" s="1"/>
  <c r="G130" i="37"/>
  <c r="AA130" i="37" s="1"/>
  <c r="F130" i="37"/>
  <c r="Z130" i="37" s="1"/>
  <c r="E130" i="37"/>
  <c r="Y130" i="37" s="1"/>
  <c r="D130" i="37"/>
  <c r="X130" i="37" s="1"/>
  <c r="C130" i="37"/>
  <c r="W130" i="37" s="1"/>
  <c r="B130" i="37"/>
  <c r="V130" i="37" s="1"/>
  <c r="G129" i="37"/>
  <c r="AA129" i="37" s="1"/>
  <c r="F129" i="37"/>
  <c r="Z129" i="37" s="1"/>
  <c r="E129" i="37"/>
  <c r="Y129" i="37" s="1"/>
  <c r="D129" i="37"/>
  <c r="X129" i="37" s="1"/>
  <c r="C129" i="37"/>
  <c r="W129" i="37" s="1"/>
  <c r="B129" i="37"/>
  <c r="V129" i="37" s="1"/>
  <c r="G128" i="37"/>
  <c r="AA128" i="37" s="1"/>
  <c r="F128" i="37"/>
  <c r="Z128" i="37" s="1"/>
  <c r="E128" i="37"/>
  <c r="Y128" i="37" s="1"/>
  <c r="D128" i="37"/>
  <c r="X128" i="37" s="1"/>
  <c r="C128" i="37"/>
  <c r="W128" i="37" s="1"/>
  <c r="B128" i="37"/>
  <c r="V128" i="37" s="1"/>
  <c r="G127" i="37"/>
  <c r="AA127" i="37" s="1"/>
  <c r="F127" i="37"/>
  <c r="Z127" i="37" s="1"/>
  <c r="E127" i="37"/>
  <c r="Y127" i="37" s="1"/>
  <c r="D127" i="37"/>
  <c r="X127" i="37" s="1"/>
  <c r="C127" i="37"/>
  <c r="B127" i="37"/>
  <c r="V127" i="37" s="1"/>
  <c r="G126" i="37"/>
  <c r="AA126" i="37" s="1"/>
  <c r="F126" i="37"/>
  <c r="Z126" i="37" s="1"/>
  <c r="E126" i="37"/>
  <c r="Y126" i="37" s="1"/>
  <c r="D126" i="37"/>
  <c r="X126" i="37" s="1"/>
  <c r="C126" i="37"/>
  <c r="W126" i="37" s="1"/>
  <c r="B126" i="37"/>
  <c r="V126" i="37" s="1"/>
  <c r="G125" i="37"/>
  <c r="AA125" i="37" s="1"/>
  <c r="F125" i="37"/>
  <c r="Z125" i="37" s="1"/>
  <c r="E125" i="37"/>
  <c r="Y125" i="37" s="1"/>
  <c r="D125" i="37"/>
  <c r="X125" i="37" s="1"/>
  <c r="C125" i="37"/>
  <c r="W125" i="37" s="1"/>
  <c r="B125" i="37"/>
  <c r="V125" i="37" s="1"/>
  <c r="G124" i="37"/>
  <c r="AA124" i="37" s="1"/>
  <c r="F124" i="37"/>
  <c r="Z124" i="37" s="1"/>
  <c r="E124" i="37"/>
  <c r="Y124" i="37" s="1"/>
  <c r="D124" i="37"/>
  <c r="X124" i="37" s="1"/>
  <c r="C124" i="37"/>
  <c r="W124" i="37" s="1"/>
  <c r="B124" i="37"/>
  <c r="V124" i="37" s="1"/>
  <c r="G123" i="37"/>
  <c r="AA123" i="37" s="1"/>
  <c r="F123" i="37"/>
  <c r="Z123" i="37" s="1"/>
  <c r="E123" i="37"/>
  <c r="Y123" i="37" s="1"/>
  <c r="D123" i="37"/>
  <c r="X123" i="37" s="1"/>
  <c r="C123" i="37"/>
  <c r="W123" i="37" s="1"/>
  <c r="B123" i="37"/>
  <c r="V123" i="37" s="1"/>
  <c r="G122" i="37"/>
  <c r="AA122" i="37" s="1"/>
  <c r="F122" i="37"/>
  <c r="Z122" i="37" s="1"/>
  <c r="E122" i="37"/>
  <c r="Y122" i="37" s="1"/>
  <c r="D122" i="37"/>
  <c r="X122" i="37" s="1"/>
  <c r="C122" i="37"/>
  <c r="W122" i="37" s="1"/>
  <c r="B122" i="37"/>
  <c r="V122" i="37" s="1"/>
  <c r="G121" i="37"/>
  <c r="AA121" i="37" s="1"/>
  <c r="F121" i="37"/>
  <c r="Z121" i="37" s="1"/>
  <c r="E121" i="37"/>
  <c r="Y121" i="37" s="1"/>
  <c r="D121" i="37"/>
  <c r="X121" i="37" s="1"/>
  <c r="C121" i="37"/>
  <c r="W121" i="37" s="1"/>
  <c r="B121" i="37"/>
  <c r="V114" i="37" s="1"/>
  <c r="G120" i="37"/>
  <c r="AA113" i="37" s="1"/>
  <c r="F120" i="37"/>
  <c r="Z113" i="37" s="1"/>
  <c r="E120" i="37"/>
  <c r="Y113" i="37" s="1"/>
  <c r="D120" i="37"/>
  <c r="X113" i="37" s="1"/>
  <c r="C120" i="37"/>
  <c r="W113" i="37" s="1"/>
  <c r="B120" i="37"/>
  <c r="V113" i="37" s="1"/>
  <c r="G119" i="37"/>
  <c r="AA112" i="37" s="1"/>
  <c r="F119" i="37"/>
  <c r="Z112" i="37" s="1"/>
  <c r="E119" i="37"/>
  <c r="Y112" i="37" s="1"/>
  <c r="D119" i="37"/>
  <c r="X119" i="37" s="1"/>
  <c r="C119" i="37"/>
  <c r="W119" i="37" s="1"/>
  <c r="B119" i="37"/>
  <c r="V119" i="37" s="1"/>
  <c r="G118" i="37"/>
  <c r="AA111" i="37" s="1"/>
  <c r="F118" i="37"/>
  <c r="Z111" i="37" s="1"/>
  <c r="E118" i="37"/>
  <c r="Y111" i="37" s="1"/>
  <c r="D118" i="37"/>
  <c r="X111" i="37" s="1"/>
  <c r="C118" i="37"/>
  <c r="W111" i="37" s="1"/>
  <c r="B118" i="37"/>
  <c r="V111" i="37" s="1"/>
  <c r="G117" i="37"/>
  <c r="AA110" i="37" s="1"/>
  <c r="F117" i="37"/>
  <c r="Z110" i="37" s="1"/>
  <c r="E117" i="37"/>
  <c r="Y110" i="37" s="1"/>
  <c r="D117" i="37"/>
  <c r="X117" i="37" s="1"/>
  <c r="C117" i="37"/>
  <c r="W117" i="37" s="1"/>
  <c r="B117" i="37"/>
  <c r="V117" i="37" s="1"/>
  <c r="G116" i="37"/>
  <c r="AA116" i="37" s="1"/>
  <c r="F116" i="37"/>
  <c r="Z109" i="37" s="1"/>
  <c r="E116" i="37"/>
  <c r="Y109" i="37" s="1"/>
  <c r="D116" i="37"/>
  <c r="X109" i="37" s="1"/>
  <c r="C116" i="37"/>
  <c r="W109" i="37" s="1"/>
  <c r="B116" i="37"/>
  <c r="V109" i="37" s="1"/>
  <c r="G114" i="37"/>
  <c r="F114" i="37"/>
  <c r="E114" i="37"/>
  <c r="D114" i="37"/>
  <c r="C114" i="37"/>
  <c r="B114" i="37"/>
  <c r="G113" i="37"/>
  <c r="F113" i="37"/>
  <c r="E113" i="37"/>
  <c r="D113" i="37"/>
  <c r="C113" i="37"/>
  <c r="B113" i="37"/>
  <c r="G112" i="37"/>
  <c r="F112" i="37"/>
  <c r="E112" i="37"/>
  <c r="D112" i="37"/>
  <c r="C112" i="37"/>
  <c r="B112" i="37"/>
  <c r="G111" i="37"/>
  <c r="F111" i="37"/>
  <c r="E111" i="37"/>
  <c r="D111" i="37"/>
  <c r="C111" i="37"/>
  <c r="B111" i="37"/>
  <c r="G110" i="37"/>
  <c r="F110" i="37"/>
  <c r="E110" i="37"/>
  <c r="D110" i="37"/>
  <c r="C110" i="37"/>
  <c r="B110" i="37"/>
  <c r="G109" i="37"/>
  <c r="F109" i="37"/>
  <c r="E109" i="37"/>
  <c r="D109" i="37"/>
  <c r="C109" i="37"/>
  <c r="B109" i="37"/>
  <c r="G107" i="37"/>
  <c r="AA107" i="37" s="1"/>
  <c r="F107" i="37"/>
  <c r="Z107" i="37" s="1"/>
  <c r="E107" i="37"/>
  <c r="Y107" i="37" s="1"/>
  <c r="D107" i="37"/>
  <c r="X107" i="37" s="1"/>
  <c r="C107" i="37"/>
  <c r="W107" i="37" s="1"/>
  <c r="B107" i="37"/>
  <c r="G106" i="37"/>
  <c r="AA106" i="37" s="1"/>
  <c r="F106" i="37"/>
  <c r="Z106" i="37" s="1"/>
  <c r="E106" i="37"/>
  <c r="Y106" i="37" s="1"/>
  <c r="D106" i="37"/>
  <c r="X106" i="37" s="1"/>
  <c r="C106" i="37"/>
  <c r="W106" i="37" s="1"/>
  <c r="B106" i="37"/>
  <c r="V106" i="37" s="1"/>
  <c r="G105" i="37"/>
  <c r="AA105" i="37" s="1"/>
  <c r="F105" i="37"/>
  <c r="Z105" i="37" s="1"/>
  <c r="E105" i="37"/>
  <c r="Y105" i="37" s="1"/>
  <c r="D105" i="37"/>
  <c r="X105" i="37" s="1"/>
  <c r="C105" i="37"/>
  <c r="W105" i="37" s="1"/>
  <c r="B105" i="37"/>
  <c r="V105" i="37" s="1"/>
  <c r="G104" i="37"/>
  <c r="AA104" i="37" s="1"/>
  <c r="F104" i="37"/>
  <c r="Z104" i="37" s="1"/>
  <c r="E104" i="37"/>
  <c r="Y104" i="37" s="1"/>
  <c r="D104" i="37"/>
  <c r="X104" i="37" s="1"/>
  <c r="C104" i="37"/>
  <c r="B104" i="37"/>
  <c r="V104" i="37" s="1"/>
  <c r="G103" i="37"/>
  <c r="AA103" i="37" s="1"/>
  <c r="F103" i="37"/>
  <c r="Z103" i="37" s="1"/>
  <c r="E103" i="37"/>
  <c r="Y103" i="37" s="1"/>
  <c r="D103" i="37"/>
  <c r="X103" i="37" s="1"/>
  <c r="C103" i="37"/>
  <c r="W103" i="37" s="1"/>
  <c r="B103" i="37"/>
  <c r="G102" i="37"/>
  <c r="AA102" i="37" s="1"/>
  <c r="F102" i="37"/>
  <c r="Z102" i="37" s="1"/>
  <c r="E102" i="37"/>
  <c r="Y102" i="37" s="1"/>
  <c r="D102" i="37"/>
  <c r="X102" i="37" s="1"/>
  <c r="C102" i="37"/>
  <c r="B102" i="37"/>
  <c r="V102" i="37" s="1"/>
  <c r="G101" i="37"/>
  <c r="AA101" i="37" s="1"/>
  <c r="F101" i="37"/>
  <c r="Z101" i="37" s="1"/>
  <c r="E101" i="37"/>
  <c r="Y101" i="37" s="1"/>
  <c r="D101" i="37"/>
  <c r="X101" i="37" s="1"/>
  <c r="C101" i="37"/>
  <c r="W101" i="37" s="1"/>
  <c r="B101" i="37"/>
  <c r="V101" i="37" s="1"/>
  <c r="G100" i="37"/>
  <c r="AA100" i="37" s="1"/>
  <c r="F100" i="37"/>
  <c r="Z100" i="37" s="1"/>
  <c r="E100" i="37"/>
  <c r="Y100" i="37" s="1"/>
  <c r="D100" i="37"/>
  <c r="X100" i="37" s="1"/>
  <c r="C100" i="37"/>
  <c r="W100" i="37" s="1"/>
  <c r="B100" i="37"/>
  <c r="V100" i="37" s="1"/>
  <c r="G99" i="37"/>
  <c r="AA99" i="37" s="1"/>
  <c r="F99" i="37"/>
  <c r="Z99" i="37" s="1"/>
  <c r="E99" i="37"/>
  <c r="Y99" i="37" s="1"/>
  <c r="D99" i="37"/>
  <c r="X99" i="37" s="1"/>
  <c r="C99" i="37"/>
  <c r="W99" i="37" s="1"/>
  <c r="B99" i="37"/>
  <c r="V99" i="37" s="1"/>
  <c r="G98" i="37"/>
  <c r="AA98" i="37" s="1"/>
  <c r="F98" i="37"/>
  <c r="Z98" i="37" s="1"/>
  <c r="E98" i="37"/>
  <c r="Y98" i="37" s="1"/>
  <c r="D98" i="37"/>
  <c r="X98" i="37" s="1"/>
  <c r="C98" i="37"/>
  <c r="W98" i="37" s="1"/>
  <c r="B98" i="37"/>
  <c r="V98" i="37" s="1"/>
  <c r="G97" i="37"/>
  <c r="AA97" i="37" s="1"/>
  <c r="F97" i="37"/>
  <c r="Z97" i="37" s="1"/>
  <c r="E97" i="37"/>
  <c r="Y97" i="37" s="1"/>
  <c r="D97" i="37"/>
  <c r="X97" i="37" s="1"/>
  <c r="C97" i="37"/>
  <c r="W97" i="37" s="1"/>
  <c r="B97" i="37"/>
  <c r="V97" i="37" s="1"/>
  <c r="G96" i="37"/>
  <c r="AA96" i="37" s="1"/>
  <c r="F96" i="37"/>
  <c r="E96" i="37"/>
  <c r="Y96" i="37" s="1"/>
  <c r="D96" i="37"/>
  <c r="C96" i="37"/>
  <c r="W96" i="37" s="1"/>
  <c r="G94" i="37"/>
  <c r="AA94" i="37" s="1"/>
  <c r="F94" i="37"/>
  <c r="Z94" i="37" s="1"/>
  <c r="E94" i="37"/>
  <c r="Y94" i="37" s="1"/>
  <c r="D94" i="37"/>
  <c r="X94" i="37" s="1"/>
  <c r="C94" i="37"/>
  <c r="W94" i="37" s="1"/>
  <c r="B94" i="37"/>
  <c r="V94" i="37" s="1"/>
  <c r="G93" i="37"/>
  <c r="AA93" i="37" s="1"/>
  <c r="F93" i="37"/>
  <c r="Z93" i="37" s="1"/>
  <c r="E93" i="37"/>
  <c r="Y93" i="37" s="1"/>
  <c r="D93" i="37"/>
  <c r="X93" i="37" s="1"/>
  <c r="C93" i="37"/>
  <c r="W93" i="37" s="1"/>
  <c r="B93" i="37"/>
  <c r="V93" i="37" s="1"/>
  <c r="G92" i="37"/>
  <c r="AA92" i="37" s="1"/>
  <c r="F92" i="37"/>
  <c r="Z92" i="37" s="1"/>
  <c r="E92" i="37"/>
  <c r="Y92" i="37" s="1"/>
  <c r="D92" i="37"/>
  <c r="X92" i="37" s="1"/>
  <c r="C92" i="37"/>
  <c r="W92" i="37" s="1"/>
  <c r="B92" i="37"/>
  <c r="V92" i="37" s="1"/>
  <c r="G91" i="37"/>
  <c r="AA91" i="37" s="1"/>
  <c r="F91" i="37"/>
  <c r="Z91" i="37" s="1"/>
  <c r="E91" i="37"/>
  <c r="Y91" i="37" s="1"/>
  <c r="D91" i="37"/>
  <c r="X91" i="37" s="1"/>
  <c r="C91" i="37"/>
  <c r="W91" i="37" s="1"/>
  <c r="B91" i="37"/>
  <c r="V91" i="37" s="1"/>
  <c r="G90" i="37"/>
  <c r="AA90" i="37" s="1"/>
  <c r="F90" i="37"/>
  <c r="Z90" i="37" s="1"/>
  <c r="E90" i="37"/>
  <c r="Y90" i="37" s="1"/>
  <c r="D90" i="37"/>
  <c r="X90" i="37" s="1"/>
  <c r="C90" i="37"/>
  <c r="W90" i="37" s="1"/>
  <c r="B90" i="37"/>
  <c r="V90" i="37" s="1"/>
  <c r="G89" i="37"/>
  <c r="AA89" i="37" s="1"/>
  <c r="F89" i="37"/>
  <c r="Z89" i="37" s="1"/>
  <c r="E89" i="37"/>
  <c r="Y89" i="37" s="1"/>
  <c r="D89" i="37"/>
  <c r="X89" i="37" s="1"/>
  <c r="C89" i="37"/>
  <c r="W89" i="37" s="1"/>
  <c r="B89" i="37"/>
  <c r="V89" i="37" s="1"/>
  <c r="G88" i="37"/>
  <c r="AA88" i="37" s="1"/>
  <c r="F88" i="37"/>
  <c r="Z88" i="37" s="1"/>
  <c r="E88" i="37"/>
  <c r="Y88" i="37" s="1"/>
  <c r="D88" i="37"/>
  <c r="X88" i="37" s="1"/>
  <c r="C88" i="37"/>
  <c r="W88" i="37" s="1"/>
  <c r="B88" i="37"/>
  <c r="V88" i="37" s="1"/>
  <c r="G87" i="37"/>
  <c r="AA87" i="37" s="1"/>
  <c r="F87" i="37"/>
  <c r="Z87" i="37" s="1"/>
  <c r="E87" i="37"/>
  <c r="Y87" i="37" s="1"/>
  <c r="D87" i="37"/>
  <c r="X87" i="37" s="1"/>
  <c r="C87" i="37"/>
  <c r="W87" i="37" s="1"/>
  <c r="B87" i="37"/>
  <c r="V87" i="37" s="1"/>
  <c r="G86" i="37"/>
  <c r="AA86" i="37" s="1"/>
  <c r="F86" i="37"/>
  <c r="Z86" i="37" s="1"/>
  <c r="E86" i="37"/>
  <c r="Y86" i="37" s="1"/>
  <c r="D86" i="37"/>
  <c r="X86" i="37" s="1"/>
  <c r="C86" i="37"/>
  <c r="W86" i="37" s="1"/>
  <c r="B86" i="37"/>
  <c r="V86" i="37" s="1"/>
  <c r="G85" i="37"/>
  <c r="AA85" i="37" s="1"/>
  <c r="F85" i="37"/>
  <c r="Z85" i="37" s="1"/>
  <c r="E85" i="37"/>
  <c r="Y85" i="37" s="1"/>
  <c r="D85" i="37"/>
  <c r="X85" i="37" s="1"/>
  <c r="C85" i="37"/>
  <c r="W85" i="37" s="1"/>
  <c r="B85" i="37"/>
  <c r="H85" i="37" s="1"/>
  <c r="G84" i="37"/>
  <c r="AA84" i="37" s="1"/>
  <c r="F84" i="37"/>
  <c r="Z84" i="37" s="1"/>
  <c r="E84" i="37"/>
  <c r="Y84" i="37" s="1"/>
  <c r="D84" i="37"/>
  <c r="X84" i="37" s="1"/>
  <c r="C84" i="37"/>
  <c r="W84" i="37" s="1"/>
  <c r="B84" i="37"/>
  <c r="V84" i="37" s="1"/>
  <c r="G83" i="37"/>
  <c r="AA83" i="37" s="1"/>
  <c r="F83" i="37"/>
  <c r="F82" i="37" s="1"/>
  <c r="E83" i="37"/>
  <c r="Y83" i="37" s="1"/>
  <c r="D83" i="37"/>
  <c r="D82" i="37" s="1"/>
  <c r="C83" i="37"/>
  <c r="W83" i="37" s="1"/>
  <c r="B83" i="37"/>
  <c r="H83" i="37" s="1"/>
  <c r="G81" i="37"/>
  <c r="AA81" i="37" s="1"/>
  <c r="F81" i="37"/>
  <c r="Z81" i="37" s="1"/>
  <c r="E81" i="37"/>
  <c r="Y81" i="37" s="1"/>
  <c r="D81" i="37"/>
  <c r="X81" i="37" s="1"/>
  <c r="C81" i="37"/>
  <c r="W81" i="37" s="1"/>
  <c r="B81" i="37"/>
  <c r="V81" i="37" s="1"/>
  <c r="G80" i="37"/>
  <c r="AA80" i="37" s="1"/>
  <c r="F80" i="37"/>
  <c r="Z80" i="37" s="1"/>
  <c r="E80" i="37"/>
  <c r="Y80" i="37" s="1"/>
  <c r="D80" i="37"/>
  <c r="X80" i="37" s="1"/>
  <c r="C80" i="37"/>
  <c r="W80" i="37" s="1"/>
  <c r="B80" i="37"/>
  <c r="V80" i="37" s="1"/>
  <c r="G79" i="37"/>
  <c r="AA79" i="37" s="1"/>
  <c r="F79" i="37"/>
  <c r="Z79" i="37" s="1"/>
  <c r="E79" i="37"/>
  <c r="Y79" i="37" s="1"/>
  <c r="D79" i="37"/>
  <c r="X79" i="37" s="1"/>
  <c r="C79" i="37"/>
  <c r="W79" i="37" s="1"/>
  <c r="B79" i="37"/>
  <c r="V79" i="37" s="1"/>
  <c r="G78" i="37"/>
  <c r="AA78" i="37" s="1"/>
  <c r="F78" i="37"/>
  <c r="Z78" i="37" s="1"/>
  <c r="E78" i="37"/>
  <c r="Y78" i="37" s="1"/>
  <c r="D78" i="37"/>
  <c r="X78" i="37" s="1"/>
  <c r="C78" i="37"/>
  <c r="W78" i="37" s="1"/>
  <c r="B78" i="37"/>
  <c r="V78" i="37" s="1"/>
  <c r="G77" i="37"/>
  <c r="AA77" i="37" s="1"/>
  <c r="F77" i="37"/>
  <c r="Z77" i="37" s="1"/>
  <c r="E77" i="37"/>
  <c r="Y77" i="37" s="1"/>
  <c r="D77" i="37"/>
  <c r="X77" i="37" s="1"/>
  <c r="C77" i="37"/>
  <c r="W77" i="37" s="1"/>
  <c r="B77" i="37"/>
  <c r="V77" i="37" s="1"/>
  <c r="G76" i="37"/>
  <c r="AA76" i="37" s="1"/>
  <c r="F76" i="37"/>
  <c r="Z76" i="37" s="1"/>
  <c r="E76" i="37"/>
  <c r="Y76" i="37" s="1"/>
  <c r="D76" i="37"/>
  <c r="X76" i="37" s="1"/>
  <c r="C76" i="37"/>
  <c r="W76" i="37" s="1"/>
  <c r="B76" i="37"/>
  <c r="V76" i="37" s="1"/>
  <c r="G75" i="37"/>
  <c r="AA75" i="37" s="1"/>
  <c r="F75" i="37"/>
  <c r="Z75" i="37" s="1"/>
  <c r="E75" i="37"/>
  <c r="Y75" i="37" s="1"/>
  <c r="D75" i="37"/>
  <c r="X75" i="37" s="1"/>
  <c r="C75" i="37"/>
  <c r="W75" i="37" s="1"/>
  <c r="B75" i="37"/>
  <c r="V75" i="37" s="1"/>
  <c r="G74" i="37"/>
  <c r="AA74" i="37" s="1"/>
  <c r="F74" i="37"/>
  <c r="Z74" i="37" s="1"/>
  <c r="E74" i="37"/>
  <c r="Y74" i="37" s="1"/>
  <c r="D74" i="37"/>
  <c r="X74" i="37" s="1"/>
  <c r="C74" i="37"/>
  <c r="W74" i="37" s="1"/>
  <c r="B74" i="37"/>
  <c r="V74" i="37" s="1"/>
  <c r="G73" i="37"/>
  <c r="AA73" i="37" s="1"/>
  <c r="F73" i="37"/>
  <c r="Z73" i="37" s="1"/>
  <c r="E73" i="37"/>
  <c r="Y73" i="37" s="1"/>
  <c r="D73" i="37"/>
  <c r="X73" i="37" s="1"/>
  <c r="C73" i="37"/>
  <c r="W73" i="37" s="1"/>
  <c r="B73" i="37"/>
  <c r="V73" i="37" s="1"/>
  <c r="G72" i="37"/>
  <c r="AA72" i="37" s="1"/>
  <c r="F72" i="37"/>
  <c r="Z72" i="37" s="1"/>
  <c r="E72" i="37"/>
  <c r="Y72" i="37" s="1"/>
  <c r="D72" i="37"/>
  <c r="X72" i="37" s="1"/>
  <c r="C72" i="37"/>
  <c r="W72" i="37" s="1"/>
  <c r="B72" i="37"/>
  <c r="V72" i="37" s="1"/>
  <c r="G71" i="37"/>
  <c r="AA71" i="37" s="1"/>
  <c r="F71" i="37"/>
  <c r="Z71" i="37" s="1"/>
  <c r="E71" i="37"/>
  <c r="Y71" i="37" s="1"/>
  <c r="D71" i="37"/>
  <c r="X71" i="37" s="1"/>
  <c r="C71" i="37"/>
  <c r="W71" i="37" s="1"/>
  <c r="B71" i="37"/>
  <c r="V71" i="37" s="1"/>
  <c r="G70" i="37"/>
  <c r="F70" i="37"/>
  <c r="Z70" i="37" s="1"/>
  <c r="E70" i="37"/>
  <c r="Y70" i="37" s="1"/>
  <c r="D70" i="37"/>
  <c r="D69" i="37" s="1"/>
  <c r="C70" i="37"/>
  <c r="W70" i="37" s="1"/>
  <c r="W82" i="37" s="1"/>
  <c r="B70" i="37"/>
  <c r="V70" i="37" s="1"/>
  <c r="G68" i="37"/>
  <c r="AA68" i="37" s="1"/>
  <c r="F68" i="37"/>
  <c r="Z68" i="37" s="1"/>
  <c r="E68" i="37"/>
  <c r="Y68" i="37" s="1"/>
  <c r="D68" i="37"/>
  <c r="X68" i="37" s="1"/>
  <c r="C68" i="37"/>
  <c r="B68" i="37"/>
  <c r="V68" i="37" s="1"/>
  <c r="G67" i="37"/>
  <c r="AA67" i="37" s="1"/>
  <c r="F67" i="37"/>
  <c r="Z67" i="37" s="1"/>
  <c r="E67" i="37"/>
  <c r="Y67" i="37" s="1"/>
  <c r="D67" i="37"/>
  <c r="X67" i="37" s="1"/>
  <c r="C67" i="37"/>
  <c r="W67" i="37" s="1"/>
  <c r="B67" i="37"/>
  <c r="V67" i="37" s="1"/>
  <c r="G66" i="37"/>
  <c r="AA66" i="37" s="1"/>
  <c r="F66" i="37"/>
  <c r="Z66" i="37" s="1"/>
  <c r="E66" i="37"/>
  <c r="Y66" i="37" s="1"/>
  <c r="D66" i="37"/>
  <c r="X66" i="37" s="1"/>
  <c r="C66" i="37"/>
  <c r="B66" i="37"/>
  <c r="V66" i="37" s="1"/>
  <c r="G65" i="37"/>
  <c r="AA65" i="37" s="1"/>
  <c r="F65" i="37"/>
  <c r="Z65" i="37" s="1"/>
  <c r="E65" i="37"/>
  <c r="Y65" i="37" s="1"/>
  <c r="D65" i="37"/>
  <c r="X65" i="37" s="1"/>
  <c r="C65" i="37"/>
  <c r="W65" i="37" s="1"/>
  <c r="B65" i="37"/>
  <c r="V65" i="37" s="1"/>
  <c r="G64" i="37"/>
  <c r="AA64" i="37" s="1"/>
  <c r="F64" i="37"/>
  <c r="Z64" i="37" s="1"/>
  <c r="E64" i="37"/>
  <c r="Y64" i="37" s="1"/>
  <c r="D64" i="37"/>
  <c r="X64" i="37" s="1"/>
  <c r="C64" i="37"/>
  <c r="W64" i="37" s="1"/>
  <c r="B64" i="37"/>
  <c r="H64" i="37" s="1"/>
  <c r="G63" i="37"/>
  <c r="AA63" i="37" s="1"/>
  <c r="F63" i="37"/>
  <c r="Z63" i="37" s="1"/>
  <c r="E63" i="37"/>
  <c r="Y63" i="37" s="1"/>
  <c r="D63" i="37"/>
  <c r="X63" i="37" s="1"/>
  <c r="C63" i="37"/>
  <c r="W63" i="37" s="1"/>
  <c r="B63" i="37"/>
  <c r="V63" i="37" s="1"/>
  <c r="G62" i="37"/>
  <c r="AA62" i="37" s="1"/>
  <c r="F62" i="37"/>
  <c r="Z62" i="37" s="1"/>
  <c r="E62" i="37"/>
  <c r="Y62" i="37" s="1"/>
  <c r="D62" i="37"/>
  <c r="X62" i="37" s="1"/>
  <c r="C62" i="37"/>
  <c r="W62" i="37" s="1"/>
  <c r="B62" i="37"/>
  <c r="H62" i="37" s="1"/>
  <c r="G61" i="37"/>
  <c r="AA61" i="37" s="1"/>
  <c r="F61" i="37"/>
  <c r="Z61" i="37" s="1"/>
  <c r="E61" i="37"/>
  <c r="Y61" i="37" s="1"/>
  <c r="D61" i="37"/>
  <c r="X61" i="37" s="1"/>
  <c r="C61" i="37"/>
  <c r="W61" i="37" s="1"/>
  <c r="B61" i="37"/>
  <c r="V61" i="37" s="1"/>
  <c r="G60" i="37"/>
  <c r="AA60" i="37" s="1"/>
  <c r="F60" i="37"/>
  <c r="Z60" i="37" s="1"/>
  <c r="E60" i="37"/>
  <c r="Y60" i="37" s="1"/>
  <c r="D60" i="37"/>
  <c r="X60" i="37" s="1"/>
  <c r="C60" i="37"/>
  <c r="W60" i="37" s="1"/>
  <c r="B60" i="37"/>
  <c r="V60" i="37" s="1"/>
  <c r="G59" i="37"/>
  <c r="AA59" i="37" s="1"/>
  <c r="F59" i="37"/>
  <c r="Z59" i="37" s="1"/>
  <c r="E59" i="37"/>
  <c r="Y59" i="37" s="1"/>
  <c r="D59" i="37"/>
  <c r="X59" i="37" s="1"/>
  <c r="C59" i="37"/>
  <c r="W59" i="37" s="1"/>
  <c r="B59" i="37"/>
  <c r="V59" i="37" s="1"/>
  <c r="G58" i="37"/>
  <c r="AA58" i="37" s="1"/>
  <c r="F58" i="37"/>
  <c r="Z58" i="37" s="1"/>
  <c r="E58" i="37"/>
  <c r="Y58" i="37" s="1"/>
  <c r="D58" i="37"/>
  <c r="X58" i="37" s="1"/>
  <c r="C58" i="37"/>
  <c r="W58" i="37" s="1"/>
  <c r="B58" i="37"/>
  <c r="V58" i="37" s="1"/>
  <c r="G57" i="37"/>
  <c r="AA57" i="37" s="1"/>
  <c r="F57" i="37"/>
  <c r="Z57" i="37" s="1"/>
  <c r="E57" i="37"/>
  <c r="Y57" i="37" s="1"/>
  <c r="D57" i="37"/>
  <c r="X57" i="37" s="1"/>
  <c r="C57" i="37"/>
  <c r="W57" i="37" s="1"/>
  <c r="B57" i="37"/>
  <c r="V57" i="37" s="1"/>
  <c r="G56" i="37"/>
  <c r="AA56" i="37" s="1"/>
  <c r="F56" i="37"/>
  <c r="Z56" i="37" s="1"/>
  <c r="E56" i="37"/>
  <c r="Y56" i="37" s="1"/>
  <c r="D56" i="37"/>
  <c r="X56" i="37" s="1"/>
  <c r="C56" i="37"/>
  <c r="W56" i="37" s="1"/>
  <c r="B56" i="37"/>
  <c r="V56" i="37" s="1"/>
  <c r="G55" i="37"/>
  <c r="AA55" i="37" s="1"/>
  <c r="F55" i="37"/>
  <c r="Z55" i="37" s="1"/>
  <c r="E55" i="37"/>
  <c r="Y55" i="37" s="1"/>
  <c r="D55" i="37"/>
  <c r="X55" i="37" s="1"/>
  <c r="C55" i="37"/>
  <c r="W55" i="37" s="1"/>
  <c r="B55" i="37"/>
  <c r="V55" i="37" s="1"/>
  <c r="R54" i="37"/>
  <c r="G54" i="37"/>
  <c r="AA54" i="37" s="1"/>
  <c r="F54" i="37"/>
  <c r="Z54" i="37" s="1"/>
  <c r="E54" i="37"/>
  <c r="Y54" i="37" s="1"/>
  <c r="D54" i="37"/>
  <c r="X54" i="37" s="1"/>
  <c r="C54" i="37"/>
  <c r="W54" i="37" s="1"/>
  <c r="B54" i="37"/>
  <c r="V54" i="37" s="1"/>
  <c r="G53" i="37"/>
  <c r="AA53" i="37" s="1"/>
  <c r="F53" i="37"/>
  <c r="Z53" i="37" s="1"/>
  <c r="E53" i="37"/>
  <c r="Y53" i="37" s="1"/>
  <c r="D53" i="37"/>
  <c r="X53" i="37" s="1"/>
  <c r="C53" i="37"/>
  <c r="W53" i="37" s="1"/>
  <c r="B53" i="37"/>
  <c r="V53" i="37" s="1"/>
  <c r="G52" i="37"/>
  <c r="AA52" i="37" s="1"/>
  <c r="F52" i="37"/>
  <c r="Z52" i="37" s="1"/>
  <c r="E52" i="37"/>
  <c r="Y50" i="37" s="1"/>
  <c r="D52" i="37"/>
  <c r="X52" i="37" s="1"/>
  <c r="C52" i="37"/>
  <c r="W52" i="37" s="1"/>
  <c r="B52" i="37"/>
  <c r="B51" i="37" s="1"/>
  <c r="V49" i="37" s="1"/>
  <c r="G50" i="37"/>
  <c r="AA48" i="37" s="1"/>
  <c r="F50" i="37"/>
  <c r="Z48" i="37" s="1"/>
  <c r="E50" i="37"/>
  <c r="Y48" i="37" s="1"/>
  <c r="D50" i="37"/>
  <c r="X48" i="37" s="1"/>
  <c r="C50" i="37"/>
  <c r="W48" i="37" s="1"/>
  <c r="B50" i="37"/>
  <c r="V48" i="37" s="1"/>
  <c r="Q49" i="37"/>
  <c r="P49" i="37"/>
  <c r="O49" i="37"/>
  <c r="N49" i="37"/>
  <c r="M49" i="37"/>
  <c r="L49" i="37"/>
  <c r="G49" i="37"/>
  <c r="AA47" i="37" s="1"/>
  <c r="F49" i="37"/>
  <c r="Z47" i="37" s="1"/>
  <c r="E49" i="37"/>
  <c r="Y47" i="37" s="1"/>
  <c r="D49" i="37"/>
  <c r="X47" i="37" s="1"/>
  <c r="C49" i="37"/>
  <c r="W47" i="37" s="1"/>
  <c r="B49" i="37"/>
  <c r="V47" i="37" s="1"/>
  <c r="Q48" i="37"/>
  <c r="P48" i="37"/>
  <c r="O48" i="37"/>
  <c r="N48" i="37"/>
  <c r="M48" i="37"/>
  <c r="L48" i="37"/>
  <c r="G48" i="37"/>
  <c r="AA46" i="37" s="1"/>
  <c r="F48" i="37"/>
  <c r="Z46" i="37" s="1"/>
  <c r="E48" i="37"/>
  <c r="Y46" i="37" s="1"/>
  <c r="D48" i="37"/>
  <c r="X46" i="37" s="1"/>
  <c r="C48" i="37"/>
  <c r="W46" i="37" s="1"/>
  <c r="B48" i="37"/>
  <c r="V46" i="37" s="1"/>
  <c r="Q47" i="37"/>
  <c r="P47" i="37"/>
  <c r="O47" i="37"/>
  <c r="N47" i="37"/>
  <c r="M47" i="37"/>
  <c r="L47" i="37"/>
  <c r="G47" i="37"/>
  <c r="AA45" i="37" s="1"/>
  <c r="F47" i="37"/>
  <c r="Z45" i="37" s="1"/>
  <c r="E47" i="37"/>
  <c r="Y45" i="37" s="1"/>
  <c r="D47" i="37"/>
  <c r="X45" i="37" s="1"/>
  <c r="C47" i="37"/>
  <c r="W45" i="37" s="1"/>
  <c r="B47" i="37"/>
  <c r="V45" i="37" s="1"/>
  <c r="Q46" i="37"/>
  <c r="P46" i="37"/>
  <c r="O46" i="37"/>
  <c r="N46" i="37"/>
  <c r="M46" i="37"/>
  <c r="L46" i="37"/>
  <c r="G46" i="37"/>
  <c r="AA44" i="37" s="1"/>
  <c r="F46" i="37"/>
  <c r="Z44" i="37" s="1"/>
  <c r="E46" i="37"/>
  <c r="Y44" i="37" s="1"/>
  <c r="D46" i="37"/>
  <c r="X44" i="37" s="1"/>
  <c r="C46" i="37"/>
  <c r="W44" i="37" s="1"/>
  <c r="B46" i="37"/>
  <c r="V44" i="37" s="1"/>
  <c r="Q45" i="37"/>
  <c r="P45" i="37"/>
  <c r="O45" i="37"/>
  <c r="N45" i="37"/>
  <c r="M45" i="37"/>
  <c r="L45" i="37"/>
  <c r="G45" i="37"/>
  <c r="AA43" i="37" s="1"/>
  <c r="F45" i="37"/>
  <c r="Z43" i="37" s="1"/>
  <c r="E45" i="37"/>
  <c r="Y43" i="37" s="1"/>
  <c r="D45" i="37"/>
  <c r="X43" i="37" s="1"/>
  <c r="C45" i="37"/>
  <c r="W43" i="37" s="1"/>
  <c r="B45" i="37"/>
  <c r="V43" i="37" s="1"/>
  <c r="Q44" i="37"/>
  <c r="P44" i="37"/>
  <c r="O44" i="37"/>
  <c r="N44" i="37"/>
  <c r="M44" i="37"/>
  <c r="L44" i="37"/>
  <c r="G44" i="37"/>
  <c r="AA42" i="37" s="1"/>
  <c r="F44" i="37"/>
  <c r="Z42" i="37" s="1"/>
  <c r="E44" i="37"/>
  <c r="Y42" i="37" s="1"/>
  <c r="D44" i="37"/>
  <c r="X42" i="37" s="1"/>
  <c r="C44" i="37"/>
  <c r="W42" i="37" s="1"/>
  <c r="B44" i="37"/>
  <c r="Q43" i="37"/>
  <c r="P43" i="37"/>
  <c r="O43" i="37"/>
  <c r="N43" i="37"/>
  <c r="M43" i="37"/>
  <c r="L43" i="37"/>
  <c r="G43" i="37"/>
  <c r="AA41" i="37" s="1"/>
  <c r="F43" i="37"/>
  <c r="Z41" i="37" s="1"/>
  <c r="E43" i="37"/>
  <c r="Y41" i="37" s="1"/>
  <c r="D43" i="37"/>
  <c r="X41" i="37" s="1"/>
  <c r="C43" i="37"/>
  <c r="W41" i="37" s="1"/>
  <c r="B43" i="37"/>
  <c r="V41" i="37" s="1"/>
  <c r="Q42" i="37"/>
  <c r="P42" i="37"/>
  <c r="P41" i="37" s="1"/>
  <c r="O42" i="37"/>
  <c r="N42" i="37"/>
  <c r="N41" i="37" s="1"/>
  <c r="M42" i="37"/>
  <c r="L42" i="37"/>
  <c r="G42" i="37"/>
  <c r="AA40" i="37" s="1"/>
  <c r="F42" i="37"/>
  <c r="Z40" i="37" s="1"/>
  <c r="E42" i="37"/>
  <c r="Y40" i="37" s="1"/>
  <c r="D42" i="37"/>
  <c r="X40" i="37" s="1"/>
  <c r="C42" i="37"/>
  <c r="W40" i="37" s="1"/>
  <c r="B42" i="37"/>
  <c r="G41" i="37"/>
  <c r="AA39" i="37" s="1"/>
  <c r="F41" i="37"/>
  <c r="Z39" i="37" s="1"/>
  <c r="E41" i="37"/>
  <c r="Y39" i="37" s="1"/>
  <c r="D41" i="37"/>
  <c r="X39" i="37" s="1"/>
  <c r="C41" i="37"/>
  <c r="W39" i="37" s="1"/>
  <c r="B41" i="37"/>
  <c r="V39" i="37" s="1"/>
  <c r="G40" i="37"/>
  <c r="AA38" i="37" s="1"/>
  <c r="F40" i="37"/>
  <c r="Z38" i="37" s="1"/>
  <c r="E40" i="37"/>
  <c r="Y38" i="37" s="1"/>
  <c r="D40" i="37"/>
  <c r="X38" i="37" s="1"/>
  <c r="C40" i="37"/>
  <c r="W38" i="37" s="1"/>
  <c r="B40" i="37"/>
  <c r="V38" i="37" s="1"/>
  <c r="G39" i="37"/>
  <c r="AA37" i="37" s="1"/>
  <c r="F39" i="37"/>
  <c r="Z37" i="37" s="1"/>
  <c r="E39" i="37"/>
  <c r="Y37" i="37" s="1"/>
  <c r="D39" i="37"/>
  <c r="X37" i="37" s="1"/>
  <c r="C39" i="37"/>
  <c r="W37" i="37" s="1"/>
  <c r="B39" i="37"/>
  <c r="V37" i="37" s="1"/>
  <c r="G38" i="37"/>
  <c r="AA36" i="37" s="1"/>
  <c r="F38" i="37"/>
  <c r="Z36" i="37" s="1"/>
  <c r="E38" i="37"/>
  <c r="Y36" i="37" s="1"/>
  <c r="D38" i="37"/>
  <c r="X36" i="37" s="1"/>
  <c r="C38" i="37"/>
  <c r="W36" i="37" s="1"/>
  <c r="B38" i="37"/>
  <c r="V36" i="37" s="1"/>
  <c r="Q37" i="37"/>
  <c r="P37" i="37"/>
  <c r="O37" i="37"/>
  <c r="N37" i="37"/>
  <c r="M37" i="37"/>
  <c r="L37" i="37"/>
  <c r="G37" i="37"/>
  <c r="AA35" i="37" s="1"/>
  <c r="F37" i="37"/>
  <c r="Z35" i="37" s="1"/>
  <c r="E37" i="37"/>
  <c r="Y35" i="37" s="1"/>
  <c r="D37" i="37"/>
  <c r="X35" i="37" s="1"/>
  <c r="C37" i="37"/>
  <c r="W35" i="37" s="1"/>
  <c r="B37" i="37"/>
  <c r="V35" i="37" s="1"/>
  <c r="Q36" i="37"/>
  <c r="P36" i="37"/>
  <c r="O36" i="37"/>
  <c r="N36" i="37"/>
  <c r="M36" i="37"/>
  <c r="L36" i="37"/>
  <c r="G36" i="37"/>
  <c r="AA34" i="37" s="1"/>
  <c r="F36" i="37"/>
  <c r="Z34" i="37" s="1"/>
  <c r="E36" i="37"/>
  <c r="Y34" i="37" s="1"/>
  <c r="D36" i="37"/>
  <c r="X34" i="37" s="1"/>
  <c r="C36" i="37"/>
  <c r="W34" i="37" s="1"/>
  <c r="B36" i="37"/>
  <c r="V34" i="37" s="1"/>
  <c r="Q35" i="37"/>
  <c r="P35" i="37"/>
  <c r="O35" i="37"/>
  <c r="N35" i="37"/>
  <c r="M35" i="37"/>
  <c r="L35" i="37"/>
  <c r="G35" i="37"/>
  <c r="AA33" i="37" s="1"/>
  <c r="F35" i="37"/>
  <c r="Z33" i="37" s="1"/>
  <c r="E35" i="37"/>
  <c r="Y33" i="37" s="1"/>
  <c r="D35" i="37"/>
  <c r="X33" i="37" s="1"/>
  <c r="C35" i="37"/>
  <c r="W33" i="37" s="1"/>
  <c r="B35" i="37"/>
  <c r="V33" i="37" s="1"/>
  <c r="Q34" i="37"/>
  <c r="P34" i="37"/>
  <c r="O34" i="37"/>
  <c r="N34" i="37"/>
  <c r="M34" i="37"/>
  <c r="L34" i="37"/>
  <c r="G34" i="37"/>
  <c r="AA32" i="37" s="1"/>
  <c r="F34" i="37"/>
  <c r="Z32" i="37" s="1"/>
  <c r="E34" i="37"/>
  <c r="Y32" i="37" s="1"/>
  <c r="D34" i="37"/>
  <c r="X32" i="37" s="1"/>
  <c r="C34" i="37"/>
  <c r="W32" i="37" s="1"/>
  <c r="B34" i="37"/>
  <c r="V32" i="37" s="1"/>
  <c r="Q33" i="37"/>
  <c r="P33" i="37"/>
  <c r="O33" i="37"/>
  <c r="N33" i="37"/>
  <c r="M33" i="37"/>
  <c r="L33" i="37"/>
  <c r="G33" i="37"/>
  <c r="AA31" i="37" s="1"/>
  <c r="F33" i="37"/>
  <c r="Z31" i="37" s="1"/>
  <c r="E33" i="37"/>
  <c r="Y31" i="37" s="1"/>
  <c r="D33" i="37"/>
  <c r="X31" i="37" s="1"/>
  <c r="C33" i="37"/>
  <c r="W31" i="37" s="1"/>
  <c r="B33" i="37"/>
  <c r="V31" i="37" s="1"/>
  <c r="Q32" i="37"/>
  <c r="P32" i="37"/>
  <c r="O32" i="37"/>
  <c r="N32" i="37"/>
  <c r="M32" i="37"/>
  <c r="L32" i="37"/>
  <c r="G32" i="37"/>
  <c r="AA30" i="37" s="1"/>
  <c r="F32" i="37"/>
  <c r="Z30" i="37" s="1"/>
  <c r="E32" i="37"/>
  <c r="Y30" i="37" s="1"/>
  <c r="D32" i="37"/>
  <c r="X30" i="37" s="1"/>
  <c r="C32" i="37"/>
  <c r="W30" i="37" s="1"/>
  <c r="B32" i="37"/>
  <c r="V30" i="37" s="1"/>
  <c r="Q31" i="37"/>
  <c r="P31" i="37"/>
  <c r="O31" i="37"/>
  <c r="N31" i="37"/>
  <c r="M31" i="37"/>
  <c r="L31" i="37"/>
  <c r="G31" i="37"/>
  <c r="AA29" i="37" s="1"/>
  <c r="F31" i="37"/>
  <c r="Z29" i="37" s="1"/>
  <c r="E31" i="37"/>
  <c r="Y29" i="37" s="1"/>
  <c r="D31" i="37"/>
  <c r="X29" i="37" s="1"/>
  <c r="C31" i="37"/>
  <c r="W29" i="37" s="1"/>
  <c r="B31" i="37"/>
  <c r="V29" i="37" s="1"/>
  <c r="Q30" i="37"/>
  <c r="P30" i="37"/>
  <c r="O30" i="37"/>
  <c r="N30" i="37"/>
  <c r="M30" i="37"/>
  <c r="L30" i="37"/>
  <c r="G30" i="37"/>
  <c r="AA28" i="37" s="1"/>
  <c r="F30" i="37"/>
  <c r="Z28" i="37" s="1"/>
  <c r="E30" i="37"/>
  <c r="Y28" i="37" s="1"/>
  <c r="D30" i="37"/>
  <c r="X28" i="37" s="1"/>
  <c r="C30" i="37"/>
  <c r="W28" i="37" s="1"/>
  <c r="B30" i="37"/>
  <c r="V28" i="37" s="1"/>
  <c r="Q29" i="37"/>
  <c r="Q28" i="37" s="1"/>
  <c r="P29" i="37"/>
  <c r="O29" i="37"/>
  <c r="N29" i="37"/>
  <c r="M29" i="37"/>
  <c r="M28" i="37" s="1"/>
  <c r="L29" i="37"/>
  <c r="G29" i="37"/>
  <c r="AA27" i="37" s="1"/>
  <c r="F29" i="37"/>
  <c r="Z27" i="37" s="1"/>
  <c r="E29" i="37"/>
  <c r="Y27" i="37" s="1"/>
  <c r="D29" i="37"/>
  <c r="X27" i="37" s="1"/>
  <c r="C29" i="37"/>
  <c r="W27" i="37" s="1"/>
  <c r="B29" i="37"/>
  <c r="V27" i="37" s="1"/>
  <c r="G28" i="37"/>
  <c r="AA26" i="37" s="1"/>
  <c r="F28" i="37"/>
  <c r="Z26" i="37" s="1"/>
  <c r="E28" i="37"/>
  <c r="Y26" i="37" s="1"/>
  <c r="D28" i="37"/>
  <c r="X26" i="37" s="1"/>
  <c r="C28" i="37"/>
  <c r="W26" i="37" s="1"/>
  <c r="B28" i="37"/>
  <c r="V26" i="37" s="1"/>
  <c r="G27" i="37"/>
  <c r="AA25" i="37" s="1"/>
  <c r="F27" i="37"/>
  <c r="Z25" i="37" s="1"/>
  <c r="E27" i="37"/>
  <c r="Y25" i="37" s="1"/>
  <c r="D27" i="37"/>
  <c r="X25" i="37" s="1"/>
  <c r="C27" i="37"/>
  <c r="W25" i="37" s="1"/>
  <c r="B27" i="37"/>
  <c r="V25" i="37" s="1"/>
  <c r="G26" i="37"/>
  <c r="AA24" i="37" s="1"/>
  <c r="F26" i="37"/>
  <c r="Z24" i="37" s="1"/>
  <c r="E26" i="37"/>
  <c r="Y24" i="37" s="1"/>
  <c r="D26" i="37"/>
  <c r="X24" i="37" s="1"/>
  <c r="C26" i="37"/>
  <c r="W24" i="37" s="1"/>
  <c r="B26" i="37"/>
  <c r="V24" i="37" s="1"/>
  <c r="G25" i="37"/>
  <c r="AA23" i="37" s="1"/>
  <c r="F25" i="37"/>
  <c r="Z23" i="37" s="1"/>
  <c r="E25" i="37"/>
  <c r="Y23" i="37" s="1"/>
  <c r="D25" i="37"/>
  <c r="X23" i="37" s="1"/>
  <c r="C25" i="37"/>
  <c r="W23" i="37" s="1"/>
  <c r="B25" i="37"/>
  <c r="V23" i="37" s="1"/>
  <c r="G24" i="37"/>
  <c r="AA22" i="37" s="1"/>
  <c r="F24" i="37"/>
  <c r="Z22" i="37" s="1"/>
  <c r="E24" i="37"/>
  <c r="Y22" i="37" s="1"/>
  <c r="D24" i="37"/>
  <c r="X22" i="37" s="1"/>
  <c r="C24" i="37"/>
  <c r="W22" i="37" s="1"/>
  <c r="B24" i="37"/>
  <c r="V22" i="37" s="1"/>
  <c r="Q23" i="37"/>
  <c r="P23" i="37"/>
  <c r="O23" i="37"/>
  <c r="N23" i="37"/>
  <c r="M23" i="37"/>
  <c r="L23" i="37"/>
  <c r="G23" i="37"/>
  <c r="AA21" i="37" s="1"/>
  <c r="F23" i="37"/>
  <c r="Z21" i="37" s="1"/>
  <c r="E23" i="37"/>
  <c r="Y21" i="37" s="1"/>
  <c r="D23" i="37"/>
  <c r="X21" i="37" s="1"/>
  <c r="C23" i="37"/>
  <c r="W21" i="37" s="1"/>
  <c r="B23" i="37"/>
  <c r="V21" i="37" s="1"/>
  <c r="Q22" i="37"/>
  <c r="P22" i="37"/>
  <c r="O22" i="37"/>
  <c r="N22" i="37"/>
  <c r="M22" i="37"/>
  <c r="L22" i="37"/>
  <c r="G22" i="37"/>
  <c r="AA20" i="37" s="1"/>
  <c r="F22" i="37"/>
  <c r="Z20" i="37" s="1"/>
  <c r="E22" i="37"/>
  <c r="Y20" i="37" s="1"/>
  <c r="D22" i="37"/>
  <c r="X20" i="37" s="1"/>
  <c r="C22" i="37"/>
  <c r="W20" i="37" s="1"/>
  <c r="B22" i="37"/>
  <c r="V20" i="37" s="1"/>
  <c r="Q21" i="37"/>
  <c r="P21" i="37"/>
  <c r="O21" i="37"/>
  <c r="N21" i="37"/>
  <c r="M21" i="37"/>
  <c r="L21" i="37"/>
  <c r="G21" i="37"/>
  <c r="AA19" i="37" s="1"/>
  <c r="F21" i="37"/>
  <c r="Z19" i="37" s="1"/>
  <c r="E21" i="37"/>
  <c r="Y19" i="37" s="1"/>
  <c r="D21" i="37"/>
  <c r="X19" i="37" s="1"/>
  <c r="C21" i="37"/>
  <c r="W19" i="37" s="1"/>
  <c r="B21" i="37"/>
  <c r="V19" i="37" s="1"/>
  <c r="Q20" i="37"/>
  <c r="P20" i="37"/>
  <c r="O20" i="37"/>
  <c r="N20" i="37"/>
  <c r="M20" i="37"/>
  <c r="L20" i="37"/>
  <c r="G20" i="37"/>
  <c r="AA18" i="37" s="1"/>
  <c r="F20" i="37"/>
  <c r="Z18" i="37" s="1"/>
  <c r="E20" i="37"/>
  <c r="Y18" i="37" s="1"/>
  <c r="D20" i="37"/>
  <c r="X18" i="37" s="1"/>
  <c r="C20" i="37"/>
  <c r="W18" i="37" s="1"/>
  <c r="B20" i="37"/>
  <c r="V18" i="37" s="1"/>
  <c r="Q19" i="37"/>
  <c r="P19" i="37"/>
  <c r="O19" i="37"/>
  <c r="N19" i="37"/>
  <c r="M19" i="37"/>
  <c r="L19" i="37"/>
  <c r="G19" i="37"/>
  <c r="AA17" i="37" s="1"/>
  <c r="F19" i="37"/>
  <c r="Z17" i="37" s="1"/>
  <c r="E19" i="37"/>
  <c r="Y17" i="37" s="1"/>
  <c r="D19" i="37"/>
  <c r="X17" i="37" s="1"/>
  <c r="C19" i="37"/>
  <c r="W17" i="37" s="1"/>
  <c r="B19" i="37"/>
  <c r="V17" i="37" s="1"/>
  <c r="Q18" i="37"/>
  <c r="P18" i="37"/>
  <c r="O18" i="37"/>
  <c r="N18" i="37"/>
  <c r="M18" i="37"/>
  <c r="L18" i="37"/>
  <c r="G18" i="37"/>
  <c r="AA16" i="37" s="1"/>
  <c r="F18" i="37"/>
  <c r="Z16" i="37" s="1"/>
  <c r="E18" i="37"/>
  <c r="Y16" i="37" s="1"/>
  <c r="D18" i="37"/>
  <c r="X16" i="37" s="1"/>
  <c r="C18" i="37"/>
  <c r="W16" i="37" s="1"/>
  <c r="B18" i="37"/>
  <c r="V16" i="37" s="1"/>
  <c r="Q17" i="37"/>
  <c r="P17" i="37"/>
  <c r="O17" i="37"/>
  <c r="N17" i="37"/>
  <c r="M17" i="37"/>
  <c r="L17" i="37"/>
  <c r="G17" i="37"/>
  <c r="AA15" i="37" s="1"/>
  <c r="F17" i="37"/>
  <c r="Z15" i="37" s="1"/>
  <c r="E17" i="37"/>
  <c r="Y15" i="37" s="1"/>
  <c r="D17" i="37"/>
  <c r="X15" i="37" s="1"/>
  <c r="C17" i="37"/>
  <c r="W15" i="37" s="1"/>
  <c r="B17" i="37"/>
  <c r="V15" i="37" s="1"/>
  <c r="Q16" i="37"/>
  <c r="P16" i="37"/>
  <c r="O16" i="37"/>
  <c r="N16" i="37"/>
  <c r="M16" i="37"/>
  <c r="L16" i="37"/>
  <c r="G16" i="37"/>
  <c r="AA14" i="37" s="1"/>
  <c r="F16" i="37"/>
  <c r="Z14" i="37" s="1"/>
  <c r="E16" i="37"/>
  <c r="Y14" i="37" s="1"/>
  <c r="D16" i="37"/>
  <c r="X14" i="37" s="1"/>
  <c r="C16" i="37"/>
  <c r="W14" i="37" s="1"/>
  <c r="B16" i="37"/>
  <c r="V14" i="37" s="1"/>
  <c r="Q15" i="37"/>
  <c r="P15" i="37"/>
  <c r="O15" i="37"/>
  <c r="N15" i="37"/>
  <c r="M15" i="37"/>
  <c r="L15" i="37"/>
  <c r="G15" i="37"/>
  <c r="AA13" i="37" s="1"/>
  <c r="F15" i="37"/>
  <c r="Z13" i="37" s="1"/>
  <c r="E15" i="37"/>
  <c r="Y13" i="37" s="1"/>
  <c r="D15" i="37"/>
  <c r="X13" i="37" s="1"/>
  <c r="C15" i="37"/>
  <c r="W13" i="37" s="1"/>
  <c r="B15" i="37"/>
  <c r="V13" i="37" s="1"/>
  <c r="Q14" i="37"/>
  <c r="P14" i="37"/>
  <c r="O14" i="37"/>
  <c r="N14" i="37"/>
  <c r="M14" i="37"/>
  <c r="L14" i="37"/>
  <c r="G14" i="37"/>
  <c r="AA12" i="37" s="1"/>
  <c r="F14" i="37"/>
  <c r="Z12" i="37" s="1"/>
  <c r="E14" i="37"/>
  <c r="Y12" i="37" s="1"/>
  <c r="D14" i="37"/>
  <c r="X12" i="37" s="1"/>
  <c r="C14" i="37"/>
  <c r="W12" i="37" s="1"/>
  <c r="B14" i="37"/>
  <c r="V12" i="37" s="1"/>
  <c r="Q13" i="37"/>
  <c r="P13" i="37"/>
  <c r="O13" i="37"/>
  <c r="N13" i="37"/>
  <c r="M13" i="37"/>
  <c r="L13" i="37"/>
  <c r="G13" i="37"/>
  <c r="AA11" i="37" s="1"/>
  <c r="F13" i="37"/>
  <c r="Z11" i="37" s="1"/>
  <c r="E13" i="37"/>
  <c r="Y11" i="37" s="1"/>
  <c r="D13" i="37"/>
  <c r="X11" i="37" s="1"/>
  <c r="C13" i="37"/>
  <c r="W11" i="37" s="1"/>
  <c r="B13" i="37"/>
  <c r="V11" i="37" s="1"/>
  <c r="Q12" i="37"/>
  <c r="P12" i="37"/>
  <c r="O12" i="37"/>
  <c r="O11" i="37" s="1"/>
  <c r="N12" i="37"/>
  <c r="M12" i="37"/>
  <c r="L12" i="37"/>
  <c r="K41" i="24"/>
  <c r="K28" i="24"/>
  <c r="K11" i="24"/>
  <c r="B95" i="24"/>
  <c r="B82" i="24"/>
  <c r="B69" i="24"/>
  <c r="B51" i="24"/>
  <c r="B12" i="24"/>
  <c r="C11" i="22"/>
  <c r="H11" i="22" s="1"/>
  <c r="D11" i="22"/>
  <c r="E11" i="22"/>
  <c r="F11" i="22"/>
  <c r="G11" i="22"/>
  <c r="B11" i="22"/>
  <c r="K41" i="23"/>
  <c r="K28" i="23"/>
  <c r="K11" i="23"/>
  <c r="B95" i="23"/>
  <c r="B82" i="23"/>
  <c r="B69" i="23"/>
  <c r="B11" i="23" s="1"/>
  <c r="B51" i="23"/>
  <c r="B12" i="23"/>
  <c r="C82" i="23"/>
  <c r="D82" i="23"/>
  <c r="E82" i="23"/>
  <c r="F82" i="23"/>
  <c r="G82" i="23"/>
  <c r="H148" i="23"/>
  <c r="H149" i="23"/>
  <c r="H150" i="23"/>
  <c r="H151" i="23"/>
  <c r="H152" i="23"/>
  <c r="H100" i="23"/>
  <c r="H101" i="23"/>
  <c r="H102" i="23"/>
  <c r="H103" i="23"/>
  <c r="H104" i="23"/>
  <c r="H105" i="23"/>
  <c r="Q21" i="23"/>
  <c r="Q21" i="22"/>
  <c r="H148" i="22"/>
  <c r="H149" i="22"/>
  <c r="H150" i="22"/>
  <c r="H151" i="22"/>
  <c r="H152" i="22"/>
  <c r="H153" i="22"/>
  <c r="H100" i="22"/>
  <c r="H101" i="22"/>
  <c r="H102" i="22"/>
  <c r="H103" i="22"/>
  <c r="H104" i="22"/>
  <c r="H105" i="22"/>
  <c r="H106" i="22"/>
  <c r="H23" i="22"/>
  <c r="AB93" i="37" l="1"/>
  <c r="AB79" i="37"/>
  <c r="AB81" i="37"/>
  <c r="AB86" i="37"/>
  <c r="AB88" i="37"/>
  <c r="AB90" i="37"/>
  <c r="H143" i="37"/>
  <c r="H131" i="37"/>
  <c r="AB84" i="37"/>
  <c r="AB92" i="37"/>
  <c r="B69" i="37"/>
  <c r="W50" i="37"/>
  <c r="AB25" i="37"/>
  <c r="AB122" i="37"/>
  <c r="AB124" i="37"/>
  <c r="AB126" i="37"/>
  <c r="AB128" i="37"/>
  <c r="AB130" i="37"/>
  <c r="AB132" i="37"/>
  <c r="AB134" i="37"/>
  <c r="AB136" i="37"/>
  <c r="AB138" i="37"/>
  <c r="AB140" i="37"/>
  <c r="AB142" i="37"/>
  <c r="AA109" i="37"/>
  <c r="AB109" i="37" s="1"/>
  <c r="X112" i="37"/>
  <c r="V112" i="37"/>
  <c r="X110" i="37"/>
  <c r="V110" i="37"/>
  <c r="V121" i="37"/>
  <c r="AB121" i="37" s="1"/>
  <c r="X116" i="37"/>
  <c r="Z120" i="37"/>
  <c r="Z118" i="37"/>
  <c r="D95" i="37"/>
  <c r="AB97" i="37"/>
  <c r="AB99" i="37"/>
  <c r="AB101" i="37"/>
  <c r="H103" i="37"/>
  <c r="AB105" i="37"/>
  <c r="H107" i="37"/>
  <c r="AB94" i="37"/>
  <c r="AB87" i="37"/>
  <c r="AB89" i="37"/>
  <c r="AB91" i="37"/>
  <c r="W95" i="37"/>
  <c r="G69" i="37"/>
  <c r="AB71" i="37"/>
  <c r="AB73" i="37"/>
  <c r="AB75" i="37"/>
  <c r="AB77" i="37"/>
  <c r="AB80" i="37"/>
  <c r="V52" i="37"/>
  <c r="H66" i="37"/>
  <c r="H68" i="37"/>
  <c r="X50" i="37"/>
  <c r="AB27" i="37"/>
  <c r="AB28" i="37"/>
  <c r="AB29" i="37"/>
  <c r="AB30" i="37"/>
  <c r="AB31" i="37"/>
  <c r="AB32" i="37"/>
  <c r="AB33" i="37"/>
  <c r="AB34" i="37"/>
  <c r="AB35" i="37"/>
  <c r="AB36" i="37"/>
  <c r="AB38" i="37"/>
  <c r="H42" i="37"/>
  <c r="H43" i="37"/>
  <c r="H44" i="37"/>
  <c r="H45" i="37"/>
  <c r="Q41" i="37"/>
  <c r="Q11" i="37"/>
  <c r="L11" i="37"/>
  <c r="AB133" i="37"/>
  <c r="AB145" i="37"/>
  <c r="AB155" i="37"/>
  <c r="AB144" i="37"/>
  <c r="AB146" i="37"/>
  <c r="AB148" i="37"/>
  <c r="AB150" i="37"/>
  <c r="AB152" i="37"/>
  <c r="AB154" i="37"/>
  <c r="AB153" i="37"/>
  <c r="AB141" i="37"/>
  <c r="AB129" i="37"/>
  <c r="AB151" i="37"/>
  <c r="AB139" i="37"/>
  <c r="AB127" i="37"/>
  <c r="AB111" i="37"/>
  <c r="AB113" i="37"/>
  <c r="AB149" i="37"/>
  <c r="AB137" i="37"/>
  <c r="AB125" i="37"/>
  <c r="AB147" i="37"/>
  <c r="AB135" i="37"/>
  <c r="AB123" i="37"/>
  <c r="V116" i="37"/>
  <c r="W112" i="37"/>
  <c r="W110" i="37"/>
  <c r="W116" i="37"/>
  <c r="AA120" i="37"/>
  <c r="AA118" i="37"/>
  <c r="H154" i="37"/>
  <c r="AA114" i="37"/>
  <c r="Y116" i="37"/>
  <c r="Y120" i="37"/>
  <c r="Y118" i="37"/>
  <c r="Z114" i="37"/>
  <c r="Z116" i="37"/>
  <c r="X120" i="37"/>
  <c r="X118" i="37"/>
  <c r="Y114" i="37"/>
  <c r="W154" i="37"/>
  <c r="W120" i="37"/>
  <c r="W118" i="37"/>
  <c r="X114" i="37"/>
  <c r="V120" i="37"/>
  <c r="V118" i="37"/>
  <c r="W114" i="37"/>
  <c r="AA119" i="37"/>
  <c r="AA117" i="37"/>
  <c r="H145" i="37"/>
  <c r="H147" i="37"/>
  <c r="H149" i="37"/>
  <c r="H153" i="37"/>
  <c r="Z143" i="37"/>
  <c r="AB143" i="37" s="1"/>
  <c r="Z131" i="37"/>
  <c r="AB131" i="37" s="1"/>
  <c r="Z119" i="37"/>
  <c r="Z117" i="37"/>
  <c r="H127" i="37"/>
  <c r="Y119" i="37"/>
  <c r="Y117" i="37"/>
  <c r="W127" i="37"/>
  <c r="F95" i="37"/>
  <c r="H110" i="37"/>
  <c r="H112" i="37"/>
  <c r="AB98" i="37"/>
  <c r="AB100" i="37"/>
  <c r="AB102" i="37"/>
  <c r="AB104" i="37"/>
  <c r="AB106" i="37"/>
  <c r="H102" i="37"/>
  <c r="V107" i="37"/>
  <c r="AB107" i="37" s="1"/>
  <c r="V103" i="37"/>
  <c r="AB103" i="37" s="1"/>
  <c r="X96" i="37"/>
  <c r="Z96" i="37"/>
  <c r="H104" i="37"/>
  <c r="W104" i="37"/>
  <c r="W102" i="37"/>
  <c r="H96" i="37"/>
  <c r="V83" i="37"/>
  <c r="V85" i="37"/>
  <c r="AB85" i="37" s="1"/>
  <c r="X83" i="37"/>
  <c r="Z83" i="37"/>
  <c r="C82" i="37"/>
  <c r="AB78" i="37"/>
  <c r="AB76" i="37"/>
  <c r="AB74" i="37"/>
  <c r="AB72" i="37"/>
  <c r="X70" i="37"/>
  <c r="AB70" i="37" s="1"/>
  <c r="AA70" i="37"/>
  <c r="H72" i="37"/>
  <c r="H74" i="37"/>
  <c r="AB54" i="37"/>
  <c r="AB56" i="37"/>
  <c r="AB58" i="37"/>
  <c r="AB60" i="37"/>
  <c r="AB66" i="37"/>
  <c r="AB68" i="37"/>
  <c r="AB53" i="37"/>
  <c r="AB55" i="37"/>
  <c r="AB57" i="37"/>
  <c r="AB59" i="37"/>
  <c r="AB61" i="37"/>
  <c r="AB63" i="37"/>
  <c r="AB65" i="37"/>
  <c r="AB67" i="37"/>
  <c r="V50" i="37"/>
  <c r="Y52" i="37"/>
  <c r="F51" i="37"/>
  <c r="Z49" i="37" s="1"/>
  <c r="G51" i="37"/>
  <c r="AA49" i="37" s="1"/>
  <c r="AA50" i="37"/>
  <c r="Z50" i="37"/>
  <c r="W68" i="37"/>
  <c r="W66" i="37"/>
  <c r="V64" i="37"/>
  <c r="AB64" i="37" s="1"/>
  <c r="V62" i="37"/>
  <c r="AB62" i="37" s="1"/>
  <c r="AB39" i="37"/>
  <c r="AB23" i="37"/>
  <c r="AB45" i="37"/>
  <c r="AB37" i="37"/>
  <c r="AB44" i="37"/>
  <c r="AB46" i="37"/>
  <c r="AB48" i="37"/>
  <c r="AB43" i="37"/>
  <c r="AB12" i="37"/>
  <c r="AB13" i="37"/>
  <c r="AB14" i="37"/>
  <c r="AB15" i="37"/>
  <c r="AB16" i="37"/>
  <c r="AB17" i="37"/>
  <c r="AB18" i="37"/>
  <c r="AB19" i="37"/>
  <c r="AB20" i="37"/>
  <c r="AB21" i="37"/>
  <c r="AB22" i="37"/>
  <c r="AB24" i="37"/>
  <c r="AB26" i="37"/>
  <c r="AB47" i="37"/>
  <c r="AB11" i="37"/>
  <c r="W51" i="37"/>
  <c r="AB41" i="37"/>
  <c r="V42" i="37"/>
  <c r="AB42" i="37" s="1"/>
  <c r="V40" i="37"/>
  <c r="AB40" i="37" s="1"/>
  <c r="H24" i="37"/>
  <c r="H26" i="37"/>
  <c r="H18" i="37"/>
  <c r="M11" i="37"/>
  <c r="H76" i="37"/>
  <c r="H80" i="37"/>
  <c r="H87" i="37"/>
  <c r="H98" i="37"/>
  <c r="H100" i="37"/>
  <c r="H109" i="37"/>
  <c r="H111" i="37"/>
  <c r="H113" i="37"/>
  <c r="H142" i="37"/>
  <c r="H13" i="37"/>
  <c r="H15" i="37"/>
  <c r="H16" i="37"/>
  <c r="H28" i="37"/>
  <c r="H70" i="37"/>
  <c r="H106" i="37"/>
  <c r="H116" i="37"/>
  <c r="R31" i="37"/>
  <c r="R37" i="37"/>
  <c r="H14" i="37"/>
  <c r="R42" i="37"/>
  <c r="R43" i="37"/>
  <c r="H41" i="37"/>
  <c r="R45" i="37"/>
  <c r="R47" i="37"/>
  <c r="L51" i="37" s="1"/>
  <c r="R48" i="37"/>
  <c r="M51" i="37" s="1"/>
  <c r="H54" i="37"/>
  <c r="O28" i="37"/>
  <c r="C51" i="37"/>
  <c r="W49" i="37" s="1"/>
  <c r="H56" i="37"/>
  <c r="H58" i="37"/>
  <c r="H60" i="37"/>
  <c r="H79" i="37"/>
  <c r="H114" i="37"/>
  <c r="H117" i="37"/>
  <c r="H121" i="37"/>
  <c r="H123" i="37"/>
  <c r="H125" i="37"/>
  <c r="H129" i="37"/>
  <c r="H133" i="37"/>
  <c r="H135" i="37"/>
  <c r="H137" i="37"/>
  <c r="H141" i="37"/>
  <c r="H155" i="37"/>
  <c r="R17" i="37"/>
  <c r="R23" i="37"/>
  <c r="R46" i="37"/>
  <c r="H151" i="37"/>
  <c r="H27" i="37"/>
  <c r="E51" i="37"/>
  <c r="Y49" i="37" s="1"/>
  <c r="H29" i="37"/>
  <c r="H30" i="37"/>
  <c r="H31" i="37"/>
  <c r="H32" i="37"/>
  <c r="F69" i="37"/>
  <c r="H119" i="37"/>
  <c r="R12" i="37"/>
  <c r="D12" i="37"/>
  <c r="P28" i="37"/>
  <c r="M41" i="37"/>
  <c r="R49" i="37"/>
  <c r="N51" i="37" s="1"/>
  <c r="H81" i="37"/>
  <c r="R18" i="37"/>
  <c r="H39" i="37"/>
  <c r="H78" i="37"/>
  <c r="G82" i="37"/>
  <c r="E95" i="37"/>
  <c r="H17" i="37"/>
  <c r="F12" i="37"/>
  <c r="H33" i="37"/>
  <c r="H34" i="37"/>
  <c r="H35" i="37"/>
  <c r="H36" i="37"/>
  <c r="H37" i="37"/>
  <c r="O41" i="37"/>
  <c r="H89" i="37"/>
  <c r="H139" i="37"/>
  <c r="C12" i="37"/>
  <c r="H19" i="37"/>
  <c r="H20" i="37"/>
  <c r="H21" i="37"/>
  <c r="H22" i="37"/>
  <c r="H23" i="37"/>
  <c r="H38" i="37"/>
  <c r="H40" i="37"/>
  <c r="L41" i="37"/>
  <c r="H91" i="37"/>
  <c r="H105" i="37"/>
  <c r="D51" i="37"/>
  <c r="X49" i="37" s="1"/>
  <c r="E69" i="37"/>
  <c r="E12" i="37"/>
  <c r="E82" i="37"/>
  <c r="C95" i="37"/>
  <c r="H46" i="37"/>
  <c r="H48" i="37"/>
  <c r="H50" i="37"/>
  <c r="H93" i="37"/>
  <c r="H122" i="37"/>
  <c r="H124" i="37"/>
  <c r="H126" i="37"/>
  <c r="G12" i="37"/>
  <c r="R29" i="37"/>
  <c r="R30" i="37"/>
  <c r="H71" i="37"/>
  <c r="H73" i="37"/>
  <c r="H75" i="37"/>
  <c r="H77" i="37"/>
  <c r="H118" i="37"/>
  <c r="H120" i="37"/>
  <c r="H128" i="37"/>
  <c r="H134" i="37"/>
  <c r="H136" i="37"/>
  <c r="H138" i="37"/>
  <c r="R13" i="37"/>
  <c r="R14" i="37"/>
  <c r="R15" i="37"/>
  <c r="R16" i="37"/>
  <c r="L28" i="37"/>
  <c r="R35" i="37"/>
  <c r="R36" i="37"/>
  <c r="H47" i="37"/>
  <c r="H49" i="37"/>
  <c r="H52" i="37"/>
  <c r="H84" i="37"/>
  <c r="H86" i="37"/>
  <c r="H88" i="37"/>
  <c r="H130" i="37"/>
  <c r="H132" i="37"/>
  <c r="H140" i="37"/>
  <c r="R20" i="37"/>
  <c r="R21" i="37"/>
  <c r="R22" i="37"/>
  <c r="R33" i="37"/>
  <c r="H53" i="37"/>
  <c r="H90" i="37"/>
  <c r="H92" i="37"/>
  <c r="H94" i="37"/>
  <c r="G95" i="37"/>
  <c r="H146" i="37"/>
  <c r="H148" i="37"/>
  <c r="N11" i="37"/>
  <c r="R19" i="37"/>
  <c r="N28" i="37"/>
  <c r="H55" i="37"/>
  <c r="H57" i="37"/>
  <c r="H59" i="37"/>
  <c r="H61" i="37"/>
  <c r="H63" i="37"/>
  <c r="H65" i="37"/>
  <c r="H67" i="37"/>
  <c r="C69" i="37"/>
  <c r="H97" i="37"/>
  <c r="H99" i="37"/>
  <c r="H101" i="37"/>
  <c r="H144" i="37"/>
  <c r="H150" i="37"/>
  <c r="H152" i="37"/>
  <c r="P11" i="37"/>
  <c r="B82" i="37"/>
  <c r="B12" i="37"/>
  <c r="H25" i="37"/>
  <c r="R32" i="37"/>
  <c r="R44" i="37"/>
  <c r="B95" i="37"/>
  <c r="R34" i="37"/>
  <c r="B11" i="24"/>
  <c r="H82" i="23"/>
  <c r="L18" i="36"/>
  <c r="L19" i="36"/>
  <c r="L20" i="36"/>
  <c r="L21" i="36"/>
  <c r="L23" i="36"/>
  <c r="L24" i="36"/>
  <c r="L17" i="36"/>
  <c r="J24" i="36"/>
  <c r="I24" i="36"/>
  <c r="H24" i="36"/>
  <c r="G24" i="36"/>
  <c r="J23" i="36"/>
  <c r="I23" i="36"/>
  <c r="H23" i="36"/>
  <c r="G23" i="36"/>
  <c r="J22" i="36"/>
  <c r="I22" i="36"/>
  <c r="H22" i="36"/>
  <c r="G22" i="36"/>
  <c r="I21" i="36"/>
  <c r="H21" i="36"/>
  <c r="G21" i="36"/>
  <c r="I20" i="36"/>
  <c r="H20" i="36"/>
  <c r="G20" i="36"/>
  <c r="I19" i="36"/>
  <c r="H19" i="36"/>
  <c r="G19" i="36"/>
  <c r="I18" i="36"/>
  <c r="H18" i="36"/>
  <c r="G18" i="36"/>
  <c r="I17" i="36"/>
  <c r="H17" i="36"/>
  <c r="G17" i="36"/>
  <c r="B12" i="35"/>
  <c r="B11" i="35"/>
  <c r="B10" i="35"/>
  <c r="B103" i="26"/>
  <c r="C103" i="26"/>
  <c r="D103" i="26"/>
  <c r="E103" i="26"/>
  <c r="F103" i="26"/>
  <c r="G103" i="26"/>
  <c r="B104" i="26"/>
  <c r="C104" i="26"/>
  <c r="D104" i="26"/>
  <c r="E104" i="26"/>
  <c r="F104" i="26"/>
  <c r="G104" i="26"/>
  <c r="B105" i="26"/>
  <c r="C105" i="26"/>
  <c r="D105" i="26"/>
  <c r="E105" i="26"/>
  <c r="F105" i="26"/>
  <c r="G105" i="26"/>
  <c r="B152" i="26"/>
  <c r="C152" i="26"/>
  <c r="D152" i="26"/>
  <c r="E152" i="26"/>
  <c r="F152" i="26"/>
  <c r="G152" i="26"/>
  <c r="K21" i="26"/>
  <c r="L21" i="26"/>
  <c r="M21" i="26"/>
  <c r="N21" i="26"/>
  <c r="O21" i="26"/>
  <c r="P21" i="26"/>
  <c r="AB117" i="37" l="1"/>
  <c r="AB110" i="37"/>
  <c r="AB112" i="37"/>
  <c r="R11" i="37"/>
  <c r="R60" i="37" s="1"/>
  <c r="AB114" i="37"/>
  <c r="AB96" i="37"/>
  <c r="AB108" i="37" s="1"/>
  <c r="W108" i="37"/>
  <c r="H69" i="37"/>
  <c r="R57" i="37" s="1"/>
  <c r="W69" i="37"/>
  <c r="H51" i="37"/>
  <c r="R56" i="37" s="1"/>
  <c r="AB52" i="37"/>
  <c r="AB69" i="37" s="1"/>
  <c r="AB50" i="37"/>
  <c r="R41" i="37"/>
  <c r="R62" i="37" s="1"/>
  <c r="W115" i="37"/>
  <c r="AB119" i="37"/>
  <c r="AB115" i="37"/>
  <c r="AB82" i="37"/>
  <c r="AB49" i="37"/>
  <c r="O51" i="37"/>
  <c r="AB116" i="37"/>
  <c r="AB118" i="37"/>
  <c r="AB120" i="37"/>
  <c r="W156" i="37"/>
  <c r="AB83" i="37"/>
  <c r="AB95" i="37" s="1"/>
  <c r="E11" i="37"/>
  <c r="AB51" i="37"/>
  <c r="R28" i="37"/>
  <c r="R61" i="37" s="1"/>
  <c r="D11" i="37"/>
  <c r="F11" i="37"/>
  <c r="C11" i="37"/>
  <c r="G11" i="37"/>
  <c r="H95" i="37"/>
  <c r="R59" i="37" s="1"/>
  <c r="H82" i="37"/>
  <c r="R58" i="37" s="1"/>
  <c r="H12" i="37"/>
  <c r="R55" i="37" s="1"/>
  <c r="B11" i="37"/>
  <c r="H103" i="26"/>
  <c r="H104" i="26"/>
  <c r="H152" i="26"/>
  <c r="Q21" i="26"/>
  <c r="C82" i="27"/>
  <c r="D82" i="27"/>
  <c r="E82" i="27"/>
  <c r="F82" i="27"/>
  <c r="G82" i="27"/>
  <c r="B82" i="27"/>
  <c r="C95" i="27"/>
  <c r="D95" i="27"/>
  <c r="E95" i="27"/>
  <c r="F95" i="27"/>
  <c r="G95" i="27"/>
  <c r="B95" i="27"/>
  <c r="H104" i="27"/>
  <c r="H103" i="27"/>
  <c r="H103" i="25"/>
  <c r="H100" i="24"/>
  <c r="H101" i="24"/>
  <c r="H102" i="24"/>
  <c r="H103" i="24"/>
  <c r="H105" i="24"/>
  <c r="H23" i="27"/>
  <c r="H24" i="27"/>
  <c r="H25" i="27"/>
  <c r="H26" i="27"/>
  <c r="H27" i="27"/>
  <c r="H28" i="27"/>
  <c r="H29" i="27"/>
  <c r="H30" i="27"/>
  <c r="H31" i="27"/>
  <c r="H32" i="27"/>
  <c r="H93" i="27"/>
  <c r="H98" i="27"/>
  <c r="H99" i="27"/>
  <c r="H100" i="27"/>
  <c r="H101" i="27"/>
  <c r="H102" i="27"/>
  <c r="H105" i="27"/>
  <c r="H145" i="27"/>
  <c r="H146" i="27"/>
  <c r="H147" i="27"/>
  <c r="H148" i="27"/>
  <c r="C95" i="24"/>
  <c r="D95" i="24"/>
  <c r="E95" i="24"/>
  <c r="F95" i="24"/>
  <c r="G95" i="24"/>
  <c r="C95" i="25"/>
  <c r="D95" i="25"/>
  <c r="E95" i="25"/>
  <c r="F95" i="25"/>
  <c r="G95" i="25"/>
  <c r="C82" i="25"/>
  <c r="D82" i="25"/>
  <c r="E82" i="25"/>
  <c r="F82" i="25"/>
  <c r="G82" i="25"/>
  <c r="B82" i="25"/>
  <c r="C82" i="24"/>
  <c r="D82" i="24"/>
  <c r="E82" i="24"/>
  <c r="F82" i="24"/>
  <c r="G82" i="24"/>
  <c r="H93" i="25"/>
  <c r="H32" i="25"/>
  <c r="B23" i="26"/>
  <c r="C23" i="26"/>
  <c r="D23" i="26"/>
  <c r="E23" i="26"/>
  <c r="F23" i="26"/>
  <c r="G23" i="26"/>
  <c r="H23" i="23"/>
  <c r="H23" i="25"/>
  <c r="B100" i="26"/>
  <c r="C100" i="26"/>
  <c r="D100" i="26"/>
  <c r="E100" i="26"/>
  <c r="F100" i="26"/>
  <c r="G100" i="26"/>
  <c r="B101" i="26"/>
  <c r="C101" i="26"/>
  <c r="D101" i="26"/>
  <c r="E101" i="26"/>
  <c r="F101" i="26"/>
  <c r="G101" i="26"/>
  <c r="B102" i="26"/>
  <c r="C102" i="26"/>
  <c r="D102" i="26"/>
  <c r="E102" i="26"/>
  <c r="F102" i="26"/>
  <c r="G102" i="26"/>
  <c r="G148" i="26"/>
  <c r="F148" i="26"/>
  <c r="E148" i="26"/>
  <c r="D148" i="26"/>
  <c r="C148" i="26"/>
  <c r="B148" i="26"/>
  <c r="H148" i="25"/>
  <c r="H155" i="25"/>
  <c r="H154" i="25"/>
  <c r="H154" i="27"/>
  <c r="H155" i="27"/>
  <c r="H100" i="25"/>
  <c r="H101" i="25"/>
  <c r="H102" i="25"/>
  <c r="H105" i="25"/>
  <c r="H146" i="25"/>
  <c r="H99" i="25"/>
  <c r="H154" i="24"/>
  <c r="H155" i="24"/>
  <c r="H93" i="24"/>
  <c r="H146" i="24"/>
  <c r="Q36" i="27"/>
  <c r="Q36" i="25"/>
  <c r="Q36" i="24"/>
  <c r="H99" i="24"/>
  <c r="H32" i="24"/>
  <c r="H106" i="23"/>
  <c r="H99" i="23"/>
  <c r="H32" i="23"/>
  <c r="L41" i="23"/>
  <c r="M41" i="23"/>
  <c r="N41" i="23"/>
  <c r="O41" i="23"/>
  <c r="P41" i="23"/>
  <c r="Q48" i="23"/>
  <c r="Q49" i="23"/>
  <c r="Q47" i="23"/>
  <c r="C95" i="23"/>
  <c r="D95" i="23"/>
  <c r="E95" i="23"/>
  <c r="F95" i="23"/>
  <c r="G95" i="23"/>
  <c r="B95" i="22"/>
  <c r="Q35" i="23"/>
  <c r="Q36" i="23"/>
  <c r="H93" i="23"/>
  <c r="H119" i="23"/>
  <c r="H146" i="23"/>
  <c r="H137" i="23"/>
  <c r="H138" i="23"/>
  <c r="H155" i="23"/>
  <c r="H154" i="23"/>
  <c r="H32" i="22"/>
  <c r="C82" i="22"/>
  <c r="D82" i="22"/>
  <c r="E82" i="22"/>
  <c r="F82" i="22"/>
  <c r="G82" i="22"/>
  <c r="B82" i="22"/>
  <c r="H93" i="22"/>
  <c r="B93" i="26"/>
  <c r="C93" i="26"/>
  <c r="D93" i="26"/>
  <c r="E93" i="26"/>
  <c r="F93" i="26"/>
  <c r="G93" i="26"/>
  <c r="C95" i="22"/>
  <c r="D95" i="22"/>
  <c r="E95" i="22"/>
  <c r="F95" i="22"/>
  <c r="G95" i="22"/>
  <c r="H154" i="22"/>
  <c r="H155" i="22"/>
  <c r="H146" i="22"/>
  <c r="H138" i="22"/>
  <c r="H119" i="22"/>
  <c r="H99" i="22"/>
  <c r="K36" i="26"/>
  <c r="L36" i="26"/>
  <c r="M36" i="26"/>
  <c r="N36" i="26"/>
  <c r="O36" i="26"/>
  <c r="P36" i="26"/>
  <c r="Q36" i="22"/>
  <c r="L41" i="22"/>
  <c r="M41" i="22"/>
  <c r="N41" i="22"/>
  <c r="O41" i="22"/>
  <c r="P41" i="22"/>
  <c r="K41" i="22"/>
  <c r="Q47" i="22"/>
  <c r="Q48" i="22"/>
  <c r="Q49" i="22"/>
  <c r="K43" i="26"/>
  <c r="L43" i="26"/>
  <c r="M43" i="26"/>
  <c r="N43" i="26"/>
  <c r="O43" i="26"/>
  <c r="P43" i="26"/>
  <c r="K44" i="26"/>
  <c r="L44" i="26"/>
  <c r="M44" i="26"/>
  <c r="N44" i="26"/>
  <c r="O44" i="26"/>
  <c r="P44" i="26"/>
  <c r="K45" i="26"/>
  <c r="L45" i="26"/>
  <c r="M45" i="26"/>
  <c r="N45" i="26"/>
  <c r="O45" i="26"/>
  <c r="P45" i="26"/>
  <c r="K46" i="26"/>
  <c r="L46" i="26"/>
  <c r="M46" i="26"/>
  <c r="N46" i="26"/>
  <c r="O46" i="26"/>
  <c r="P46" i="26"/>
  <c r="K47" i="26"/>
  <c r="L47" i="26"/>
  <c r="M47" i="26"/>
  <c r="N47" i="26"/>
  <c r="O47" i="26"/>
  <c r="P47" i="26"/>
  <c r="K48" i="26"/>
  <c r="L48" i="26"/>
  <c r="M48" i="26"/>
  <c r="N48" i="26"/>
  <c r="O48" i="26"/>
  <c r="P48" i="26"/>
  <c r="K49" i="26"/>
  <c r="L49" i="26"/>
  <c r="M49" i="26"/>
  <c r="N49" i="26"/>
  <c r="O49" i="26"/>
  <c r="P49" i="26"/>
  <c r="L42" i="26"/>
  <c r="M42" i="26"/>
  <c r="N42" i="26"/>
  <c r="O42" i="26"/>
  <c r="P42" i="26"/>
  <c r="K42" i="26"/>
  <c r="K30" i="26"/>
  <c r="L30" i="26"/>
  <c r="M30" i="26"/>
  <c r="N30" i="26"/>
  <c r="O30" i="26"/>
  <c r="P30" i="26"/>
  <c r="K31" i="26"/>
  <c r="L31" i="26"/>
  <c r="M31" i="26"/>
  <c r="N31" i="26"/>
  <c r="O31" i="26"/>
  <c r="P31" i="26"/>
  <c r="K32" i="26"/>
  <c r="L32" i="26"/>
  <c r="M32" i="26"/>
  <c r="N32" i="26"/>
  <c r="O32" i="26"/>
  <c r="P32" i="26"/>
  <c r="K33" i="26"/>
  <c r="L33" i="26"/>
  <c r="M33" i="26"/>
  <c r="N33" i="26"/>
  <c r="O33" i="26"/>
  <c r="P33" i="26"/>
  <c r="K34" i="26"/>
  <c r="L34" i="26"/>
  <c r="M34" i="26"/>
  <c r="N34" i="26"/>
  <c r="O34" i="26"/>
  <c r="P34" i="26"/>
  <c r="K35" i="26"/>
  <c r="L35" i="26"/>
  <c r="M35" i="26"/>
  <c r="N35" i="26"/>
  <c r="O35" i="26"/>
  <c r="P35" i="26"/>
  <c r="K37" i="26"/>
  <c r="L37" i="26"/>
  <c r="M37" i="26"/>
  <c r="N37" i="26"/>
  <c r="O37" i="26"/>
  <c r="P37" i="26"/>
  <c r="L29" i="26"/>
  <c r="M29" i="26"/>
  <c r="N29" i="26"/>
  <c r="O29" i="26"/>
  <c r="P29" i="26"/>
  <c r="K29" i="26"/>
  <c r="K13" i="26"/>
  <c r="L13" i="26"/>
  <c r="M13" i="26"/>
  <c r="N13" i="26"/>
  <c r="O13" i="26"/>
  <c r="P13" i="26"/>
  <c r="K14" i="26"/>
  <c r="L14" i="26"/>
  <c r="M14" i="26"/>
  <c r="N14" i="26"/>
  <c r="O14" i="26"/>
  <c r="P14" i="26"/>
  <c r="K15" i="26"/>
  <c r="L15" i="26"/>
  <c r="M15" i="26"/>
  <c r="N15" i="26"/>
  <c r="O15" i="26"/>
  <c r="P15" i="26"/>
  <c r="K16" i="26"/>
  <c r="L16" i="26"/>
  <c r="M16" i="26"/>
  <c r="N16" i="26"/>
  <c r="O16" i="26"/>
  <c r="P16" i="26"/>
  <c r="K17" i="26"/>
  <c r="L17" i="26"/>
  <c r="M17" i="26"/>
  <c r="N17" i="26"/>
  <c r="O17" i="26"/>
  <c r="P17" i="26"/>
  <c r="K18" i="26"/>
  <c r="L18" i="26"/>
  <c r="M18" i="26"/>
  <c r="N18" i="26"/>
  <c r="O18" i="26"/>
  <c r="P18" i="26"/>
  <c r="K19" i="26"/>
  <c r="L19" i="26"/>
  <c r="M19" i="26"/>
  <c r="N19" i="26"/>
  <c r="O19" i="26"/>
  <c r="P19" i="26"/>
  <c r="K20" i="26"/>
  <c r="L20" i="26"/>
  <c r="M20" i="26"/>
  <c r="N20" i="26"/>
  <c r="O20" i="26"/>
  <c r="P20" i="26"/>
  <c r="K22" i="26"/>
  <c r="L22" i="26"/>
  <c r="M22" i="26"/>
  <c r="N22" i="26"/>
  <c r="O22" i="26"/>
  <c r="P22" i="26"/>
  <c r="K23" i="26"/>
  <c r="L23" i="26"/>
  <c r="M23" i="26"/>
  <c r="N23" i="26"/>
  <c r="O23" i="26"/>
  <c r="P23" i="26"/>
  <c r="L12" i="26"/>
  <c r="M12" i="26"/>
  <c r="N12" i="26"/>
  <c r="O12" i="26"/>
  <c r="P12" i="26"/>
  <c r="K12" i="26"/>
  <c r="B117" i="26"/>
  <c r="C117" i="26"/>
  <c r="D117" i="26"/>
  <c r="E117" i="26"/>
  <c r="F117" i="26"/>
  <c r="G117" i="26"/>
  <c r="B118" i="26"/>
  <c r="C118" i="26"/>
  <c r="D118" i="26"/>
  <c r="E118" i="26"/>
  <c r="F118" i="26"/>
  <c r="G118" i="26"/>
  <c r="B119" i="26"/>
  <c r="C119" i="26"/>
  <c r="D119" i="26"/>
  <c r="E119" i="26"/>
  <c r="F119" i="26"/>
  <c r="G119" i="26"/>
  <c r="B120" i="26"/>
  <c r="C120" i="26"/>
  <c r="D120" i="26"/>
  <c r="E120" i="26"/>
  <c r="F120" i="26"/>
  <c r="G120" i="26"/>
  <c r="B121" i="26"/>
  <c r="C121" i="26"/>
  <c r="D121" i="26"/>
  <c r="E121" i="26"/>
  <c r="F121" i="26"/>
  <c r="G121" i="26"/>
  <c r="B122" i="26"/>
  <c r="C122" i="26"/>
  <c r="D122" i="26"/>
  <c r="E122" i="26"/>
  <c r="F122" i="26"/>
  <c r="G122" i="26"/>
  <c r="B123" i="26"/>
  <c r="C123" i="26"/>
  <c r="D123" i="26"/>
  <c r="E123" i="26"/>
  <c r="F123" i="26"/>
  <c r="G123" i="26"/>
  <c r="B124" i="26"/>
  <c r="C124" i="26"/>
  <c r="D124" i="26"/>
  <c r="E124" i="26"/>
  <c r="F124" i="26"/>
  <c r="G124" i="26"/>
  <c r="B125" i="26"/>
  <c r="C125" i="26"/>
  <c r="D125" i="26"/>
  <c r="E125" i="26"/>
  <c r="F125" i="26"/>
  <c r="G125" i="26"/>
  <c r="B126" i="26"/>
  <c r="C126" i="26"/>
  <c r="D126" i="26"/>
  <c r="E126" i="26"/>
  <c r="F126" i="26"/>
  <c r="G126" i="26"/>
  <c r="B127" i="26"/>
  <c r="C127" i="26"/>
  <c r="D127" i="26"/>
  <c r="E127" i="26"/>
  <c r="F127" i="26"/>
  <c r="G127" i="26"/>
  <c r="B128" i="26"/>
  <c r="C128" i="26"/>
  <c r="D128" i="26"/>
  <c r="E128" i="26"/>
  <c r="F128" i="26"/>
  <c r="G128" i="26"/>
  <c r="B129" i="26"/>
  <c r="C129" i="26"/>
  <c r="D129" i="26"/>
  <c r="E129" i="26"/>
  <c r="F129" i="26"/>
  <c r="G129" i="26"/>
  <c r="B130" i="26"/>
  <c r="C130" i="26"/>
  <c r="D130" i="26"/>
  <c r="E130" i="26"/>
  <c r="F130" i="26"/>
  <c r="G130" i="26"/>
  <c r="B131" i="26"/>
  <c r="C131" i="26"/>
  <c r="D131" i="26"/>
  <c r="E131" i="26"/>
  <c r="F131" i="26"/>
  <c r="G131" i="26"/>
  <c r="B132" i="26"/>
  <c r="C132" i="26"/>
  <c r="D132" i="26"/>
  <c r="E132" i="26"/>
  <c r="F132" i="26"/>
  <c r="G132" i="26"/>
  <c r="B133" i="26"/>
  <c r="C133" i="26"/>
  <c r="D133" i="26"/>
  <c r="E133" i="26"/>
  <c r="F133" i="26"/>
  <c r="G133" i="26"/>
  <c r="B134" i="26"/>
  <c r="C134" i="26"/>
  <c r="D134" i="26"/>
  <c r="E134" i="26"/>
  <c r="F134" i="26"/>
  <c r="G134" i="26"/>
  <c r="B135" i="26"/>
  <c r="C135" i="26"/>
  <c r="D135" i="26"/>
  <c r="E135" i="26"/>
  <c r="F135" i="26"/>
  <c r="G135" i="26"/>
  <c r="B136" i="26"/>
  <c r="C136" i="26"/>
  <c r="D136" i="26"/>
  <c r="E136" i="26"/>
  <c r="F136" i="26"/>
  <c r="G136" i="26"/>
  <c r="B137" i="26"/>
  <c r="C137" i="26"/>
  <c r="D137" i="26"/>
  <c r="E137" i="26"/>
  <c r="F137" i="26"/>
  <c r="G137" i="26"/>
  <c r="B138" i="26"/>
  <c r="C138" i="26"/>
  <c r="D138" i="26"/>
  <c r="E138" i="26"/>
  <c r="F138" i="26"/>
  <c r="G138" i="26"/>
  <c r="B139" i="26"/>
  <c r="C139" i="26"/>
  <c r="D139" i="26"/>
  <c r="E139" i="26"/>
  <c r="F139" i="26"/>
  <c r="G139" i="26"/>
  <c r="B140" i="26"/>
  <c r="C140" i="26"/>
  <c r="D140" i="26"/>
  <c r="E140" i="26"/>
  <c r="F140" i="26"/>
  <c r="G140" i="26"/>
  <c r="B141" i="26"/>
  <c r="C141" i="26"/>
  <c r="D141" i="26"/>
  <c r="E141" i="26"/>
  <c r="F141" i="26"/>
  <c r="G141" i="26"/>
  <c r="B142" i="26"/>
  <c r="C142" i="26"/>
  <c r="D142" i="26"/>
  <c r="E142" i="26"/>
  <c r="F142" i="26"/>
  <c r="G142" i="26"/>
  <c r="B143" i="26"/>
  <c r="C143" i="26"/>
  <c r="D143" i="26"/>
  <c r="E143" i="26"/>
  <c r="F143" i="26"/>
  <c r="G143" i="26"/>
  <c r="B144" i="26"/>
  <c r="C144" i="26"/>
  <c r="D144" i="26"/>
  <c r="E144" i="26"/>
  <c r="F144" i="26"/>
  <c r="G144" i="26"/>
  <c r="B145" i="26"/>
  <c r="C145" i="26"/>
  <c r="D145" i="26"/>
  <c r="E145" i="26"/>
  <c r="F145" i="26"/>
  <c r="G145" i="26"/>
  <c r="B146" i="26"/>
  <c r="C146" i="26"/>
  <c r="D146" i="26"/>
  <c r="E146" i="26"/>
  <c r="F146" i="26"/>
  <c r="G146" i="26"/>
  <c r="B147" i="26"/>
  <c r="C147" i="26"/>
  <c r="D147" i="26"/>
  <c r="E147" i="26"/>
  <c r="F147" i="26"/>
  <c r="G147" i="26"/>
  <c r="B149" i="26"/>
  <c r="C149" i="26"/>
  <c r="D149" i="26"/>
  <c r="E149" i="26"/>
  <c r="F149" i="26"/>
  <c r="G149" i="26"/>
  <c r="B150" i="26"/>
  <c r="C150" i="26"/>
  <c r="D150" i="26"/>
  <c r="E150" i="26"/>
  <c r="F150" i="26"/>
  <c r="G150" i="26"/>
  <c r="B151" i="26"/>
  <c r="C151" i="26"/>
  <c r="D151" i="26"/>
  <c r="E151" i="26"/>
  <c r="F151" i="26"/>
  <c r="G151" i="26"/>
  <c r="B153" i="26"/>
  <c r="C153" i="26"/>
  <c r="D153" i="26"/>
  <c r="E153" i="26"/>
  <c r="F153" i="26"/>
  <c r="G153" i="26"/>
  <c r="B154" i="26"/>
  <c r="C154" i="26"/>
  <c r="D154" i="26"/>
  <c r="E154" i="26"/>
  <c r="F154" i="26"/>
  <c r="G154" i="26"/>
  <c r="B155" i="26"/>
  <c r="C155" i="26"/>
  <c r="D155" i="26"/>
  <c r="E155" i="26"/>
  <c r="F155" i="26"/>
  <c r="G155" i="26"/>
  <c r="C116" i="26"/>
  <c r="D116" i="26"/>
  <c r="E116" i="26"/>
  <c r="F116" i="26"/>
  <c r="G116" i="26"/>
  <c r="B116" i="26"/>
  <c r="S11" i="37" l="1"/>
  <c r="AB156" i="37"/>
  <c r="H11" i="37"/>
  <c r="R63" i="37"/>
  <c r="H23" i="26"/>
  <c r="H100" i="26"/>
  <c r="H105" i="26"/>
  <c r="H101" i="26"/>
  <c r="H102" i="26"/>
  <c r="H148" i="26"/>
  <c r="H93" i="26"/>
  <c r="N11" i="26"/>
  <c r="Q36" i="26"/>
  <c r="P41" i="26"/>
  <c r="O28" i="26"/>
  <c r="O11" i="26"/>
  <c r="O41" i="26"/>
  <c r="N41" i="26"/>
  <c r="L28" i="26"/>
  <c r="P11" i="26"/>
  <c r="M41" i="26"/>
  <c r="L41" i="26"/>
  <c r="P28" i="26"/>
  <c r="N28" i="26"/>
  <c r="M28" i="26"/>
  <c r="L11" i="26"/>
  <c r="M11" i="26"/>
  <c r="B110" i="26"/>
  <c r="C110" i="26"/>
  <c r="D110" i="26"/>
  <c r="E110" i="26"/>
  <c r="F110" i="26"/>
  <c r="G110" i="26"/>
  <c r="B111" i="26"/>
  <c r="C111" i="26"/>
  <c r="D111" i="26"/>
  <c r="E111" i="26"/>
  <c r="F111" i="26"/>
  <c r="G111" i="26"/>
  <c r="B112" i="26"/>
  <c r="C112" i="26"/>
  <c r="D112" i="26"/>
  <c r="E112" i="26"/>
  <c r="F112" i="26"/>
  <c r="G112" i="26"/>
  <c r="B113" i="26"/>
  <c r="C113" i="26"/>
  <c r="D113" i="26"/>
  <c r="E113" i="26"/>
  <c r="F113" i="26"/>
  <c r="G113" i="26"/>
  <c r="B114" i="26"/>
  <c r="C114" i="26"/>
  <c r="D114" i="26"/>
  <c r="E114" i="26"/>
  <c r="F114" i="26"/>
  <c r="G114" i="26"/>
  <c r="C109" i="26"/>
  <c r="D109" i="26"/>
  <c r="E109" i="26"/>
  <c r="F109" i="26"/>
  <c r="G109" i="26"/>
  <c r="B109" i="26"/>
  <c r="B97" i="26"/>
  <c r="C97" i="26"/>
  <c r="D97" i="26"/>
  <c r="E97" i="26"/>
  <c r="F97" i="26"/>
  <c r="G97" i="26"/>
  <c r="B98" i="26"/>
  <c r="C98" i="26"/>
  <c r="D98" i="26"/>
  <c r="E98" i="26"/>
  <c r="F98" i="26"/>
  <c r="G98" i="26"/>
  <c r="B99" i="26"/>
  <c r="C99" i="26"/>
  <c r="D99" i="26"/>
  <c r="E99" i="26"/>
  <c r="F99" i="26"/>
  <c r="G99" i="26"/>
  <c r="B106" i="26"/>
  <c r="C106" i="26"/>
  <c r="D106" i="26"/>
  <c r="E106" i="26"/>
  <c r="F106" i="26"/>
  <c r="G106" i="26"/>
  <c r="B107" i="26"/>
  <c r="C107" i="26"/>
  <c r="D107" i="26"/>
  <c r="E107" i="26"/>
  <c r="F107" i="26"/>
  <c r="G107" i="26"/>
  <c r="C96" i="26"/>
  <c r="D96" i="26"/>
  <c r="E96" i="26"/>
  <c r="F96" i="26"/>
  <c r="G96" i="26"/>
  <c r="B96" i="26"/>
  <c r="B84" i="26"/>
  <c r="C84" i="26"/>
  <c r="D84" i="26"/>
  <c r="E84" i="26"/>
  <c r="F84" i="26"/>
  <c r="G84" i="26"/>
  <c r="B85" i="26"/>
  <c r="C85" i="26"/>
  <c r="D85" i="26"/>
  <c r="E85" i="26"/>
  <c r="F85" i="26"/>
  <c r="G85" i="26"/>
  <c r="B86" i="26"/>
  <c r="C86" i="26"/>
  <c r="D86" i="26"/>
  <c r="E86" i="26"/>
  <c r="F86" i="26"/>
  <c r="G86" i="26"/>
  <c r="B87" i="26"/>
  <c r="C87" i="26"/>
  <c r="D87" i="26"/>
  <c r="E87" i="26"/>
  <c r="F87" i="26"/>
  <c r="G87" i="26"/>
  <c r="B88" i="26"/>
  <c r="C88" i="26"/>
  <c r="D88" i="26"/>
  <c r="E88" i="26"/>
  <c r="F88" i="26"/>
  <c r="G88" i="26"/>
  <c r="B89" i="26"/>
  <c r="C89" i="26"/>
  <c r="D89" i="26"/>
  <c r="E89" i="26"/>
  <c r="F89" i="26"/>
  <c r="G89" i="26"/>
  <c r="B90" i="26"/>
  <c r="C90" i="26"/>
  <c r="D90" i="26"/>
  <c r="E90" i="26"/>
  <c r="F90" i="26"/>
  <c r="G90" i="26"/>
  <c r="B91" i="26"/>
  <c r="C91" i="26"/>
  <c r="D91" i="26"/>
  <c r="E91" i="26"/>
  <c r="F91" i="26"/>
  <c r="G91" i="26"/>
  <c r="B92" i="26"/>
  <c r="C92" i="26"/>
  <c r="D92" i="26"/>
  <c r="E92" i="26"/>
  <c r="F92" i="26"/>
  <c r="G92" i="26"/>
  <c r="B94" i="26"/>
  <c r="C94" i="26"/>
  <c r="D94" i="26"/>
  <c r="E94" i="26"/>
  <c r="F94" i="26"/>
  <c r="G94" i="26"/>
  <c r="C83" i="26"/>
  <c r="D83" i="26"/>
  <c r="E83" i="26"/>
  <c r="F83" i="26"/>
  <c r="G83" i="26"/>
  <c r="B83" i="26"/>
  <c r="B71" i="26"/>
  <c r="C71" i="26"/>
  <c r="D71" i="26"/>
  <c r="E71" i="26"/>
  <c r="F71" i="26"/>
  <c r="G71" i="26"/>
  <c r="B72" i="26"/>
  <c r="C72" i="26"/>
  <c r="D72" i="26"/>
  <c r="E72" i="26"/>
  <c r="F72" i="26"/>
  <c r="G72" i="26"/>
  <c r="B73" i="26"/>
  <c r="C73" i="26"/>
  <c r="D73" i="26"/>
  <c r="E73" i="26"/>
  <c r="F73" i="26"/>
  <c r="G73" i="26"/>
  <c r="B74" i="26"/>
  <c r="C74" i="26"/>
  <c r="D74" i="26"/>
  <c r="E74" i="26"/>
  <c r="F74" i="26"/>
  <c r="G74" i="26"/>
  <c r="B75" i="26"/>
  <c r="C75" i="26"/>
  <c r="D75" i="26"/>
  <c r="E75" i="26"/>
  <c r="F75" i="26"/>
  <c r="G75" i="26"/>
  <c r="B76" i="26"/>
  <c r="C76" i="26"/>
  <c r="D76" i="26"/>
  <c r="E76" i="26"/>
  <c r="F76" i="26"/>
  <c r="G76" i="26"/>
  <c r="B77" i="26"/>
  <c r="C77" i="26"/>
  <c r="D77" i="26"/>
  <c r="E77" i="26"/>
  <c r="F77" i="26"/>
  <c r="G77" i="26"/>
  <c r="B78" i="26"/>
  <c r="C78" i="26"/>
  <c r="D78" i="26"/>
  <c r="E78" i="26"/>
  <c r="F78" i="26"/>
  <c r="G78" i="26"/>
  <c r="B79" i="26"/>
  <c r="C79" i="26"/>
  <c r="D79" i="26"/>
  <c r="E79" i="26"/>
  <c r="F79" i="26"/>
  <c r="G79" i="26"/>
  <c r="B80" i="26"/>
  <c r="C80" i="26"/>
  <c r="D80" i="26"/>
  <c r="E80" i="26"/>
  <c r="F80" i="26"/>
  <c r="G80" i="26"/>
  <c r="B81" i="26"/>
  <c r="C81" i="26"/>
  <c r="D81" i="26"/>
  <c r="E81" i="26"/>
  <c r="F81" i="26"/>
  <c r="G81" i="26"/>
  <c r="C70" i="26"/>
  <c r="D70" i="26"/>
  <c r="E70" i="26"/>
  <c r="F70" i="26"/>
  <c r="G70" i="26"/>
  <c r="B70" i="26"/>
  <c r="B53" i="26"/>
  <c r="C53" i="26"/>
  <c r="D53" i="26"/>
  <c r="E53" i="26"/>
  <c r="F53" i="26"/>
  <c r="G53" i="26"/>
  <c r="B54" i="26"/>
  <c r="C54" i="26"/>
  <c r="D54" i="26"/>
  <c r="E54" i="26"/>
  <c r="F54" i="26"/>
  <c r="G54" i="26"/>
  <c r="B55" i="26"/>
  <c r="C55" i="26"/>
  <c r="D55" i="26"/>
  <c r="E55" i="26"/>
  <c r="F55" i="26"/>
  <c r="G55" i="26"/>
  <c r="B56" i="26"/>
  <c r="C56" i="26"/>
  <c r="D56" i="26"/>
  <c r="E56" i="26"/>
  <c r="F56" i="26"/>
  <c r="G56" i="26"/>
  <c r="B57" i="26"/>
  <c r="C57" i="26"/>
  <c r="D57" i="26"/>
  <c r="E57" i="26"/>
  <c r="F57" i="26"/>
  <c r="G57" i="26"/>
  <c r="B58" i="26"/>
  <c r="C58" i="26"/>
  <c r="D58" i="26"/>
  <c r="E58" i="26"/>
  <c r="F58" i="26"/>
  <c r="G58" i="26"/>
  <c r="B59" i="26"/>
  <c r="C59" i="26"/>
  <c r="D59" i="26"/>
  <c r="E59" i="26"/>
  <c r="F59" i="26"/>
  <c r="G59" i="26"/>
  <c r="B60" i="26"/>
  <c r="C60" i="26"/>
  <c r="D60" i="26"/>
  <c r="E60" i="26"/>
  <c r="F60" i="26"/>
  <c r="G60" i="26"/>
  <c r="B61" i="26"/>
  <c r="C61" i="26"/>
  <c r="D61" i="26"/>
  <c r="E61" i="26"/>
  <c r="F61" i="26"/>
  <c r="G61" i="26"/>
  <c r="B62" i="26"/>
  <c r="C62" i="26"/>
  <c r="D62" i="26"/>
  <c r="E62" i="26"/>
  <c r="F62" i="26"/>
  <c r="G62" i="26"/>
  <c r="B63" i="26"/>
  <c r="C63" i="26"/>
  <c r="D63" i="26"/>
  <c r="E63" i="26"/>
  <c r="F63" i="26"/>
  <c r="G63" i="26"/>
  <c r="B64" i="26"/>
  <c r="C64" i="26"/>
  <c r="D64" i="26"/>
  <c r="E64" i="26"/>
  <c r="F64" i="26"/>
  <c r="G64" i="26"/>
  <c r="B65" i="26"/>
  <c r="C65" i="26"/>
  <c r="D65" i="26"/>
  <c r="E65" i="26"/>
  <c r="F65" i="26"/>
  <c r="G65" i="26"/>
  <c r="B66" i="26"/>
  <c r="C66" i="26"/>
  <c r="D66" i="26"/>
  <c r="E66" i="26"/>
  <c r="F66" i="26"/>
  <c r="G66" i="26"/>
  <c r="B67" i="26"/>
  <c r="C67" i="26"/>
  <c r="D67" i="26"/>
  <c r="E67" i="26"/>
  <c r="F67" i="26"/>
  <c r="G67" i="26"/>
  <c r="B68" i="26"/>
  <c r="C68" i="26"/>
  <c r="D68" i="26"/>
  <c r="E68" i="26"/>
  <c r="F68" i="26"/>
  <c r="G68" i="26"/>
  <c r="C52" i="26"/>
  <c r="D52" i="26"/>
  <c r="E52" i="26"/>
  <c r="F52" i="26"/>
  <c r="G52" i="26"/>
  <c r="B52" i="26"/>
  <c r="B50" i="26"/>
  <c r="C50" i="26"/>
  <c r="D50" i="26"/>
  <c r="E50" i="26"/>
  <c r="F50" i="26"/>
  <c r="G50" i="26"/>
  <c r="B14" i="26"/>
  <c r="C14" i="26"/>
  <c r="D14" i="26"/>
  <c r="E14" i="26"/>
  <c r="F14" i="26"/>
  <c r="G14" i="26"/>
  <c r="B15" i="26"/>
  <c r="C15" i="26"/>
  <c r="D15" i="26"/>
  <c r="E15" i="26"/>
  <c r="F15" i="26"/>
  <c r="G15" i="26"/>
  <c r="B16" i="26"/>
  <c r="C16" i="26"/>
  <c r="D16" i="26"/>
  <c r="E16" i="26"/>
  <c r="F16" i="26"/>
  <c r="G16" i="26"/>
  <c r="B17" i="26"/>
  <c r="C17" i="26"/>
  <c r="D17" i="26"/>
  <c r="E17" i="26"/>
  <c r="F17" i="26"/>
  <c r="G17" i="26"/>
  <c r="B18" i="26"/>
  <c r="C18" i="26"/>
  <c r="D18" i="26"/>
  <c r="E18" i="26"/>
  <c r="F18" i="26"/>
  <c r="G18" i="26"/>
  <c r="B19" i="26"/>
  <c r="C19" i="26"/>
  <c r="D19" i="26"/>
  <c r="E19" i="26"/>
  <c r="F19" i="26"/>
  <c r="G19" i="26"/>
  <c r="B20" i="26"/>
  <c r="C20" i="26"/>
  <c r="D20" i="26"/>
  <c r="E20" i="26"/>
  <c r="F20" i="26"/>
  <c r="G20" i="26"/>
  <c r="B21" i="26"/>
  <c r="C21" i="26"/>
  <c r="D21" i="26"/>
  <c r="E21" i="26"/>
  <c r="F21" i="26"/>
  <c r="G21" i="26"/>
  <c r="B22" i="26"/>
  <c r="C22" i="26"/>
  <c r="D22" i="26"/>
  <c r="E22" i="26"/>
  <c r="F22" i="26"/>
  <c r="G22" i="26"/>
  <c r="B24" i="26"/>
  <c r="C24" i="26"/>
  <c r="D24" i="26"/>
  <c r="E24" i="26"/>
  <c r="F24" i="26"/>
  <c r="G24" i="26"/>
  <c r="B25" i="26"/>
  <c r="C25" i="26"/>
  <c r="D25" i="26"/>
  <c r="E25" i="26"/>
  <c r="F25" i="26"/>
  <c r="G25" i="26"/>
  <c r="B26" i="26"/>
  <c r="C26" i="26"/>
  <c r="D26" i="26"/>
  <c r="E26" i="26"/>
  <c r="F26" i="26"/>
  <c r="G26" i="26"/>
  <c r="B27" i="26"/>
  <c r="C27" i="26"/>
  <c r="D27" i="26"/>
  <c r="E27" i="26"/>
  <c r="F27" i="26"/>
  <c r="G27" i="26"/>
  <c r="B28" i="26"/>
  <c r="C28" i="26"/>
  <c r="D28" i="26"/>
  <c r="E28" i="26"/>
  <c r="F28" i="26"/>
  <c r="G28" i="26"/>
  <c r="B29" i="26"/>
  <c r="C29" i="26"/>
  <c r="D29" i="26"/>
  <c r="E29" i="26"/>
  <c r="F29" i="26"/>
  <c r="G29" i="26"/>
  <c r="B30" i="26"/>
  <c r="C30" i="26"/>
  <c r="D30" i="26"/>
  <c r="E30" i="26"/>
  <c r="F30" i="26"/>
  <c r="G30" i="26"/>
  <c r="B31" i="26"/>
  <c r="C31" i="26"/>
  <c r="D31" i="26"/>
  <c r="E31" i="26"/>
  <c r="F31" i="26"/>
  <c r="G31" i="26"/>
  <c r="B32" i="26"/>
  <c r="C32" i="26"/>
  <c r="D32" i="26"/>
  <c r="E32" i="26"/>
  <c r="F32" i="26"/>
  <c r="G32" i="26"/>
  <c r="B33" i="26"/>
  <c r="C33" i="26"/>
  <c r="D33" i="26"/>
  <c r="E33" i="26"/>
  <c r="F33" i="26"/>
  <c r="G33" i="26"/>
  <c r="B34" i="26"/>
  <c r="C34" i="26"/>
  <c r="D34" i="26"/>
  <c r="E34" i="26"/>
  <c r="F34" i="26"/>
  <c r="G34" i="26"/>
  <c r="B35" i="26"/>
  <c r="C35" i="26"/>
  <c r="D35" i="26"/>
  <c r="E35" i="26"/>
  <c r="F35" i="26"/>
  <c r="G35" i="26"/>
  <c r="B36" i="26"/>
  <c r="C36" i="26"/>
  <c r="D36" i="26"/>
  <c r="E36" i="26"/>
  <c r="F36" i="26"/>
  <c r="G36" i="26"/>
  <c r="B37" i="26"/>
  <c r="C37" i="26"/>
  <c r="D37" i="26"/>
  <c r="E37" i="26"/>
  <c r="F37" i="26"/>
  <c r="G37" i="26"/>
  <c r="B38" i="26"/>
  <c r="C38" i="26"/>
  <c r="D38" i="26"/>
  <c r="E38" i="26"/>
  <c r="F38" i="26"/>
  <c r="G38" i="26"/>
  <c r="B39" i="26"/>
  <c r="C39" i="26"/>
  <c r="D39" i="26"/>
  <c r="E39" i="26"/>
  <c r="F39" i="26"/>
  <c r="G39" i="26"/>
  <c r="B40" i="26"/>
  <c r="C40" i="26"/>
  <c r="D40" i="26"/>
  <c r="E40" i="26"/>
  <c r="F40" i="26"/>
  <c r="G40" i="26"/>
  <c r="B41" i="26"/>
  <c r="C41" i="26"/>
  <c r="D41" i="26"/>
  <c r="E41" i="26"/>
  <c r="F41" i="26"/>
  <c r="G41" i="26"/>
  <c r="B42" i="26"/>
  <c r="C42" i="26"/>
  <c r="D42" i="26"/>
  <c r="E42" i="26"/>
  <c r="F42" i="26"/>
  <c r="G42" i="26"/>
  <c r="B43" i="26"/>
  <c r="C43" i="26"/>
  <c r="D43" i="26"/>
  <c r="E43" i="26"/>
  <c r="F43" i="26"/>
  <c r="G43" i="26"/>
  <c r="B44" i="26"/>
  <c r="C44" i="26"/>
  <c r="D44" i="26"/>
  <c r="E44" i="26"/>
  <c r="F44" i="26"/>
  <c r="G44" i="26"/>
  <c r="B45" i="26"/>
  <c r="C45" i="26"/>
  <c r="D45" i="26"/>
  <c r="E45" i="26"/>
  <c r="F45" i="26"/>
  <c r="G45" i="26"/>
  <c r="B46" i="26"/>
  <c r="C46" i="26"/>
  <c r="D46" i="26"/>
  <c r="E46" i="26"/>
  <c r="F46" i="26"/>
  <c r="G46" i="26"/>
  <c r="B47" i="26"/>
  <c r="C47" i="26"/>
  <c r="D47" i="26"/>
  <c r="E47" i="26"/>
  <c r="F47" i="26"/>
  <c r="G47" i="26"/>
  <c r="B48" i="26"/>
  <c r="C48" i="26"/>
  <c r="D48" i="26"/>
  <c r="E48" i="26"/>
  <c r="F48" i="26"/>
  <c r="G48" i="26"/>
  <c r="B49" i="26"/>
  <c r="C49" i="26"/>
  <c r="D49" i="26"/>
  <c r="E49" i="26"/>
  <c r="F49" i="26"/>
  <c r="G49" i="26"/>
  <c r="C13" i="26"/>
  <c r="D13" i="26"/>
  <c r="E13" i="26"/>
  <c r="F13" i="26"/>
  <c r="G13" i="26"/>
  <c r="B13" i="26"/>
  <c r="H154" i="26"/>
  <c r="H155" i="26"/>
  <c r="B12" i="26" l="1"/>
  <c r="H106" i="26"/>
  <c r="B82" i="26"/>
  <c r="D95" i="26"/>
  <c r="C82" i="26"/>
  <c r="D82" i="26"/>
  <c r="E95" i="26"/>
  <c r="E82" i="26"/>
  <c r="F95" i="26"/>
  <c r="B95" i="26"/>
  <c r="C95" i="26"/>
  <c r="G95" i="26"/>
  <c r="G82" i="26"/>
  <c r="F82" i="26"/>
  <c r="H99" i="26"/>
  <c r="H146" i="26"/>
  <c r="H151" i="27"/>
  <c r="H150" i="27"/>
  <c r="H149" i="27"/>
  <c r="H151" i="25"/>
  <c r="H150" i="25"/>
  <c r="H149" i="25"/>
  <c r="H147" i="25"/>
  <c r="H151" i="24"/>
  <c r="H150" i="24"/>
  <c r="H149" i="24"/>
  <c r="H147" i="24"/>
  <c r="H147" i="23"/>
  <c r="H147" i="22"/>
  <c r="Q20" i="22"/>
  <c r="Q20" i="23"/>
  <c r="Q20" i="24"/>
  <c r="Q20" i="25"/>
  <c r="Q20" i="27"/>
  <c r="Q54" i="26"/>
  <c r="M24" i="36" l="1"/>
  <c r="M23" i="36"/>
  <c r="M18" i="36"/>
  <c r="M21" i="36"/>
  <c r="M20" i="36"/>
  <c r="M22" i="36"/>
  <c r="M19" i="36"/>
  <c r="M17" i="36"/>
  <c r="H32" i="26"/>
  <c r="L22" i="36"/>
  <c r="Q20" i="26"/>
  <c r="H151" i="26"/>
  <c r="H150" i="26"/>
  <c r="H149" i="26"/>
  <c r="H147" i="26"/>
  <c r="K22" i="36"/>
  <c r="K20" i="36"/>
  <c r="K21" i="36"/>
  <c r="K18" i="36"/>
  <c r="K24" i="36"/>
  <c r="K23" i="36"/>
  <c r="K19" i="36"/>
  <c r="K17" i="36"/>
  <c r="J19" i="36"/>
  <c r="J20" i="36"/>
  <c r="J18" i="36"/>
  <c r="J21" i="36"/>
  <c r="J17" i="36"/>
  <c r="H138" i="24"/>
  <c r="H119" i="24"/>
  <c r="H119" i="25"/>
  <c r="H138" i="25"/>
  <c r="Q12" i="27"/>
  <c r="H138" i="27"/>
  <c r="H18" i="22"/>
  <c r="H18" i="23"/>
  <c r="H18" i="24"/>
  <c r="H18" i="25"/>
  <c r="H18" i="27"/>
  <c r="H119" i="27"/>
  <c r="H17" i="25"/>
  <c r="H17" i="24"/>
  <c r="H17" i="23"/>
  <c r="H17" i="22"/>
  <c r="F69" i="24"/>
  <c r="H17" i="27"/>
  <c r="B16" i="35" l="1"/>
  <c r="B15" i="35"/>
  <c r="B14" i="35"/>
  <c r="B13" i="35"/>
  <c r="H138" i="26"/>
  <c r="H119" i="26"/>
  <c r="H18" i="26"/>
  <c r="H17" i="26"/>
  <c r="H153" i="27"/>
  <c r="H144" i="27"/>
  <c r="H143" i="27"/>
  <c r="H142" i="27"/>
  <c r="H141" i="27"/>
  <c r="H140" i="27"/>
  <c r="H139" i="27"/>
  <c r="H137" i="27"/>
  <c r="H136" i="27"/>
  <c r="H135" i="27"/>
  <c r="H134" i="27"/>
  <c r="H133" i="27"/>
  <c r="H132" i="27"/>
  <c r="H131" i="27"/>
  <c r="H130" i="27"/>
  <c r="H129" i="27"/>
  <c r="H128" i="27"/>
  <c r="H127" i="27"/>
  <c r="H126" i="27"/>
  <c r="H125" i="27"/>
  <c r="H124" i="27"/>
  <c r="H123" i="27"/>
  <c r="H122" i="27"/>
  <c r="H121" i="27"/>
  <c r="H120" i="27"/>
  <c r="H118" i="27"/>
  <c r="H117" i="27"/>
  <c r="H116" i="27"/>
  <c r="H114" i="27"/>
  <c r="H113" i="27"/>
  <c r="H112" i="27"/>
  <c r="H111" i="27"/>
  <c r="H110" i="27"/>
  <c r="H109" i="27"/>
  <c r="H107" i="27"/>
  <c r="H106" i="27"/>
  <c r="H97" i="27"/>
  <c r="H96" i="27"/>
  <c r="H94" i="27"/>
  <c r="H92" i="27"/>
  <c r="H91" i="27"/>
  <c r="H90" i="27"/>
  <c r="H89" i="27"/>
  <c r="H88" i="27"/>
  <c r="H87" i="27"/>
  <c r="H86" i="27"/>
  <c r="H85" i="27"/>
  <c r="H84" i="27"/>
  <c r="H83" i="27"/>
  <c r="H81" i="27"/>
  <c r="H80" i="27"/>
  <c r="H79" i="27"/>
  <c r="H78" i="27"/>
  <c r="H77" i="27"/>
  <c r="H76" i="27"/>
  <c r="H75" i="27"/>
  <c r="H74" i="27"/>
  <c r="H73" i="27"/>
  <c r="H72" i="27"/>
  <c r="H71" i="27"/>
  <c r="H70" i="27"/>
  <c r="G69" i="27"/>
  <c r="F69" i="27"/>
  <c r="E69" i="27"/>
  <c r="D69" i="27"/>
  <c r="C69" i="27"/>
  <c r="B69" i="27"/>
  <c r="H68" i="27"/>
  <c r="H67" i="27"/>
  <c r="H66" i="27"/>
  <c r="H65" i="27"/>
  <c r="H64" i="27"/>
  <c r="H63" i="27"/>
  <c r="H62" i="27"/>
  <c r="H61" i="27"/>
  <c r="H60" i="27"/>
  <c r="H59" i="27"/>
  <c r="H58" i="27"/>
  <c r="H57" i="27"/>
  <c r="H56" i="27"/>
  <c r="H55" i="27"/>
  <c r="H54" i="27"/>
  <c r="H53" i="27"/>
  <c r="H52" i="27"/>
  <c r="G51" i="27"/>
  <c r="F51" i="27"/>
  <c r="E51" i="27"/>
  <c r="D51" i="27"/>
  <c r="C51" i="27"/>
  <c r="B51" i="27"/>
  <c r="Q49" i="27"/>
  <c r="H50" i="27"/>
  <c r="Q48" i="27"/>
  <c r="H49" i="27"/>
  <c r="Q47" i="27"/>
  <c r="H48" i="27"/>
  <c r="Q46" i="27"/>
  <c r="H47" i="27"/>
  <c r="Q45" i="27"/>
  <c r="H46" i="27"/>
  <c r="Q44" i="27"/>
  <c r="H45" i="27"/>
  <c r="Q43" i="27"/>
  <c r="H44" i="27"/>
  <c r="Q42" i="27"/>
  <c r="H43" i="27"/>
  <c r="P41" i="27"/>
  <c r="O41" i="27"/>
  <c r="N41" i="27"/>
  <c r="M41" i="27"/>
  <c r="L41" i="27"/>
  <c r="K41" i="27"/>
  <c r="H42" i="27"/>
  <c r="H41" i="27"/>
  <c r="H40" i="27"/>
  <c r="H39" i="27"/>
  <c r="Q37" i="27"/>
  <c r="H38" i="27"/>
  <c r="Q35" i="27"/>
  <c r="H37" i="27"/>
  <c r="Q34" i="27"/>
  <c r="H36" i="27"/>
  <c r="Q33" i="27"/>
  <c r="H35" i="27"/>
  <c r="Q32" i="27"/>
  <c r="H34" i="27"/>
  <c r="Q31" i="27"/>
  <c r="H33" i="27"/>
  <c r="Q30" i="27"/>
  <c r="Q29" i="27"/>
  <c r="P28" i="27"/>
  <c r="O28" i="27"/>
  <c r="N28" i="27"/>
  <c r="M28" i="27"/>
  <c r="L28" i="27"/>
  <c r="K28" i="27"/>
  <c r="Q23" i="27"/>
  <c r="Q22" i="27"/>
  <c r="H22" i="27"/>
  <c r="Q19" i="27"/>
  <c r="H21" i="27"/>
  <c r="Q18" i="27"/>
  <c r="H20" i="27"/>
  <c r="Q17" i="27"/>
  <c r="H19" i="27"/>
  <c r="Q16" i="27"/>
  <c r="H16" i="27"/>
  <c r="Q15" i="27"/>
  <c r="H15" i="27"/>
  <c r="Q14" i="27"/>
  <c r="H14" i="27"/>
  <c r="Q13" i="27"/>
  <c r="H13" i="27"/>
  <c r="G12" i="27"/>
  <c r="F12" i="27"/>
  <c r="E12" i="27"/>
  <c r="D12" i="27"/>
  <c r="C12" i="27"/>
  <c r="B12" i="27"/>
  <c r="P11" i="27"/>
  <c r="O11" i="27"/>
  <c r="N11" i="27"/>
  <c r="M11" i="27"/>
  <c r="L11" i="27"/>
  <c r="K11" i="27"/>
  <c r="F69" i="22"/>
  <c r="F69" i="23"/>
  <c r="F69" i="25"/>
  <c r="H94" i="25"/>
  <c r="H94" i="22"/>
  <c r="H94" i="24"/>
  <c r="H94" i="23"/>
  <c r="H153" i="25"/>
  <c r="H145" i="25"/>
  <c r="H144" i="25"/>
  <c r="H143" i="25"/>
  <c r="H142" i="25"/>
  <c r="H141" i="25"/>
  <c r="H140" i="25"/>
  <c r="H139" i="25"/>
  <c r="H137" i="25"/>
  <c r="H136" i="25"/>
  <c r="H135" i="25"/>
  <c r="H134" i="25"/>
  <c r="H133" i="25"/>
  <c r="H132" i="25"/>
  <c r="H131" i="25"/>
  <c r="H130" i="25"/>
  <c r="H129" i="25"/>
  <c r="H128" i="25"/>
  <c r="H127" i="25"/>
  <c r="H126" i="25"/>
  <c r="H125" i="25"/>
  <c r="H124" i="25"/>
  <c r="H123" i="25"/>
  <c r="H122" i="25"/>
  <c r="H121" i="25"/>
  <c r="H120" i="25"/>
  <c r="H118" i="25"/>
  <c r="H117" i="25"/>
  <c r="H116" i="25"/>
  <c r="H114" i="25"/>
  <c r="H113" i="25"/>
  <c r="H112" i="25"/>
  <c r="H111" i="25"/>
  <c r="H110" i="25"/>
  <c r="H109" i="25"/>
  <c r="H107" i="25"/>
  <c r="H106" i="25"/>
  <c r="H98" i="25"/>
  <c r="H97" i="25"/>
  <c r="H96" i="25"/>
  <c r="H92" i="25"/>
  <c r="H91" i="25"/>
  <c r="H90" i="25"/>
  <c r="H89" i="25"/>
  <c r="H88" i="25"/>
  <c r="H87" i="25"/>
  <c r="H86" i="25"/>
  <c r="H85" i="25"/>
  <c r="H84" i="25"/>
  <c r="H83" i="25"/>
  <c r="H81" i="25"/>
  <c r="H80" i="25"/>
  <c r="H79" i="25"/>
  <c r="H78" i="25"/>
  <c r="H77" i="25"/>
  <c r="H76" i="25"/>
  <c r="H75" i="25"/>
  <c r="H74" i="25"/>
  <c r="H73" i="25"/>
  <c r="H72" i="25"/>
  <c r="H71" i="25"/>
  <c r="H70" i="25"/>
  <c r="G69" i="25"/>
  <c r="E69" i="25"/>
  <c r="D69" i="25"/>
  <c r="C69" i="25"/>
  <c r="B69" i="25"/>
  <c r="H68" i="25"/>
  <c r="H67" i="25"/>
  <c r="H66" i="25"/>
  <c r="H65" i="25"/>
  <c r="H64" i="25"/>
  <c r="H63" i="25"/>
  <c r="H62" i="25"/>
  <c r="H61" i="25"/>
  <c r="H60" i="25"/>
  <c r="H59" i="25"/>
  <c r="H58" i="25"/>
  <c r="H57" i="25"/>
  <c r="H56" i="25"/>
  <c r="H55" i="25"/>
  <c r="H54" i="25"/>
  <c r="H53" i="25"/>
  <c r="H52" i="25"/>
  <c r="G51" i="25"/>
  <c r="F51" i="25"/>
  <c r="E51" i="25"/>
  <c r="D51" i="25"/>
  <c r="C51" i="25"/>
  <c r="B51" i="25"/>
  <c r="Q49" i="25"/>
  <c r="H50" i="25"/>
  <c r="Q48" i="25"/>
  <c r="H49" i="25"/>
  <c r="Q47" i="25"/>
  <c r="H48" i="25"/>
  <c r="Q46" i="25"/>
  <c r="H47" i="25"/>
  <c r="Q45" i="25"/>
  <c r="H46" i="25"/>
  <c r="Q44" i="25"/>
  <c r="H45" i="25"/>
  <c r="Q43" i="25"/>
  <c r="H44" i="25"/>
  <c r="Q42" i="25"/>
  <c r="H43" i="25"/>
  <c r="P41" i="25"/>
  <c r="O41" i="25"/>
  <c r="N41" i="25"/>
  <c r="M41" i="25"/>
  <c r="L41" i="25"/>
  <c r="K41" i="25"/>
  <c r="H42" i="25"/>
  <c r="H41" i="25"/>
  <c r="H40" i="25"/>
  <c r="H39" i="25"/>
  <c r="Q37" i="25"/>
  <c r="H38" i="25"/>
  <c r="Q35" i="25"/>
  <c r="H37" i="25"/>
  <c r="Q34" i="25"/>
  <c r="H36" i="25"/>
  <c r="Q33" i="25"/>
  <c r="H35" i="25"/>
  <c r="Q32" i="25"/>
  <c r="H34" i="25"/>
  <c r="Q31" i="25"/>
  <c r="H33" i="25"/>
  <c r="Q30" i="25"/>
  <c r="H31" i="25"/>
  <c r="Q29" i="25"/>
  <c r="H30" i="25"/>
  <c r="P28" i="25"/>
  <c r="O28" i="25"/>
  <c r="N28" i="25"/>
  <c r="M28" i="25"/>
  <c r="L28" i="25"/>
  <c r="K28" i="25"/>
  <c r="H29" i="25"/>
  <c r="H28" i="25"/>
  <c r="H27" i="25"/>
  <c r="H26" i="25"/>
  <c r="H25" i="25"/>
  <c r="Q23" i="25"/>
  <c r="H24" i="25"/>
  <c r="Q22" i="25"/>
  <c r="H22" i="25"/>
  <c r="Q19" i="25"/>
  <c r="H21" i="25"/>
  <c r="Q18" i="25"/>
  <c r="H20" i="25"/>
  <c r="Q17" i="25"/>
  <c r="H19" i="25"/>
  <c r="Q16" i="25"/>
  <c r="H16" i="25"/>
  <c r="Q15" i="25"/>
  <c r="H15" i="25"/>
  <c r="Q14" i="25"/>
  <c r="H14" i="25"/>
  <c r="Q13" i="25"/>
  <c r="H13" i="25"/>
  <c r="Q12" i="25"/>
  <c r="G12" i="25"/>
  <c r="F12" i="25"/>
  <c r="E12" i="25"/>
  <c r="D12" i="25"/>
  <c r="C12" i="25"/>
  <c r="B12" i="25"/>
  <c r="B11" i="25" s="1"/>
  <c r="P11" i="25"/>
  <c r="O11" i="25"/>
  <c r="N11" i="25"/>
  <c r="M11" i="25"/>
  <c r="L11" i="25"/>
  <c r="K11" i="25"/>
  <c r="Q47" i="24"/>
  <c r="Q48" i="24"/>
  <c r="Q49" i="24"/>
  <c r="Q45" i="24"/>
  <c r="Q46" i="24"/>
  <c r="H106" i="24"/>
  <c r="H153" i="24"/>
  <c r="H145" i="24"/>
  <c r="H144" i="24"/>
  <c r="H143" i="24"/>
  <c r="H142" i="24"/>
  <c r="H141" i="24"/>
  <c r="H140" i="24"/>
  <c r="H139" i="24"/>
  <c r="H137" i="24"/>
  <c r="H136" i="24"/>
  <c r="H135" i="24"/>
  <c r="H134" i="24"/>
  <c r="H133" i="24"/>
  <c r="H132" i="24"/>
  <c r="H131" i="24"/>
  <c r="H130" i="24"/>
  <c r="H129" i="24"/>
  <c r="H128" i="24"/>
  <c r="H127" i="24"/>
  <c r="H126" i="24"/>
  <c r="H125" i="24"/>
  <c r="H124" i="24"/>
  <c r="H123" i="24"/>
  <c r="H122" i="24"/>
  <c r="H121" i="24"/>
  <c r="H120" i="24"/>
  <c r="H118" i="24"/>
  <c r="H117" i="24"/>
  <c r="H116" i="24"/>
  <c r="H114" i="24"/>
  <c r="H113" i="24"/>
  <c r="H112" i="24"/>
  <c r="H111" i="24"/>
  <c r="H110" i="24"/>
  <c r="H109" i="24"/>
  <c r="H107" i="24"/>
  <c r="H98" i="24"/>
  <c r="H97" i="24"/>
  <c r="H96" i="24"/>
  <c r="H92" i="24"/>
  <c r="H91" i="24"/>
  <c r="H90" i="24"/>
  <c r="H89" i="24"/>
  <c r="H88" i="24"/>
  <c r="H87" i="24"/>
  <c r="H86" i="24"/>
  <c r="H85" i="24"/>
  <c r="H84" i="24"/>
  <c r="H83" i="24"/>
  <c r="H81" i="24"/>
  <c r="H80" i="24"/>
  <c r="H79" i="24"/>
  <c r="H78" i="24"/>
  <c r="H77" i="24"/>
  <c r="H76" i="24"/>
  <c r="H75" i="24"/>
  <c r="H74" i="24"/>
  <c r="H73" i="24"/>
  <c r="H72" i="24"/>
  <c r="H71" i="24"/>
  <c r="H70" i="24"/>
  <c r="G69" i="24"/>
  <c r="E69" i="24"/>
  <c r="D69" i="24"/>
  <c r="C69" i="24"/>
  <c r="H68" i="24"/>
  <c r="H67" i="24"/>
  <c r="H66" i="24"/>
  <c r="H65" i="24"/>
  <c r="H64" i="24"/>
  <c r="H63" i="24"/>
  <c r="H62" i="24"/>
  <c r="H61" i="24"/>
  <c r="H60" i="24"/>
  <c r="H59" i="24"/>
  <c r="H58" i="24"/>
  <c r="H57" i="24"/>
  <c r="H56" i="24"/>
  <c r="H55" i="24"/>
  <c r="H54" i="24"/>
  <c r="H53" i="24"/>
  <c r="H52" i="24"/>
  <c r="G51" i="24"/>
  <c r="F51" i="24"/>
  <c r="E51" i="24"/>
  <c r="D51" i="24"/>
  <c r="C51" i="24"/>
  <c r="H50" i="24"/>
  <c r="H49" i="24"/>
  <c r="H48" i="24"/>
  <c r="H47" i="24"/>
  <c r="H46" i="24"/>
  <c r="Q44" i="24"/>
  <c r="H45" i="24"/>
  <c r="Q43" i="24"/>
  <c r="H44" i="24"/>
  <c r="Q42" i="24"/>
  <c r="H43" i="24"/>
  <c r="P41" i="24"/>
  <c r="O41" i="24"/>
  <c r="N41" i="24"/>
  <c r="M41" i="24"/>
  <c r="L41" i="24"/>
  <c r="H42" i="24"/>
  <c r="H41" i="24"/>
  <c r="H40" i="24"/>
  <c r="H39" i="24"/>
  <c r="Q37" i="24"/>
  <c r="H38" i="24"/>
  <c r="Q35" i="24"/>
  <c r="H37" i="24"/>
  <c r="Q34" i="24"/>
  <c r="H36" i="24"/>
  <c r="Q33" i="24"/>
  <c r="H35" i="24"/>
  <c r="Q32" i="24"/>
  <c r="H34" i="24"/>
  <c r="Q31" i="24"/>
  <c r="H33" i="24"/>
  <c r="Q30" i="24"/>
  <c r="H31" i="24"/>
  <c r="Q29" i="24"/>
  <c r="H30" i="24"/>
  <c r="P28" i="24"/>
  <c r="O28" i="24"/>
  <c r="N28" i="24"/>
  <c r="M28" i="24"/>
  <c r="L28" i="24"/>
  <c r="H29" i="24"/>
  <c r="H28" i="24"/>
  <c r="H27" i="24"/>
  <c r="H26" i="24"/>
  <c r="H25" i="24"/>
  <c r="Q23" i="24"/>
  <c r="H24" i="24"/>
  <c r="Q22" i="24"/>
  <c r="H22" i="24"/>
  <c r="Q19" i="24"/>
  <c r="H21" i="24"/>
  <c r="Q18" i="24"/>
  <c r="H20" i="24"/>
  <c r="Q17" i="24"/>
  <c r="H19" i="24"/>
  <c r="Q16" i="24"/>
  <c r="H16" i="24"/>
  <c r="Q15" i="24"/>
  <c r="H15" i="24"/>
  <c r="Q14" i="24"/>
  <c r="H14" i="24"/>
  <c r="Q13" i="24"/>
  <c r="H13" i="24"/>
  <c r="Q12" i="24"/>
  <c r="G12" i="24"/>
  <c r="F12" i="24"/>
  <c r="E12" i="24"/>
  <c r="D12" i="24"/>
  <c r="C12" i="24"/>
  <c r="P11" i="24"/>
  <c r="O11" i="24"/>
  <c r="N11" i="24"/>
  <c r="M11" i="24"/>
  <c r="L11" i="24"/>
  <c r="C11" i="24" l="1"/>
  <c r="E11" i="24"/>
  <c r="F11" i="24"/>
  <c r="D11" i="24"/>
  <c r="G11" i="24"/>
  <c r="F69" i="26"/>
  <c r="D12" i="26"/>
  <c r="Q11" i="27"/>
  <c r="Q60" i="27" s="1"/>
  <c r="H95" i="27"/>
  <c r="Q59" i="27" s="1"/>
  <c r="H53" i="26"/>
  <c r="K28" i="26"/>
  <c r="H22" i="26"/>
  <c r="B51" i="26"/>
  <c r="E51" i="26"/>
  <c r="H61" i="26"/>
  <c r="H59" i="26"/>
  <c r="H77" i="26"/>
  <c r="H75" i="26"/>
  <c r="H71" i="26"/>
  <c r="C12" i="26"/>
  <c r="C51" i="26"/>
  <c r="H79" i="26"/>
  <c r="H143" i="26"/>
  <c r="H139" i="26"/>
  <c r="H130" i="26"/>
  <c r="H126" i="26"/>
  <c r="H117" i="26"/>
  <c r="Q37" i="26"/>
  <c r="H50" i="26"/>
  <c r="H42" i="26"/>
  <c r="H34" i="26"/>
  <c r="H29" i="26"/>
  <c r="H27" i="26"/>
  <c r="H25" i="26"/>
  <c r="H14" i="26"/>
  <c r="H97" i="26"/>
  <c r="H144" i="26"/>
  <c r="H140" i="26"/>
  <c r="H127" i="26"/>
  <c r="H118" i="26"/>
  <c r="H135" i="26"/>
  <c r="H123" i="26"/>
  <c r="H90" i="26"/>
  <c r="H88" i="26"/>
  <c r="H142" i="26"/>
  <c r="H137" i="26"/>
  <c r="H133" i="26"/>
  <c r="H129" i="26"/>
  <c r="H125" i="26"/>
  <c r="H121" i="26"/>
  <c r="Q44" i="26"/>
  <c r="F12" i="26"/>
  <c r="H92" i="26"/>
  <c r="H84" i="26"/>
  <c r="Q14" i="26"/>
  <c r="G69" i="26"/>
  <c r="H107" i="26"/>
  <c r="H98" i="26"/>
  <c r="H116" i="26"/>
  <c r="H145" i="26"/>
  <c r="H141" i="26"/>
  <c r="H136" i="26"/>
  <c r="H134" i="26"/>
  <c r="H132" i="26"/>
  <c r="H128" i="26"/>
  <c r="H124" i="26"/>
  <c r="H122" i="26"/>
  <c r="H120" i="26"/>
  <c r="Q34" i="26"/>
  <c r="Q32" i="26"/>
  <c r="Q30" i="26"/>
  <c r="Q49" i="26"/>
  <c r="Q47" i="26"/>
  <c r="Q45" i="26"/>
  <c r="Q43" i="26"/>
  <c r="Q16" i="26"/>
  <c r="H91" i="26"/>
  <c r="H85" i="26"/>
  <c r="Q22" i="26"/>
  <c r="E12" i="26"/>
  <c r="Q18" i="26"/>
  <c r="Q19" i="26"/>
  <c r="H46" i="26"/>
  <c r="H44" i="26"/>
  <c r="H36" i="26"/>
  <c r="H31" i="26"/>
  <c r="H20" i="26"/>
  <c r="H16" i="26"/>
  <c r="H64" i="26"/>
  <c r="D69" i="26"/>
  <c r="H131" i="26"/>
  <c r="Q48" i="26"/>
  <c r="H48" i="26"/>
  <c r="H40" i="26"/>
  <c r="H38" i="26"/>
  <c r="H153" i="26"/>
  <c r="H49" i="26"/>
  <c r="H47" i="26"/>
  <c r="H45" i="26"/>
  <c r="H43" i="26"/>
  <c r="H41" i="26"/>
  <c r="H39" i="26"/>
  <c r="H37" i="26"/>
  <c r="H35" i="26"/>
  <c r="H33" i="26"/>
  <c r="H30" i="26"/>
  <c r="H28" i="26"/>
  <c r="H26" i="26"/>
  <c r="H24" i="26"/>
  <c r="H21" i="26"/>
  <c r="H19" i="26"/>
  <c r="H15" i="26"/>
  <c r="G51" i="26"/>
  <c r="H55" i="26"/>
  <c r="H81" i="26"/>
  <c r="H73" i="26"/>
  <c r="H65" i="26"/>
  <c r="H57" i="26"/>
  <c r="Q15" i="26"/>
  <c r="H68" i="26"/>
  <c r="H66" i="26"/>
  <c r="H62" i="26"/>
  <c r="H60" i="26"/>
  <c r="H58" i="26"/>
  <c r="H56" i="26"/>
  <c r="H54" i="26"/>
  <c r="H74" i="26"/>
  <c r="H80" i="26"/>
  <c r="H78" i="26"/>
  <c r="H76" i="26"/>
  <c r="H109" i="26"/>
  <c r="H113" i="26"/>
  <c r="H111" i="26"/>
  <c r="K41" i="26"/>
  <c r="C69" i="26"/>
  <c r="Q35" i="26"/>
  <c r="Q33" i="26"/>
  <c r="Q31" i="26"/>
  <c r="H94" i="26"/>
  <c r="Q46" i="26"/>
  <c r="Q29" i="26"/>
  <c r="Q42" i="26"/>
  <c r="Q23" i="26"/>
  <c r="H96" i="26"/>
  <c r="Q13" i="26"/>
  <c r="H83" i="26"/>
  <c r="H110" i="26"/>
  <c r="Q17" i="26"/>
  <c r="D51" i="26"/>
  <c r="H63" i="26"/>
  <c r="H86" i="26"/>
  <c r="H114" i="26"/>
  <c r="H112" i="26"/>
  <c r="H89" i="26"/>
  <c r="H87" i="26"/>
  <c r="H69" i="27"/>
  <c r="Q57" i="27" s="1"/>
  <c r="Q28" i="27"/>
  <c r="Q61" i="27" s="1"/>
  <c r="D11" i="27"/>
  <c r="Q41" i="27"/>
  <c r="Q62" i="27" s="1"/>
  <c r="B11" i="27"/>
  <c r="G11" i="27"/>
  <c r="F11" i="27"/>
  <c r="C11" i="27"/>
  <c r="H82" i="27"/>
  <c r="Q58" i="27" s="1"/>
  <c r="E11" i="27"/>
  <c r="H12" i="27"/>
  <c r="Q55" i="27" s="1"/>
  <c r="H51" i="27"/>
  <c r="Q56" i="27" s="1"/>
  <c r="E69" i="26"/>
  <c r="H72" i="26"/>
  <c r="H70" i="26"/>
  <c r="B69" i="26"/>
  <c r="H67" i="26"/>
  <c r="F51" i="26"/>
  <c r="H52" i="26"/>
  <c r="G12" i="26"/>
  <c r="H13" i="26"/>
  <c r="Q12" i="26"/>
  <c r="K11" i="26"/>
  <c r="H95" i="24"/>
  <c r="Q59" i="24" s="1"/>
  <c r="D21" i="36" s="1"/>
  <c r="E11" i="25"/>
  <c r="H69" i="25"/>
  <c r="Q57" i="25" s="1"/>
  <c r="Q28" i="25"/>
  <c r="Q61" i="25" s="1"/>
  <c r="Q41" i="25"/>
  <c r="Q62" i="25" s="1"/>
  <c r="Q11" i="25"/>
  <c r="Q60" i="25" s="1"/>
  <c r="H95" i="25"/>
  <c r="Q59" i="25" s="1"/>
  <c r="D11" i="25"/>
  <c r="H82" i="25"/>
  <c r="Q58" i="25" s="1"/>
  <c r="C11" i="25"/>
  <c r="F11" i="25"/>
  <c r="G11" i="25"/>
  <c r="H51" i="25"/>
  <c r="Q56" i="25" s="1"/>
  <c r="H12" i="25"/>
  <c r="Q55" i="25" s="1"/>
  <c r="Q11" i="24"/>
  <c r="Q60" i="24" s="1"/>
  <c r="D22" i="36" s="1"/>
  <c r="Q41" i="24"/>
  <c r="Q62" i="24" s="1"/>
  <c r="D24" i="36" s="1"/>
  <c r="Q28" i="24"/>
  <c r="Q61" i="24" s="1"/>
  <c r="D23" i="36" s="1"/>
  <c r="H82" i="24"/>
  <c r="Q58" i="24" s="1"/>
  <c r="D20" i="36" s="1"/>
  <c r="H69" i="24"/>
  <c r="Q57" i="24" s="1"/>
  <c r="D19" i="36" s="1"/>
  <c r="H51" i="24"/>
  <c r="Q56" i="24" s="1"/>
  <c r="D18" i="36" s="1"/>
  <c r="H12" i="24"/>
  <c r="Q55" i="24" s="1"/>
  <c r="Q31" i="23"/>
  <c r="Q31" i="22"/>
  <c r="Q30" i="22"/>
  <c r="Q30" i="23"/>
  <c r="H153" i="23"/>
  <c r="H145" i="23"/>
  <c r="H144" i="23"/>
  <c r="H143" i="23"/>
  <c r="H142" i="23"/>
  <c r="H141" i="23"/>
  <c r="H140" i="23"/>
  <c r="H139" i="23"/>
  <c r="H136" i="23"/>
  <c r="H135" i="23"/>
  <c r="H134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20" i="23"/>
  <c r="H118" i="23"/>
  <c r="H117" i="23"/>
  <c r="H116" i="23"/>
  <c r="H114" i="23"/>
  <c r="H113" i="23"/>
  <c r="H112" i="23"/>
  <c r="H111" i="23"/>
  <c r="H110" i="23"/>
  <c r="H109" i="23"/>
  <c r="H107" i="23"/>
  <c r="H98" i="23"/>
  <c r="H97" i="23"/>
  <c r="H96" i="23"/>
  <c r="H92" i="23"/>
  <c r="H91" i="23"/>
  <c r="H90" i="23"/>
  <c r="H89" i="23"/>
  <c r="H88" i="23"/>
  <c r="H87" i="23"/>
  <c r="H86" i="23"/>
  <c r="H85" i="23"/>
  <c r="H84" i="23"/>
  <c r="H83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G69" i="23"/>
  <c r="E69" i="23"/>
  <c r="D69" i="23"/>
  <c r="C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G51" i="23"/>
  <c r="F51" i="23"/>
  <c r="E51" i="23"/>
  <c r="D51" i="23"/>
  <c r="C51" i="23"/>
  <c r="H50" i="23"/>
  <c r="H49" i="23"/>
  <c r="H48" i="23"/>
  <c r="H47" i="23"/>
  <c r="H46" i="23"/>
  <c r="Q46" i="23"/>
  <c r="H45" i="23"/>
  <c r="Q45" i="23"/>
  <c r="H44" i="23"/>
  <c r="Q44" i="23"/>
  <c r="H43" i="23"/>
  <c r="Q43" i="23"/>
  <c r="H42" i="23"/>
  <c r="Q42" i="23"/>
  <c r="H41" i="23"/>
  <c r="H40" i="23"/>
  <c r="H39" i="23"/>
  <c r="H38" i="23"/>
  <c r="H37" i="23"/>
  <c r="Q37" i="23"/>
  <c r="H36" i="23"/>
  <c r="H35" i="23"/>
  <c r="Q34" i="23"/>
  <c r="H34" i="23"/>
  <c r="Q33" i="23"/>
  <c r="H33" i="23"/>
  <c r="Q32" i="23"/>
  <c r="H31" i="23"/>
  <c r="Q29" i="23"/>
  <c r="H30" i="23"/>
  <c r="P28" i="23"/>
  <c r="O28" i="23"/>
  <c r="N28" i="23"/>
  <c r="M28" i="23"/>
  <c r="L28" i="23"/>
  <c r="H29" i="23"/>
  <c r="H28" i="23"/>
  <c r="H27" i="23"/>
  <c r="H26" i="23"/>
  <c r="H25" i="23"/>
  <c r="Q23" i="23"/>
  <c r="H24" i="23"/>
  <c r="Q22" i="23"/>
  <c r="H22" i="23"/>
  <c r="Q19" i="23"/>
  <c r="H21" i="23"/>
  <c r="Q18" i="23"/>
  <c r="H20" i="23"/>
  <c r="Q17" i="23"/>
  <c r="H19" i="23"/>
  <c r="Q16" i="23"/>
  <c r="H16" i="23"/>
  <c r="Q15" i="23"/>
  <c r="H15" i="23"/>
  <c r="Q14" i="23"/>
  <c r="H14" i="23"/>
  <c r="Q13" i="23"/>
  <c r="H13" i="23"/>
  <c r="Q12" i="23"/>
  <c r="G12" i="23"/>
  <c r="F12" i="23"/>
  <c r="E12" i="23"/>
  <c r="D12" i="23"/>
  <c r="C12" i="23"/>
  <c r="P11" i="23"/>
  <c r="O11" i="23"/>
  <c r="N11" i="23"/>
  <c r="M11" i="23"/>
  <c r="L11" i="23"/>
  <c r="F24" i="36" l="1"/>
  <c r="E24" i="36"/>
  <c r="F23" i="36"/>
  <c r="E23" i="36"/>
  <c r="F22" i="36"/>
  <c r="E22" i="36"/>
  <c r="F20" i="36"/>
  <c r="E20" i="36"/>
  <c r="E19" i="36"/>
  <c r="F19" i="36"/>
  <c r="F18" i="36"/>
  <c r="E18" i="36"/>
  <c r="F17" i="36"/>
  <c r="E17" i="36"/>
  <c r="B11" i="26"/>
  <c r="F21" i="36"/>
  <c r="E21" i="36"/>
  <c r="Q63" i="24"/>
  <c r="B7" i="35" s="1"/>
  <c r="D17" i="36"/>
  <c r="C11" i="23"/>
  <c r="H12" i="23"/>
  <c r="F11" i="23"/>
  <c r="G11" i="23"/>
  <c r="E11" i="26"/>
  <c r="C11" i="26"/>
  <c r="D11" i="23"/>
  <c r="E11" i="23"/>
  <c r="G11" i="26"/>
  <c r="D11" i="26"/>
  <c r="F11" i="26"/>
  <c r="H51" i="26"/>
  <c r="Q56" i="26" s="1"/>
  <c r="H12" i="26"/>
  <c r="Q55" i="26" s="1"/>
  <c r="Q41" i="26"/>
  <c r="Q62" i="26" s="1"/>
  <c r="Q28" i="26"/>
  <c r="Q61" i="26" s="1"/>
  <c r="H82" i="26"/>
  <c r="Q58" i="26" s="1"/>
  <c r="Q11" i="26"/>
  <c r="Q60" i="26" s="1"/>
  <c r="H11" i="27"/>
  <c r="Q63" i="27"/>
  <c r="B9" i="35" s="1"/>
  <c r="H95" i="26"/>
  <c r="Q59" i="26" s="1"/>
  <c r="H69" i="26"/>
  <c r="Q57" i="26" s="1"/>
  <c r="H11" i="25"/>
  <c r="Q63" i="25"/>
  <c r="B8" i="35" s="1"/>
  <c r="H11" i="24"/>
  <c r="H95" i="23"/>
  <c r="C21" i="36" s="1"/>
  <c r="Q41" i="23"/>
  <c r="C24" i="36" s="1"/>
  <c r="Q28" i="23"/>
  <c r="Q61" i="23" s="1"/>
  <c r="Q11" i="23"/>
  <c r="C20" i="36"/>
  <c r="H69" i="23"/>
  <c r="Q57" i="23" s="1"/>
  <c r="H51" i="23"/>
  <c r="Q42" i="22"/>
  <c r="Q43" i="22"/>
  <c r="Q44" i="22"/>
  <c r="Q45" i="22"/>
  <c r="Q46" i="22"/>
  <c r="H11" i="26" l="1"/>
  <c r="Q60" i="23"/>
  <c r="C22" i="36" s="1"/>
  <c r="Q55" i="23"/>
  <c r="Q63" i="26"/>
  <c r="H11" i="23"/>
  <c r="C23" i="36"/>
  <c r="C18" i="36"/>
  <c r="C17" i="36"/>
  <c r="Q19" i="22"/>
  <c r="Q34" i="22"/>
  <c r="Q35" i="22"/>
  <c r="Q37" i="22"/>
  <c r="N28" i="22"/>
  <c r="O28" i="22"/>
  <c r="N11" i="22"/>
  <c r="O11" i="22"/>
  <c r="F12" i="22"/>
  <c r="F51" i="22"/>
  <c r="Q32" i="22"/>
  <c r="Q33" i="22"/>
  <c r="Q29" i="22"/>
  <c r="P28" i="22"/>
  <c r="K28" i="22"/>
  <c r="L28" i="22"/>
  <c r="M28" i="22"/>
  <c r="C12" i="22"/>
  <c r="D12" i="22"/>
  <c r="E12" i="22"/>
  <c r="G12" i="22"/>
  <c r="B12" i="22"/>
  <c r="Q14" i="22"/>
  <c r="L11" i="22"/>
  <c r="M11" i="22"/>
  <c r="P11" i="22"/>
  <c r="K11" i="22"/>
  <c r="Q63" i="23" l="1"/>
  <c r="B6" i="35" s="1"/>
  <c r="C19" i="36"/>
  <c r="Q41" i="22"/>
  <c r="Q62" i="22" s="1"/>
  <c r="B24" i="36" s="1"/>
  <c r="Q28" i="22"/>
  <c r="Q61" i="22" s="1"/>
  <c r="B23" i="36" s="1"/>
  <c r="Q17" i="22" l="1"/>
  <c r="Q18" i="22"/>
  <c r="Q22" i="22"/>
  <c r="Q23" i="22"/>
  <c r="H98" i="22"/>
  <c r="H107" i="22"/>
  <c r="H50" i="22" l="1"/>
  <c r="H49" i="22"/>
  <c r="H145" i="22"/>
  <c r="H144" i="22"/>
  <c r="H143" i="22"/>
  <c r="H142" i="22"/>
  <c r="H141" i="22"/>
  <c r="H140" i="22"/>
  <c r="H139" i="22"/>
  <c r="H120" i="22"/>
  <c r="H118" i="22"/>
  <c r="H117" i="22"/>
  <c r="H116" i="22"/>
  <c r="H137" i="22"/>
  <c r="H136" i="22"/>
  <c r="H135" i="22"/>
  <c r="H134" i="22"/>
  <c r="H133" i="22"/>
  <c r="H132" i="22"/>
  <c r="H131" i="22"/>
  <c r="H130" i="22"/>
  <c r="H114" i="22"/>
  <c r="H129" i="22"/>
  <c r="H128" i="22"/>
  <c r="H127" i="22"/>
  <c r="H126" i="22"/>
  <c r="H125" i="22"/>
  <c r="H124" i="22"/>
  <c r="H122" i="22"/>
  <c r="H121" i="22"/>
  <c r="H113" i="22"/>
  <c r="H112" i="22"/>
  <c r="H111" i="22"/>
  <c r="H110" i="22"/>
  <c r="H109" i="22"/>
  <c r="H97" i="22"/>
  <c r="H96" i="22"/>
  <c r="H123" i="22"/>
  <c r="H89" i="22"/>
  <c r="H92" i="22"/>
  <c r="H91" i="22"/>
  <c r="H90" i="22"/>
  <c r="H88" i="22"/>
  <c r="H87" i="22"/>
  <c r="H86" i="22"/>
  <c r="H85" i="22"/>
  <c r="H84" i="22"/>
  <c r="H83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G69" i="22"/>
  <c r="E69" i="22"/>
  <c r="D69" i="22"/>
  <c r="C69" i="22"/>
  <c r="B69" i="22"/>
  <c r="H63" i="22"/>
  <c r="H62" i="22"/>
  <c r="H68" i="22"/>
  <c r="H67" i="22"/>
  <c r="H66" i="22"/>
  <c r="H65" i="22"/>
  <c r="H64" i="22"/>
  <c r="H61" i="22"/>
  <c r="H60" i="22"/>
  <c r="H59" i="22"/>
  <c r="H58" i="22"/>
  <c r="H57" i="22"/>
  <c r="H56" i="22"/>
  <c r="H55" i="22"/>
  <c r="H54" i="22"/>
  <c r="H53" i="22"/>
  <c r="H52" i="22"/>
  <c r="G51" i="22"/>
  <c r="E51" i="22"/>
  <c r="D51" i="22"/>
  <c r="C51" i="22"/>
  <c r="B51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1" i="22"/>
  <c r="H30" i="22"/>
  <c r="H29" i="22"/>
  <c r="H28" i="22"/>
  <c r="H27" i="22"/>
  <c r="H26" i="22"/>
  <c r="H25" i="22"/>
  <c r="H24" i="22"/>
  <c r="H22" i="22"/>
  <c r="H21" i="22"/>
  <c r="H20" i="22"/>
  <c r="H19" i="22"/>
  <c r="Q16" i="22"/>
  <c r="H16" i="22"/>
  <c r="Q15" i="22"/>
  <c r="H15" i="22"/>
  <c r="H14" i="22"/>
  <c r="Q13" i="22"/>
  <c r="H13" i="22"/>
  <c r="Q12" i="22"/>
  <c r="Q11" i="22" l="1"/>
  <c r="Q60" i="22" s="1"/>
  <c r="B22" i="36" s="1"/>
  <c r="H95" i="22"/>
  <c r="Q59" i="22" s="1"/>
  <c r="B21" i="36" s="1"/>
  <c r="H82" i="22"/>
  <c r="Q58" i="22" s="1"/>
  <c r="B20" i="36" s="1"/>
  <c r="H69" i="22"/>
  <c r="Q57" i="22" s="1"/>
  <c r="B19" i="36" s="1"/>
  <c r="H51" i="22"/>
  <c r="Q56" i="22" s="1"/>
  <c r="B18" i="36" s="1"/>
  <c r="H12" i="22"/>
  <c r="Q55" i="22" s="1"/>
  <c r="B17" i="36" s="1"/>
  <c r="Q63" i="22" l="1"/>
  <c r="B5" i="35" s="1"/>
</calcChain>
</file>

<file path=xl/sharedStrings.xml><?xml version="1.0" encoding="utf-8"?>
<sst xmlns="http://schemas.openxmlformats.org/spreadsheetml/2006/main" count="1670" uniqueCount="242">
  <si>
    <t>TOTAL DE EXAMENES LABORATORIO</t>
  </si>
  <si>
    <t>TOTAL EXAMENES BIOQUÍMICOS</t>
  </si>
  <si>
    <t>VSG</t>
  </si>
  <si>
    <t>TOTAL EXAMENES INMUNO SEROLÓGICOS</t>
  </si>
  <si>
    <t>TOTAL EXAMENES CITOLÓGICOS (PAP)</t>
  </si>
  <si>
    <t>TOTAL EXAMENES HISTOPATOLÓGICOS (Biopsia)</t>
  </si>
  <si>
    <t>TOTAL AUTOPSIA MÉDICO LEGAL</t>
  </si>
  <si>
    <t>TOTAL AUTOPSIA CLÍNICA</t>
  </si>
  <si>
    <t>Hospitaliz</t>
  </si>
  <si>
    <t>Emergenc</t>
  </si>
  <si>
    <t>C. Externa</t>
  </si>
  <si>
    <t>TOTAL</t>
  </si>
  <si>
    <t>Establecimiento de Salud informante:</t>
  </si>
  <si>
    <t xml:space="preserve">Año: </t>
  </si>
  <si>
    <t xml:space="preserve">Mes: </t>
  </si>
  <si>
    <t xml:space="preserve">Código Renaes: </t>
  </si>
  <si>
    <t>HOSPITAL REGIONAL DE LORETO</t>
  </si>
  <si>
    <t>ACIDO URICO</t>
  </si>
  <si>
    <t>CALCIO</t>
  </si>
  <si>
    <t>AMILASA</t>
  </si>
  <si>
    <t>CREATININA</t>
  </si>
  <si>
    <t>UREA</t>
  </si>
  <si>
    <t>TGO</t>
  </si>
  <si>
    <t>TGP</t>
  </si>
  <si>
    <t>PROTEINURIA 24 HORAS</t>
  </si>
  <si>
    <t>DEPURACION DE CREATININA</t>
  </si>
  <si>
    <t>PROTEINA C REACTIVA (CUANTITATIVO)</t>
  </si>
  <si>
    <t>GLUCOSA</t>
  </si>
  <si>
    <t>HEMOGLOBINA GLICOSILADA</t>
  </si>
  <si>
    <t>TOLERANCIA A LA GLUCOSA</t>
  </si>
  <si>
    <t>CPK TOTAL</t>
  </si>
  <si>
    <t>CPK MB</t>
  </si>
  <si>
    <t>HEMOGRAMA AUTOMATIZADO</t>
  </si>
  <si>
    <t>TC &amp; TS</t>
  </si>
  <si>
    <t>PLAQUETAS</t>
  </si>
  <si>
    <t>GRUPO Y FACTOR</t>
  </si>
  <si>
    <t>LAMINA PERIFERICA</t>
  </si>
  <si>
    <t>TIEMPO DE TROMBOPLASTINA</t>
  </si>
  <si>
    <t>TIEMPO DE PROTROMBINA</t>
  </si>
  <si>
    <t>FIBRINOGENO</t>
  </si>
  <si>
    <t>DIMERO D</t>
  </si>
  <si>
    <t>AGLUTINACIONES</t>
  </si>
  <si>
    <t>ASO</t>
  </si>
  <si>
    <t>FACTOR REUMATOIDEO</t>
  </si>
  <si>
    <t>PSA TOTAL</t>
  </si>
  <si>
    <t>B HCG CUANTITATIVO</t>
  </si>
  <si>
    <t>PROLACTINA</t>
  </si>
  <si>
    <t>PROGESTERONA</t>
  </si>
  <si>
    <t>B HCG CUALITATIVO</t>
  </si>
  <si>
    <t>TSH</t>
  </si>
  <si>
    <t>TROPONINA I</t>
  </si>
  <si>
    <t>TOXOPLASMA Ig M/Ig g</t>
  </si>
  <si>
    <t>CMV Ig M/Ig G</t>
  </si>
  <si>
    <t>TESTOSTERONA</t>
  </si>
  <si>
    <t>TOTAL EXAMENES MICROBIOLOGIA</t>
  </si>
  <si>
    <t>UROCULTIVO</t>
  </si>
  <si>
    <t>HEMOCULTIVO</t>
  </si>
  <si>
    <t>COPROCULTIVO</t>
  </si>
  <si>
    <t>CULTIVO DE CATETER</t>
  </si>
  <si>
    <t>KOH -HONGOS</t>
  </si>
  <si>
    <t>CULTIVO DE HONGOS</t>
  </si>
  <si>
    <t>RX INFLAMATORIA</t>
  </si>
  <si>
    <t>THEVENON HECES</t>
  </si>
  <si>
    <t>TEST GRAHAM</t>
  </si>
  <si>
    <t>TUBERCULOSIS</t>
  </si>
  <si>
    <t>MALARIA</t>
  </si>
  <si>
    <t>COLESTEROL</t>
  </si>
  <si>
    <t>TRIGLICERIDOS</t>
  </si>
  <si>
    <t>CULTIVO DE SECRECION</t>
  </si>
  <si>
    <t>CITOQUIMICO</t>
  </si>
  <si>
    <t>TOTAL EXAMENES URO -PARASITOLÓGICOS</t>
  </si>
  <si>
    <t>PROGRAMACION, SEGUIMIENTO Y EVALUACION DE ACTIVIDADES</t>
  </si>
  <si>
    <t>PROGRAMAS DE SALUD OPORTUNOS PARA LA POBLACION</t>
  </si>
  <si>
    <t>INR</t>
  </si>
  <si>
    <t>ALBUMINA</t>
  </si>
  <si>
    <t>BILIRRUBINA DIRECTA</t>
  </si>
  <si>
    <t>PROTEINAS TOTAL</t>
  </si>
  <si>
    <t>HDLc</t>
  </si>
  <si>
    <t>LDLc</t>
  </si>
  <si>
    <t>BILIRRUBINA TOTAL</t>
  </si>
  <si>
    <t>TOTAL PIEZA QUIRURGICA (HISTOLOGIA)</t>
  </si>
  <si>
    <t xml:space="preserve">TOTAL BAAF </t>
  </si>
  <si>
    <t>FOSFATASA ALCALINA</t>
  </si>
  <si>
    <t xml:space="preserve">   TOTAL CITOLOGIA ESPECIAL</t>
  </si>
  <si>
    <t>HECES SERIADO</t>
  </si>
  <si>
    <t>TOTAL EXAMENES ANATOMIA PATOLOGICA</t>
  </si>
  <si>
    <t xml:space="preserve">GASES ARTERIALES </t>
  </si>
  <si>
    <t>ELECTROLITOS</t>
  </si>
  <si>
    <t>TEST COOMBS DIRECTO</t>
  </si>
  <si>
    <t>TEST DE COOMBS INDIRECTO</t>
  </si>
  <si>
    <t>HEMATOCRITO</t>
  </si>
  <si>
    <t>HEMOGLOBINA</t>
  </si>
  <si>
    <t>PSA LIBRE</t>
  </si>
  <si>
    <t>SUDAN</t>
  </si>
  <si>
    <t>BENEDICT</t>
  </si>
  <si>
    <t>LIPASA</t>
  </si>
  <si>
    <t>TRANSFERRINA</t>
  </si>
  <si>
    <t xml:space="preserve">COMPLEMENTO C3 </t>
  </si>
  <si>
    <t xml:space="preserve">   COMPLEMENTO C4</t>
  </si>
  <si>
    <t>PROCALCITONINA</t>
  </si>
  <si>
    <t>INSULINA</t>
  </si>
  <si>
    <t>HIERRO</t>
  </si>
  <si>
    <t>FERRITINA</t>
  </si>
  <si>
    <t>VITAMINA B12</t>
  </si>
  <si>
    <t>RUBEOLA IgM/IgG</t>
  </si>
  <si>
    <t>ANA/ENA</t>
  </si>
  <si>
    <t>TINTA CHINA</t>
  </si>
  <si>
    <t>EXAMEN DIRECTO DE HECES</t>
  </si>
  <si>
    <t>EXÁMEN COMPLETO DE ORINA</t>
  </si>
  <si>
    <t xml:space="preserve">PRUEBAS RAPIDAS </t>
  </si>
  <si>
    <t>PRUEBAS QUIMIOLUMINISCENCIA</t>
  </si>
  <si>
    <t>HIV Ag/Ab COMBO</t>
  </si>
  <si>
    <t>VDRL</t>
  </si>
  <si>
    <t>RPR</t>
  </si>
  <si>
    <t>COPROPARASITOLOGICO FUNCIONAL</t>
  </si>
  <si>
    <t>VHS I Ig M/Ig G</t>
  </si>
  <si>
    <t>VHS II Ig M/Ig G</t>
  </si>
  <si>
    <t>ENERO</t>
  </si>
  <si>
    <t>RETICULOCITOS</t>
  </si>
  <si>
    <t>CONSTANTES CORPUSCULARES</t>
  </si>
  <si>
    <t>ANTI VHC - Ab (HEPATITIS C)</t>
  </si>
  <si>
    <t>ANTICORE VHB (HEPATITIS B CORE)</t>
  </si>
  <si>
    <t>ANTIGENO SUPERFICIE VHB (HEPATITIS B)</t>
  </si>
  <si>
    <t>VIH (I - II Ab)</t>
  </si>
  <si>
    <t>ANTI VHA - IgM (HEPATITIS A)</t>
  </si>
  <si>
    <t>AFP (ALFA FETO PROTEINA)</t>
  </si>
  <si>
    <t>CEA (ANTIGENO CARCINOEMBRIONARIO)</t>
  </si>
  <si>
    <t>CA 19.9</t>
  </si>
  <si>
    <t>CA 15.3</t>
  </si>
  <si>
    <t>CA 125</t>
  </si>
  <si>
    <t>METAXENICAS (REFERENCIAL)</t>
  </si>
  <si>
    <t>CULTIVO DE TB (REFERENCIAL)</t>
  </si>
  <si>
    <t>PH LÍQUIDOS CORPORALES</t>
  </si>
  <si>
    <t>BACILOSCOPIA DE LÍQUIDOS CORPORALES</t>
  </si>
  <si>
    <t>T3 LIBRE</t>
  </si>
  <si>
    <t>T4 LIBRE</t>
  </si>
  <si>
    <t>BANCO DE SANGRE</t>
  </si>
  <si>
    <t>EXAMEN DE PROCEDIMIENTO BIOQUÍMICO</t>
  </si>
  <si>
    <t>EXAMEN DE PROCEDIMIENTO HEMATOLÓGICO - HEMOSTASICOS</t>
  </si>
  <si>
    <t>TOTAL EXAMENES HEMATOLÓGICOS -HEMOSTASICOS</t>
  </si>
  <si>
    <t>EXAMEN DE PROCEDIMIENTOS MICROBIOLÓGICOS</t>
  </si>
  <si>
    <t>EXAMEN DE PROCEDIMIENTOS INMUNOLÓGICOS</t>
  </si>
  <si>
    <t>COLORACIÓN GRAM (Secrec.Vaginal y Otros)</t>
  </si>
  <si>
    <t>EXAMEN DE PROCEDIMIENTO ANATOMO PATOLÓGICO</t>
  </si>
  <si>
    <t>EXAMEN DE PROCEDIMIENTOS UROPARASITOLÓGICOS</t>
  </si>
  <si>
    <t>EXAMEN DE PROGRAMAS</t>
  </si>
  <si>
    <t xml:space="preserve">TOTAL DE EXAMENES </t>
  </si>
  <si>
    <t>Insolvencia</t>
  </si>
  <si>
    <t>PATOLOGÍA CLÍNICA</t>
  </si>
  <si>
    <t>ANATOMÍA PATOLÓGICA</t>
  </si>
  <si>
    <t>TOTAL DE UNIDADES ENTREGADAS</t>
  </si>
  <si>
    <t>UNIDADES DE BANCO DE SANGRE</t>
  </si>
  <si>
    <t>TOTAL DE ATENCIONES EN EL DEPARTAMENTO DE PATOLOGIA CLÍNICA Y ANATOMIA PATOLOGICA</t>
  </si>
  <si>
    <t>METODO DE CONCENTRACIÓN (BAERMANN)</t>
  </si>
  <si>
    <t>Privado</t>
  </si>
  <si>
    <t>Convenio</t>
  </si>
  <si>
    <t>ANTI HVC (HEPATITIS C)</t>
  </si>
  <si>
    <t>ANTI HBc (HEPATITIS B CORE)</t>
  </si>
  <si>
    <t>HBsAg (ANTIGENO DE SUPERFICIE)</t>
  </si>
  <si>
    <t>LACTATO DESHIDROGENASA (DHL)</t>
  </si>
  <si>
    <t>PRUEBA RAPIDA DE DENGUE</t>
  </si>
  <si>
    <t>PRUEBA RAPIDA DE COVID</t>
  </si>
  <si>
    <t>TOTAL DE TEJIDOS INCLUIDOS</t>
  </si>
  <si>
    <t>TOTAL DE CORTES DE TEJIDOS</t>
  </si>
  <si>
    <t>TOTAL DE LÁMINAS MONTADAS</t>
  </si>
  <si>
    <t>SANGRE TOTAL</t>
  </si>
  <si>
    <t>GLOBULOS ROJOS</t>
  </si>
  <si>
    <t>PLASMA FRESCO CONGELADO</t>
  </si>
  <si>
    <t>CRIOPRECIPITADO</t>
  </si>
  <si>
    <t>PROGRAMAS / METAXENICAS</t>
  </si>
  <si>
    <t>LEISHMANIA</t>
  </si>
  <si>
    <t>PROGRAMA LEPRAE</t>
  </si>
  <si>
    <t>FEBRERO</t>
  </si>
  <si>
    <t>MARZO</t>
  </si>
  <si>
    <t>HELICOBACTER PILORY IGM</t>
  </si>
  <si>
    <t>HELICOBACTER PILORY IGG</t>
  </si>
  <si>
    <t>Programa</t>
  </si>
  <si>
    <t>PRUEBA CRUZADA MAYOR</t>
  </si>
  <si>
    <t>PRUEBA CRUZADA MENOR</t>
  </si>
  <si>
    <t>GRUPO SANGUINEO ABO EN GEL</t>
  </si>
  <si>
    <t>ABRIL</t>
  </si>
  <si>
    <t>T COAGULACIÓN &amp; T SANGRÍA</t>
  </si>
  <si>
    <t>ADENOVIRUS &amp; ROTAVIRUS</t>
  </si>
  <si>
    <t>GRUPO SANGUINEO Y FACTOR RH</t>
  </si>
  <si>
    <t>VELOCIDAD DE SEDIMENTACIÓN GLOBULAR</t>
  </si>
  <si>
    <t>MAYO</t>
  </si>
  <si>
    <t>GLUCOSA POST PRANDIAL</t>
  </si>
  <si>
    <t>ANTI VHA-IGM (HEPATITIS A)</t>
  </si>
  <si>
    <t>FOSFORO</t>
  </si>
  <si>
    <t>PARATOHORMONA</t>
  </si>
  <si>
    <t>JUNIO</t>
  </si>
  <si>
    <t>JULIO</t>
  </si>
  <si>
    <t>ROSA DE BENGALA</t>
  </si>
  <si>
    <t>AGOSTO</t>
  </si>
  <si>
    <t>TOTAL DE HISTOQUIMICA</t>
  </si>
  <si>
    <t>SETIEMBRE</t>
  </si>
  <si>
    <t>OCTUBRE</t>
  </si>
  <si>
    <t>CORTISOL</t>
  </si>
  <si>
    <t>HORMONA LUTEINIZANTE</t>
  </si>
  <si>
    <t>HORMONA FSH</t>
  </si>
  <si>
    <t>PEPTIDO CICLICLO (ANTICCP)</t>
  </si>
  <si>
    <t>NOVIEMBRE</t>
  </si>
  <si>
    <t>GGTP</t>
  </si>
  <si>
    <t>ACIDO FOLICO</t>
  </si>
  <si>
    <t xml:space="preserve">Código Renipress: </t>
  </si>
  <si>
    <t>DICIEMBRE</t>
  </si>
  <si>
    <t xml:space="preserve">ACTH </t>
  </si>
  <si>
    <t xml:space="preserve">   ANCA</t>
  </si>
  <si>
    <t>ENERO A DICIEMBRE</t>
  </si>
  <si>
    <t>PRUEBA RÁPIDA DE LEPTOSPIRA</t>
  </si>
  <si>
    <t>ANTIGENO H. PYLORI EN HECES</t>
  </si>
  <si>
    <t>PRUEBA RAPIDA DE LEPTOSPIRA</t>
  </si>
  <si>
    <t>PRUEBA RAPIDA DE COVID + INFLUENZA</t>
  </si>
  <si>
    <t>ANTI MIELOPEROXIDASA (MPO)</t>
  </si>
  <si>
    <t>ANTI PROTEINASA 3 (PR3)</t>
  </si>
  <si>
    <t>ANTI CARDIOLIPINA</t>
  </si>
  <si>
    <t>ANA (ELISA)</t>
  </si>
  <si>
    <t>ESTRADIOL</t>
  </si>
  <si>
    <t>MICROALBUMINURIA</t>
  </si>
  <si>
    <t>ANTI B2-GLICOPROTEINA</t>
  </si>
  <si>
    <t>ANTI M2-3E (AMA)</t>
  </si>
  <si>
    <t>TOTAL DE INMUNOHISTOQUIMICA</t>
  </si>
  <si>
    <t>B2 MICROGLOBULINA</t>
  </si>
  <si>
    <t>MES</t>
  </si>
  <si>
    <t>GRAFICA DE PRODUCCIÓN TOTAL DEL DEPARTAMENTO DE PATOLOGÍA CLÍNICA Y ANATOMIA PATOLÓGICA: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</si>
  <si>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</si>
  <si>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</si>
  <si>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</si>
  <si>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</si>
  <si>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</si>
  <si>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</si>
  <si>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</si>
  <si>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</si>
  <si>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</si>
  <si>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</si>
  <si>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ENE</t>
  </si>
  <si>
    <t>FEB</t>
  </si>
  <si>
    <t>EXAMEN DE PROCEDIMIENTO SERVICIO DE ANATOMÍA PATOLÓGICA</t>
  </si>
  <si>
    <t>EXAMEN DE PROCEDIMIENTOS SERVICIO DE MICROBIOLOGIA E INMUNOLOGIA</t>
  </si>
  <si>
    <t>EXAMEN DE PROCEDIMIENTO SERVICIO DE BIOQUÍMICA, HEMATOLOGÍA Y HEMOSTASIA</t>
  </si>
  <si>
    <t>PRECIO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</si>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</sst>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5" borderId="14" applyNumberFormat="0" applyAlignment="0" applyProtection="0"/>
  </cellStyleXfs>
  <cellXfs count="185">
    <xf numFmtId="0" fontId="0" fillId="0" borderId="0" xfId="0"/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indent="1"/>
    </xf>
    <xf numFmtId="3" fontId="0" fillId="2" borderId="2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left" vertical="center" indent="1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left" vertical="center" indent="1"/>
    </xf>
    <xf numFmtId="0" fontId="0" fillId="0" borderId="9" xfId="0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1" fillId="2" borderId="6" xfId="0" applyNumberFormat="1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left" vertical="center" indent="1"/>
    </xf>
    <xf numFmtId="3" fontId="1" fillId="2" borderId="8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6" fillId="5" borderId="0" xfId="2" applyBorder="1" applyAlignment="1">
      <alignment horizontal="center" vertical="center"/>
    </xf>
    <xf numFmtId="0" fontId="0" fillId="0" borderId="13" xfId="0" applyBorder="1" applyAlignment="1">
      <alignment vertical="center"/>
    </xf>
    <xf numFmtId="3" fontId="0" fillId="0" borderId="10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0" xfId="0" applyFont="1"/>
    <xf numFmtId="0" fontId="1" fillId="2" borderId="24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5" xfId="0" applyFont="1" applyBorder="1" applyAlignment="1">
      <alignment horizontal="left" vertical="center" indent="1"/>
    </xf>
    <xf numFmtId="0" fontId="1" fillId="2" borderId="25" xfId="0" applyFont="1" applyFill="1" applyBorder="1" applyAlignment="1">
      <alignment horizontal="center" vertical="center"/>
    </xf>
    <xf numFmtId="0" fontId="6" fillId="5" borderId="24" xfId="2" applyBorder="1" applyAlignment="1">
      <alignment horizontal="center" vertical="center"/>
    </xf>
    <xf numFmtId="3" fontId="6" fillId="5" borderId="24" xfId="2" applyNumberFormat="1" applyBorder="1" applyAlignment="1">
      <alignment horizontal="center" vertical="center"/>
    </xf>
    <xf numFmtId="0" fontId="1" fillId="0" borderId="15" xfId="0" applyFont="1" applyBorder="1" applyAlignment="1">
      <alignment horizontal="left" vertical="center" wrapText="1" indent="1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 applyAlignment="1">
      <alignment horizontal="left" vertical="top" indent="1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3" borderId="15" xfId="0" applyFont="1" applyFill="1" applyBorder="1" applyAlignment="1">
      <alignment horizontal="left" vertical="center" indent="1"/>
    </xf>
    <xf numFmtId="0" fontId="2" fillId="3" borderId="15" xfId="0" applyFont="1" applyFill="1" applyBorder="1" applyAlignment="1">
      <alignment horizontal="left" vertical="center" indent="1"/>
    </xf>
    <xf numFmtId="0" fontId="1" fillId="0" borderId="15" xfId="0" applyFont="1" applyBorder="1" applyAlignment="1">
      <alignment horizontal="left"/>
    </xf>
    <xf numFmtId="0" fontId="5" fillId="4" borderId="15" xfId="1" applyBorder="1" applyAlignment="1">
      <alignment horizontal="left" vertical="center" indent="1"/>
    </xf>
    <xf numFmtId="0" fontId="5" fillId="4" borderId="16" xfId="1" applyBorder="1" applyAlignment="1">
      <alignment horizontal="left" vertical="center" indent="1"/>
    </xf>
    <xf numFmtId="0" fontId="1" fillId="0" borderId="1" xfId="0" applyFont="1" applyBorder="1" applyAlignment="1">
      <alignment vertical="center"/>
    </xf>
    <xf numFmtId="0" fontId="0" fillId="0" borderId="27" xfId="0" applyBorder="1" applyAlignment="1">
      <alignment horizontal="center"/>
    </xf>
    <xf numFmtId="0" fontId="1" fillId="0" borderId="24" xfId="0" applyFont="1" applyBorder="1" applyAlignment="1">
      <alignment horizontal="center"/>
    </xf>
    <xf numFmtId="3" fontId="0" fillId="0" borderId="24" xfId="0" applyNumberFormat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28" xfId="0" applyFont="1" applyBorder="1" applyAlignment="1">
      <alignment horizontal="left" inden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7" xfId="0" applyBorder="1" applyAlignment="1">
      <alignment horizontal="center" vertical="top"/>
    </xf>
    <xf numFmtId="0" fontId="0" fillId="0" borderId="17" xfId="0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 indent="1"/>
    </xf>
    <xf numFmtId="0" fontId="1" fillId="7" borderId="1" xfId="0" applyFont="1" applyFill="1" applyBorder="1" applyAlignment="1">
      <alignment horizontal="center" vertical="center"/>
    </xf>
    <xf numFmtId="3" fontId="1" fillId="7" borderId="1" xfId="0" applyNumberFormat="1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3" fontId="1" fillId="7" borderId="4" xfId="0" applyNumberFormat="1" applyFont="1" applyFill="1" applyBorder="1" applyAlignment="1">
      <alignment horizontal="center" vertical="center"/>
    </xf>
    <xf numFmtId="3" fontId="1" fillId="7" borderId="8" xfId="0" applyNumberFormat="1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left" vertical="center" indent="1"/>
    </xf>
    <xf numFmtId="0" fontId="1" fillId="7" borderId="24" xfId="0" applyFont="1" applyFill="1" applyBorder="1" applyAlignment="1">
      <alignment horizontal="center" vertical="center"/>
    </xf>
    <xf numFmtId="0" fontId="7" fillId="0" borderId="1" xfId="2" applyFont="1" applyFill="1" applyBorder="1" applyAlignment="1">
      <alignment horizontal="left" vertical="center" indent="1"/>
    </xf>
    <xf numFmtId="0" fontId="6" fillId="0" borderId="1" xfId="2" applyFill="1" applyBorder="1" applyAlignment="1">
      <alignment horizontal="center" vertical="center"/>
    </xf>
    <xf numFmtId="3" fontId="6" fillId="0" borderId="1" xfId="2" applyNumberFormat="1" applyFill="1" applyBorder="1" applyAlignment="1">
      <alignment horizontal="center" vertical="center"/>
    </xf>
    <xf numFmtId="3" fontId="6" fillId="2" borderId="1" xfId="2" applyNumberFormat="1" applyFill="1" applyBorder="1" applyAlignment="1">
      <alignment horizontal="center" vertical="center"/>
    </xf>
    <xf numFmtId="0" fontId="6" fillId="0" borderId="6" xfId="2" applyFill="1" applyBorder="1" applyAlignment="1">
      <alignment horizontal="center" vertical="center"/>
    </xf>
    <xf numFmtId="0" fontId="0" fillId="0" borderId="15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17" xfId="0" applyFill="1" applyBorder="1" applyAlignment="1">
      <alignment horizontal="center" vertical="center"/>
    </xf>
    <xf numFmtId="0" fontId="1" fillId="7" borderId="28" xfId="0" applyFont="1" applyFill="1" applyBorder="1" applyAlignment="1">
      <alignment horizontal="left" vertical="center" indent="1"/>
    </xf>
    <xf numFmtId="0" fontId="1" fillId="7" borderId="29" xfId="0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top"/>
    </xf>
    <xf numFmtId="0" fontId="0" fillId="0" borderId="22" xfId="0" applyBorder="1" applyAlignment="1">
      <alignment horizontal="center" vertical="top"/>
    </xf>
    <xf numFmtId="0" fontId="1" fillId="2" borderId="23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7" fillId="0" borderId="4" xfId="2" applyFont="1" applyFill="1" applyBorder="1" applyAlignment="1">
      <alignment horizontal="left" vertical="center" indent="1"/>
    </xf>
    <xf numFmtId="3" fontId="6" fillId="2" borderId="6" xfId="2" applyNumberFormat="1" applyFill="1" applyBorder="1" applyAlignment="1">
      <alignment horizontal="center" vertical="center"/>
    </xf>
    <xf numFmtId="0" fontId="0" fillId="0" borderId="8" xfId="0" applyBorder="1" applyAlignment="1">
      <alignment horizontal="left" indent="1"/>
    </xf>
    <xf numFmtId="0" fontId="0" fillId="0" borderId="10" xfId="0" applyBorder="1" applyAlignment="1">
      <alignment horizontal="left" indent="1"/>
    </xf>
    <xf numFmtId="0" fontId="0" fillId="0" borderId="12" xfId="0" applyBorder="1" applyAlignment="1">
      <alignment horizontal="left" indent="1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3" fontId="1" fillId="2" borderId="12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3" fontId="1" fillId="7" borderId="6" xfId="0" applyNumberFormat="1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left" vertical="center" indent="1"/>
    </xf>
    <xf numFmtId="0" fontId="1" fillId="7" borderId="3" xfId="0" applyFont="1" applyFill="1" applyBorder="1" applyAlignment="1">
      <alignment horizontal="left" vertical="center" indent="1"/>
    </xf>
    <xf numFmtId="0" fontId="0" fillId="0" borderId="30" xfId="0" applyBorder="1" applyAlignment="1">
      <alignment horizontal="center" vertical="top"/>
    </xf>
    <xf numFmtId="0" fontId="0" fillId="0" borderId="20" xfId="0" applyBorder="1" applyAlignment="1">
      <alignment horizontal="center"/>
    </xf>
    <xf numFmtId="0" fontId="0" fillId="0" borderId="10" xfId="0" applyBorder="1" applyAlignment="1">
      <alignment horizontal="left" vertical="center" indent="1"/>
    </xf>
    <xf numFmtId="0" fontId="0" fillId="0" borderId="12" xfId="0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24" xfId="0" applyBorder="1" applyAlignment="1">
      <alignment vertical="center"/>
    </xf>
    <xf numFmtId="0" fontId="6" fillId="0" borderId="1" xfId="2" applyFill="1" applyBorder="1" applyAlignment="1">
      <alignment vertical="center"/>
    </xf>
    <xf numFmtId="0" fontId="0" fillId="0" borderId="21" xfId="0" applyBorder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7" borderId="0" xfId="0" applyNumberFormat="1" applyFont="1" applyFill="1" applyAlignment="1">
      <alignment horizontal="center" vertical="center"/>
    </xf>
    <xf numFmtId="3" fontId="6" fillId="2" borderId="0" xfId="2" applyNumberFormat="1" applyFill="1" applyBorder="1" applyAlignment="1">
      <alignment horizontal="center" vertical="center"/>
    </xf>
    <xf numFmtId="0" fontId="1" fillId="6" borderId="0" xfId="0" applyFont="1" applyFill="1" applyAlignment="1">
      <alignment horizontal="left" vertical="center" indent="1"/>
    </xf>
    <xf numFmtId="2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top"/>
    </xf>
    <xf numFmtId="3" fontId="6" fillId="5" borderId="0" xfId="2" applyNumberFormat="1" applyBorder="1" applyAlignment="1">
      <alignment horizontal="center" vertical="center"/>
    </xf>
    <xf numFmtId="2" fontId="1" fillId="6" borderId="0" xfId="0" applyNumberFormat="1" applyFont="1" applyFill="1" applyAlignment="1">
      <alignment horizontal="left" vertical="center" indent="1"/>
    </xf>
    <xf numFmtId="0" fontId="0" fillId="8" borderId="0" xfId="0" applyFill="1" applyAlignment="1">
      <alignment vertical="center"/>
    </xf>
    <xf numFmtId="0" fontId="0" fillId="8" borderId="0" xfId="0" applyFill="1"/>
    <xf numFmtId="0" fontId="0" fillId="9" borderId="0" xfId="0" applyFill="1" applyAlignment="1">
      <alignment vertical="center"/>
    </xf>
    <xf numFmtId="0" fontId="0" fillId="9" borderId="0" xfId="0" applyFill="1"/>
    <xf numFmtId="0" fontId="0" fillId="10" borderId="0" xfId="0" applyFill="1" applyAlignment="1">
      <alignment vertical="center"/>
    </xf>
    <xf numFmtId="0" fontId="0" fillId="10" borderId="0" xfId="0" applyFill="1"/>
    <xf numFmtId="0" fontId="0" fillId="11" borderId="0" xfId="0" applyFill="1" applyAlignment="1">
      <alignment vertical="center"/>
    </xf>
    <xf numFmtId="0" fontId="0" fillId="11" borderId="0" xfId="0" applyFill="1"/>
    <xf numFmtId="0" fontId="0" fillId="12" borderId="0" xfId="0" applyFill="1" applyAlignment="1">
      <alignment vertical="center"/>
    </xf>
    <xf numFmtId="0" fontId="0" fillId="12" borderId="0" xfId="0" applyFill="1"/>
    <xf numFmtId="0" fontId="0" fillId="13" borderId="0" xfId="0" applyFill="1" applyAlignment="1">
      <alignment vertical="center"/>
    </xf>
    <xf numFmtId="0" fontId="0" fillId="13" borderId="0" xfId="0" applyFill="1"/>
    <xf numFmtId="0" fontId="0" fillId="14" borderId="0" xfId="0" applyFill="1"/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21" xfId="0" applyFont="1" applyBorder="1" applyAlignment="1">
      <alignment horizontal="center" vertical="top"/>
    </xf>
    <xf numFmtId="0" fontId="1" fillId="0" borderId="22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6" borderId="19" xfId="0" applyFont="1" applyFill="1" applyBorder="1" applyAlignment="1">
      <alignment horizontal="left" vertical="center" indent="1"/>
    </xf>
    <xf numFmtId="0" fontId="1" fillId="6" borderId="7" xfId="0" applyFont="1" applyFill="1" applyBorder="1" applyAlignment="1">
      <alignment horizontal="left" vertical="center" indent="1"/>
    </xf>
    <xf numFmtId="0" fontId="1" fillId="6" borderId="6" xfId="0" applyFont="1" applyFill="1" applyBorder="1" applyAlignment="1">
      <alignment horizontal="left" vertical="center" indent="1"/>
    </xf>
    <xf numFmtId="0" fontId="0" fillId="0" borderId="0" xfId="0"/>
    <xf numFmtId="0" fontId="1" fillId="6" borderId="1" xfId="0" applyFont="1" applyFill="1" applyBorder="1" applyAlignment="1">
      <alignment horizontal="left" vertical="center" indent="1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1" fillId="6" borderId="4" xfId="0" applyFont="1" applyFill="1" applyBorder="1" applyAlignment="1">
      <alignment horizontal="left" vertical="center" indent="1"/>
    </xf>
    <xf numFmtId="0" fontId="1" fillId="6" borderId="5" xfId="0" applyFont="1" applyFill="1" applyBorder="1" applyAlignment="1">
      <alignment horizontal="left" vertical="center" indent="1"/>
    </xf>
    <xf numFmtId="0" fontId="1" fillId="0" borderId="31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</cellXfs>
  <cellStyles count="3">
    <cellStyle name="Incorrecto" xfId="1" builtinId="27"/>
    <cellStyle name="Normal" xfId="0" builtinId="0"/>
    <cellStyle name="Salida" xfId="2" builtinId="21"/>
  </cellStyles>
  <dxfs count="0"/>
  <tableStyles count="0" defaultTableStyle="TableStyleMedium2" defaultPivotStyle="PivotStyleLight16"/>
  <colors>
    <mruColors>
      <color rgb="FFFFFF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PRODUCCIÓN DEL DPTO.</a:t>
            </a:r>
            <a:r>
              <a:rPr lang="en-US" baseline="0"/>
              <a:t> PATOLOGIA CLINICA Y ANATOMÍA PATOLÓGICA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Hoja1!$B$4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5.527777777777778E-2"/>
                  <c:y val="-4.16666666666666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C51-4CC6-8D04-4FFBB15ABA6D}"/>
                </c:ext>
              </c:extLst>
            </c:dLbl>
            <c:dLbl>
              <c:idx val="1"/>
              <c:layout>
                <c:manualLayout>
                  <c:x val="-5.2499999999999998E-2"/>
                  <c:y val="4.6296296296296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C51-4CC6-8D04-4FFBB15ABA6D}"/>
                </c:ext>
              </c:extLst>
            </c:dLbl>
            <c:dLbl>
              <c:idx val="2"/>
              <c:layout>
                <c:manualLayout>
                  <c:x val="-5.5277728646538835E-2"/>
                  <c:y val="-4.01615432745829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C51-4CC6-8D04-4FFBB15ABA6D}"/>
                </c:ext>
              </c:extLst>
            </c:dLbl>
            <c:dLbl>
              <c:idx val="3"/>
              <c:layout>
                <c:manualLayout>
                  <c:x val="-6.361111111111116E-2"/>
                  <c:y val="4.6296296296296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C51-4CC6-8D04-4FFBB15ABA6D}"/>
                </c:ext>
              </c:extLst>
            </c:dLbl>
            <c:dLbl>
              <c:idx val="4"/>
              <c:layout>
                <c:manualLayout>
                  <c:x val="-5.5277777777777877E-2"/>
                  <c:y val="3.70370370370370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C51-4CC6-8D04-4FFBB15ABA6D}"/>
                </c:ext>
              </c:extLst>
            </c:dLbl>
            <c:dLbl>
              <c:idx val="5"/>
              <c:layout>
                <c:manualLayout>
                  <c:x val="-5.527777777777778E-2"/>
                  <c:y val="3.70370370370370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51-4CC6-8D04-4FFBB15ABA6D}"/>
                </c:ext>
              </c:extLst>
            </c:dLbl>
            <c:dLbl>
              <c:idx val="6"/>
              <c:layout>
                <c:manualLayout>
                  <c:x val="-4.5638678078762283E-2"/>
                  <c:y val="-3.55320445625412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C51-4CC6-8D04-4FFBB15ABA6D}"/>
                </c:ext>
              </c:extLst>
            </c:dLbl>
            <c:dLbl>
              <c:idx val="7"/>
              <c:layout>
                <c:manualLayout>
                  <c:x val="-5.0458303065277599E-2"/>
                  <c:y val="4.01615432745829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C51-4CC6-8D04-4FFBB15ABA6D}"/>
                </c:ext>
              </c:extLst>
            </c:dLbl>
            <c:dLbl>
              <c:idx val="8"/>
              <c:layout>
                <c:manualLayout>
                  <c:x val="-3.8603455818022846E-2"/>
                  <c:y val="-2.77777777777778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51-4CC6-8D04-4FFBB15ABA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Hoja1!$A$5:$A$16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Hoja1!$B$5:$B$16</c:f>
              <c:numCache>
                <c:formatCode>General</c:formatCode>
                <c:ptCount val="12"/>
                <c:pt idx="0">
                  <c:v>48826</c:v>
                </c:pt>
                <c:pt idx="1">
                  <c:v>38183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51-4CC6-8D04-4FFBB15ABA6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92125248"/>
        <c:axId val="2092126912"/>
      </c:lineChart>
      <c:catAx>
        <c:axId val="209212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2126912"/>
        <c:crosses val="autoZero"/>
        <c:auto val="1"/>
        <c:lblAlgn val="ctr"/>
        <c:lblOffset val="100"/>
        <c:noMultiLvlLbl val="0"/>
      </c:catAx>
      <c:valAx>
        <c:axId val="209212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212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DISTRUBUCIÓN DE ATENCIONES POR SERVICIOS 2025.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'Hoja1 (2)'!$A$17</c:f>
              <c:strCache>
                <c:ptCount val="1"/>
                <c:pt idx="0">
                  <c:v>EXAMEN DE PROCEDIMIENTO BIOQUÍMICO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'Hoja1 (2)'!$B$16:$M$16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'Hoja1 (2)'!$B$17:$M$17</c:f>
              <c:numCache>
                <c:formatCode>General</c:formatCode>
                <c:ptCount val="12"/>
                <c:pt idx="0">
                  <c:v>27511</c:v>
                </c:pt>
                <c:pt idx="1">
                  <c:v>29068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E6-4A91-91E0-70E9FBC9BBE7}"/>
            </c:ext>
          </c:extLst>
        </c:ser>
        <c:ser>
          <c:idx val="1"/>
          <c:order val="1"/>
          <c:tx>
            <c:strRef>
              <c:f>'Hoja1 (2)'!$A$18</c:f>
              <c:strCache>
                <c:ptCount val="1"/>
                <c:pt idx="0">
                  <c:v>EXAMEN DE PROCEDIMIENTO HEMATOLÓGICO - HEMOSTASICOS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'Hoja1 (2)'!$B$16:$M$16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'Hoja1 (2)'!$B$18:$M$18</c:f>
              <c:numCache>
                <c:formatCode>General</c:formatCode>
                <c:ptCount val="12"/>
                <c:pt idx="0">
                  <c:v>11406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E6-4A91-91E0-70E9FBC9BBE7}"/>
            </c:ext>
          </c:extLst>
        </c:ser>
        <c:ser>
          <c:idx val="2"/>
          <c:order val="2"/>
          <c:tx>
            <c:strRef>
              <c:f>'Hoja1 (2)'!$A$19</c:f>
              <c:strCache>
                <c:ptCount val="1"/>
                <c:pt idx="0">
                  <c:v>EXAMEN DE PROCEDIMIENTOS MICROBIOLÓGICOS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'Hoja1 (2)'!$B$16:$M$16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'Hoja1 (2)'!$B$19:$M$19</c:f>
              <c:numCache>
                <c:formatCode>General</c:formatCode>
                <c:ptCount val="12"/>
                <c:pt idx="0">
                  <c:v>856</c:v>
                </c:pt>
                <c:pt idx="1">
                  <c:v>6767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E6-4A91-91E0-70E9FBC9BBE7}"/>
            </c:ext>
          </c:extLst>
        </c:ser>
        <c:ser>
          <c:idx val="3"/>
          <c:order val="3"/>
          <c:tx>
            <c:strRef>
              <c:f>'Hoja1 (2)'!$A$20</c:f>
              <c:strCache>
                <c:ptCount val="1"/>
                <c:pt idx="0">
                  <c:v>EXAMEN DE PROCEDIMIENTOS UROPARASITOLÓGICOS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'Hoja1 (2)'!$B$16:$M$16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'Hoja1 (2)'!$B$20:$M$20</c:f>
              <c:numCache>
                <c:formatCode>General</c:formatCode>
                <c:ptCount val="12"/>
                <c:pt idx="0">
                  <c:v>1701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E6-4A91-91E0-70E9FBC9BBE7}"/>
            </c:ext>
          </c:extLst>
        </c:ser>
        <c:ser>
          <c:idx val="4"/>
          <c:order val="4"/>
          <c:tx>
            <c:strRef>
              <c:f>'Hoja1 (2)'!$A$21</c:f>
              <c:strCache>
                <c:ptCount val="1"/>
                <c:pt idx="0">
                  <c:v>EXAMEN DE PROCEDIMIENTOS INMUNOLÓGICOS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'Hoja1 (2)'!$B$16:$M$16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'Hoja1 (2)'!$B$21:$M$21</c:f>
              <c:numCache>
                <c:formatCode>General</c:formatCode>
                <c:ptCount val="12"/>
                <c:pt idx="0">
                  <c:v>4030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E6-4A91-91E0-70E9FBC9BBE7}"/>
            </c:ext>
          </c:extLst>
        </c:ser>
        <c:ser>
          <c:idx val="5"/>
          <c:order val="5"/>
          <c:tx>
            <c:strRef>
              <c:f>'Hoja1 (2)'!$A$22</c:f>
              <c:strCache>
                <c:ptCount val="1"/>
                <c:pt idx="0">
                  <c:v>EXAMEN DE PROCEDIMIENTO ANATOMO PATOLÓGICO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'Hoja1 (2)'!$B$16:$M$16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'Hoja1 (2)'!$B$22:$M$22</c:f>
              <c:numCache>
                <c:formatCode>General</c:formatCode>
                <c:ptCount val="12"/>
                <c:pt idx="0">
                  <c:v>1972</c:v>
                </c:pt>
                <c:pt idx="1">
                  <c:v>1925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9E6-4A91-91E0-70E9FBC9BBE7}"/>
            </c:ext>
          </c:extLst>
        </c:ser>
        <c:ser>
          <c:idx val="6"/>
          <c:order val="6"/>
          <c:tx>
            <c:strRef>
              <c:f>'Hoja1 (2)'!$A$23</c:f>
              <c:strCache>
                <c:ptCount val="1"/>
                <c:pt idx="0">
                  <c:v>EXAMEN DE PROGRAMAS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'Hoja1 (2)'!$B$16:$M$16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'Hoja1 (2)'!$B$23:$M$23</c:f>
              <c:numCache>
                <c:formatCode>General</c:formatCode>
                <c:ptCount val="12"/>
                <c:pt idx="0">
                  <c:v>405</c:v>
                </c:pt>
                <c:pt idx="1">
                  <c:v>419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E6-4A91-91E0-70E9FBC9BBE7}"/>
            </c:ext>
          </c:extLst>
        </c:ser>
        <c:ser>
          <c:idx val="7"/>
          <c:order val="7"/>
          <c:tx>
            <c:strRef>
              <c:f>'Hoja1 (2)'!$A$24</c:f>
              <c:strCache>
                <c:ptCount val="1"/>
                <c:pt idx="0">
                  <c:v>UNIDADES DE BANCO DE SANGRE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'Hoja1 (2)'!$B$16:$M$16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'Hoja1 (2)'!$B$24:$M$24</c:f>
              <c:numCache>
                <c:formatCode>General</c:formatCode>
                <c:ptCount val="12"/>
                <c:pt idx="0">
                  <c:v>942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9E6-4A91-91E0-70E9FBC9BBE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4845056"/>
        <c:axId val="24833408"/>
      </c:barChart>
      <c:catAx>
        <c:axId val="2484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4833408"/>
        <c:crosses val="autoZero"/>
        <c:auto val="1"/>
        <c:lblAlgn val="ctr"/>
        <c:lblOffset val="100"/>
        <c:noMultiLvlLbl val="0"/>
      </c:catAx>
      <c:valAx>
        <c:axId val="2483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484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63500</xdr:rowOff>
    </xdr:from>
    <xdr:to>
      <xdr:col>2</xdr:col>
      <xdr:colOff>377296</xdr:colOff>
      <xdr:row>2</xdr:row>
      <xdr:rowOff>63500</xdr:rowOff>
    </xdr:to>
    <xdr:pic>
      <xdr:nvPicPr>
        <xdr:cNvPr id="2" name="Picture 6" descr="OGE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833" y="63500"/>
          <a:ext cx="4364038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63500</xdr:rowOff>
    </xdr:from>
    <xdr:to>
      <xdr:col>2</xdr:col>
      <xdr:colOff>377296</xdr:colOff>
      <xdr:row>2</xdr:row>
      <xdr:rowOff>63500</xdr:rowOff>
    </xdr:to>
    <xdr:pic>
      <xdr:nvPicPr>
        <xdr:cNvPr id="2" name="Picture 6" descr="OGEI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3500"/>
          <a:ext cx="4358746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63500</xdr:rowOff>
    </xdr:from>
    <xdr:to>
      <xdr:col>2</xdr:col>
      <xdr:colOff>377296</xdr:colOff>
      <xdr:row>2</xdr:row>
      <xdr:rowOff>63500</xdr:rowOff>
    </xdr:to>
    <xdr:pic>
      <xdr:nvPicPr>
        <xdr:cNvPr id="2" name="Picture 6" descr="OGEI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3500"/>
          <a:ext cx="4358746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63500</xdr:rowOff>
    </xdr:from>
    <xdr:to>
      <xdr:col>2</xdr:col>
      <xdr:colOff>377296</xdr:colOff>
      <xdr:row>2</xdr:row>
      <xdr:rowOff>63500</xdr:rowOff>
    </xdr:to>
    <xdr:pic>
      <xdr:nvPicPr>
        <xdr:cNvPr id="2" name="Picture 6" descr="OGEI">
          <a:extLst>
            <a:ext uri="{FF2B5EF4-FFF2-40B4-BE49-F238E27FC236}">
              <a16:creationId xmlns:a16="http://schemas.microsoft.com/office/drawing/2014/main" id="{A2F8AA70-200C-49D2-9FE9-59064497D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3500"/>
          <a:ext cx="4358746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63500</xdr:rowOff>
    </xdr:from>
    <xdr:to>
      <xdr:col>2</xdr:col>
      <xdr:colOff>377296</xdr:colOff>
      <xdr:row>2</xdr:row>
      <xdr:rowOff>63500</xdr:rowOff>
    </xdr:to>
    <xdr:pic>
      <xdr:nvPicPr>
        <xdr:cNvPr id="2" name="Picture 6" descr="OGEI">
          <a:extLst>
            <a:ext uri="{FF2B5EF4-FFF2-40B4-BE49-F238E27FC236}">
              <a16:creationId xmlns:a16="http://schemas.microsoft.com/office/drawing/2014/main" id="{AB70CBF8-6F64-4662-8251-81A948713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3500"/>
          <a:ext cx="4358746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63500</xdr:rowOff>
    </xdr:from>
    <xdr:to>
      <xdr:col>2</xdr:col>
      <xdr:colOff>377296</xdr:colOff>
      <xdr:row>2</xdr:row>
      <xdr:rowOff>63500</xdr:rowOff>
    </xdr:to>
    <xdr:pic>
      <xdr:nvPicPr>
        <xdr:cNvPr id="2" name="Picture 6" descr="OGEI">
          <a:extLst>
            <a:ext uri="{FF2B5EF4-FFF2-40B4-BE49-F238E27FC236}">
              <a16:creationId xmlns:a16="http://schemas.microsoft.com/office/drawing/2014/main" id="{44F172F8-BB42-4782-9B44-671FF4421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3500"/>
          <a:ext cx="4358746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500061</xdr:colOff>
      <xdr:row>4</xdr:row>
      <xdr:rowOff>171449</xdr:rowOff>
    </xdr:from>
    <xdr:to>
      <xdr:col>15</xdr:col>
      <xdr:colOff>314324</xdr:colOff>
      <xdr:row>21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250137-4B12-466E-8BC4-BE85B99D23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3714750</xdr:colOff>
      <xdr:row>25</xdr:row>
      <xdr:rowOff>142874</xdr:rowOff>
    </xdr:from>
    <xdr:to>
      <xdr:col>15</xdr:col>
      <xdr:colOff>19050</xdr:colOff>
      <xdr:row>56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3E841E1-D72F-4629-9291-3B65C35C4F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63500</xdr:rowOff>
    </xdr:from>
    <xdr:to>
      <xdr:col>2</xdr:col>
      <xdr:colOff>377296</xdr:colOff>
      <xdr:row>2</xdr:row>
      <xdr:rowOff>63500</xdr:rowOff>
    </xdr:to>
    <xdr:pic>
      <xdr:nvPicPr>
        <xdr:cNvPr id="2" name="Picture 6" descr="OGEI">
          <a:extLst>
            <a:ext uri="{FF2B5EF4-FFF2-40B4-BE49-F238E27FC236}">
              <a16:creationId xmlns:a16="http://schemas.microsoft.com/office/drawing/2014/main" id="{5C5810F5-04E0-4883-BCD7-C5B7483EE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3500"/>
          <a:ext cx="4358746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R160"/>
  <sheetViews>
    <sheetView topLeftCell="A82" zoomScale="80" zoomScaleNormal="80" workbookViewId="0">
      <selection activeCell="H96" sqref="H96"/>
    </sheetView>
  </sheetViews>
  <sheetFormatPr baseColWidth="10" defaultRowHeight="15" x14ac:dyDescent="0.25"/>
  <cols>
    <col min="1" max="1" width="49.85546875" customWidth="1"/>
    <col min="2" max="6" width="9.85546875" customWidth="1"/>
    <col min="7" max="7" width="13.5703125" customWidth="1"/>
    <col min="8" max="8" width="9.28515625" customWidth="1"/>
    <col min="9" max="9" width="9.42578125" customWidth="1"/>
    <col min="10" max="10" width="43.7109375" customWidth="1"/>
    <col min="11" max="15" width="9.28515625" customWidth="1"/>
    <col min="16" max="16" width="10.42578125" customWidth="1"/>
    <col min="17" max="17" width="10" customWidth="1"/>
    <col min="18" max="18" width="2.85546875" customWidth="1"/>
  </cols>
  <sheetData>
    <row r="3" spans="1:18" ht="26.25" x14ac:dyDescent="0.25">
      <c r="A3" s="161"/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</row>
    <row r="4" spans="1:18" ht="15.75" x14ac:dyDescent="0.25">
      <c r="A4" s="1" t="s">
        <v>12</v>
      </c>
      <c r="B4" s="170" t="s">
        <v>16</v>
      </c>
      <c r="C4" s="171"/>
      <c r="D4" s="171"/>
      <c r="E4" s="171"/>
      <c r="F4" s="171"/>
      <c r="G4" s="171"/>
      <c r="H4" s="171"/>
      <c r="I4" s="171"/>
      <c r="J4" s="172"/>
      <c r="K4" s="9" t="s">
        <v>14</v>
      </c>
      <c r="L4" s="162" t="s">
        <v>117</v>
      </c>
      <c r="M4" s="163"/>
      <c r="N4" s="163"/>
      <c r="O4" s="163"/>
      <c r="P4" s="163"/>
      <c r="Q4" s="163"/>
      <c r="R4" s="164"/>
    </row>
    <row r="5" spans="1:18" x14ac:dyDescent="0.25">
      <c r="A5" s="1"/>
      <c r="B5" s="1"/>
      <c r="C5" s="1"/>
      <c r="D5" s="10"/>
      <c r="E5" s="1"/>
      <c r="F5" s="1"/>
      <c r="G5" s="1"/>
      <c r="H5" s="1"/>
      <c r="I5" s="1"/>
      <c r="J5" s="1"/>
      <c r="K5" s="9"/>
      <c r="L5" s="10"/>
      <c r="M5" s="10"/>
      <c r="N5" s="10"/>
      <c r="O5" s="10"/>
      <c r="P5" s="10"/>
      <c r="Q5" s="10"/>
      <c r="R5" s="10"/>
    </row>
    <row r="6" spans="1:18" x14ac:dyDescent="0.25">
      <c r="A6" s="1" t="s">
        <v>15</v>
      </c>
      <c r="B6" s="30">
        <v>3</v>
      </c>
      <c r="C6" s="1"/>
      <c r="D6" s="10"/>
      <c r="E6" s="1"/>
      <c r="F6" s="1"/>
      <c r="G6" s="1"/>
      <c r="H6" s="1"/>
      <c r="I6" s="1"/>
      <c r="J6" s="1"/>
      <c r="K6" s="9" t="s">
        <v>13</v>
      </c>
      <c r="L6" s="30">
        <v>2026</v>
      </c>
      <c r="M6" s="1"/>
      <c r="N6" s="1"/>
      <c r="O6" s="1"/>
      <c r="P6" s="1"/>
      <c r="Q6" s="1"/>
      <c r="R6" s="1"/>
    </row>
    <row r="7" spans="1:18" x14ac:dyDescent="0.25">
      <c r="A7" s="1"/>
      <c r="B7" s="1"/>
      <c r="C7" s="1"/>
      <c r="D7" s="10"/>
      <c r="E7" s="1"/>
      <c r="F7" s="1"/>
      <c r="G7" s="1"/>
      <c r="H7" s="1"/>
      <c r="I7" s="1"/>
      <c r="J7" s="1"/>
      <c r="K7" s="1"/>
      <c r="L7" s="44"/>
      <c r="M7" s="1"/>
      <c r="N7" s="1"/>
      <c r="O7" s="1"/>
      <c r="P7" s="1"/>
      <c r="Q7" s="1"/>
      <c r="R7" s="1"/>
    </row>
    <row r="8" spans="1:18" ht="15.75" thickBot="1" x14ac:dyDescent="0.3">
      <c r="A8" s="2"/>
      <c r="B8" s="2"/>
      <c r="C8" s="2"/>
      <c r="D8" s="2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3"/>
    </row>
    <row r="9" spans="1:18" x14ac:dyDescent="0.25">
      <c r="A9" s="165" t="s">
        <v>148</v>
      </c>
      <c r="B9" s="167" t="s">
        <v>11</v>
      </c>
      <c r="C9" s="167"/>
      <c r="D9" s="167"/>
      <c r="E9" s="167"/>
      <c r="F9" s="167"/>
      <c r="G9" s="167"/>
      <c r="H9" s="167"/>
      <c r="I9" s="1"/>
      <c r="J9" s="168" t="s">
        <v>149</v>
      </c>
      <c r="K9" s="153" t="s">
        <v>11</v>
      </c>
      <c r="L9" s="153"/>
      <c r="M9" s="153"/>
      <c r="N9" s="153"/>
      <c r="O9" s="153"/>
      <c r="P9" s="153"/>
      <c r="Q9" s="154"/>
      <c r="R9" s="4"/>
    </row>
    <row r="10" spans="1:18" x14ac:dyDescent="0.25">
      <c r="A10" s="166"/>
      <c r="B10" s="30" t="s">
        <v>8</v>
      </c>
      <c r="C10" s="30" t="s">
        <v>9</v>
      </c>
      <c r="D10" s="30" t="s">
        <v>10</v>
      </c>
      <c r="E10" s="30" t="s">
        <v>154</v>
      </c>
      <c r="F10" s="30" t="s">
        <v>155</v>
      </c>
      <c r="G10" s="30" t="s">
        <v>147</v>
      </c>
      <c r="H10" s="30" t="s">
        <v>11</v>
      </c>
      <c r="I10" s="1"/>
      <c r="J10" s="169"/>
      <c r="K10" s="30" t="s">
        <v>8</v>
      </c>
      <c r="L10" s="30" t="s">
        <v>9</v>
      </c>
      <c r="M10" s="30" t="s">
        <v>10</v>
      </c>
      <c r="N10" s="30" t="s">
        <v>154</v>
      </c>
      <c r="O10" s="30" t="s">
        <v>155</v>
      </c>
      <c r="P10" s="30" t="s">
        <v>147</v>
      </c>
      <c r="Q10" s="54" t="s">
        <v>11</v>
      </c>
      <c r="R10" s="4"/>
    </row>
    <row r="11" spans="1:18" x14ac:dyDescent="0.25">
      <c r="A11" s="15" t="s">
        <v>0</v>
      </c>
      <c r="B11" s="16">
        <f>B12+B51+B69+B82+B95+K11+K28+K41</f>
        <v>15321</v>
      </c>
      <c r="C11" s="16">
        <f t="shared" ref="C11:G11" si="0">C12+C51+C69+C82+C95+L11+L28+L41</f>
        <v>16807</v>
      </c>
      <c r="D11" s="16">
        <f t="shared" si="0"/>
        <v>15534</v>
      </c>
      <c r="E11" s="16">
        <f t="shared" si="0"/>
        <v>627</v>
      </c>
      <c r="F11" s="16">
        <f t="shared" si="0"/>
        <v>500</v>
      </c>
      <c r="G11" s="16">
        <f t="shared" si="0"/>
        <v>34</v>
      </c>
      <c r="H11" s="14">
        <f>SUM(B11:G11)</f>
        <v>48823</v>
      </c>
      <c r="I11" s="1"/>
      <c r="J11" s="79" t="s">
        <v>85</v>
      </c>
      <c r="K11" s="74">
        <f t="shared" ref="K11:P11" si="1">SUM(K12:K23)</f>
        <v>994</v>
      </c>
      <c r="L11" s="74">
        <f t="shared" si="1"/>
        <v>0</v>
      </c>
      <c r="M11" s="74">
        <f t="shared" si="1"/>
        <v>976</v>
      </c>
      <c r="N11" s="74">
        <f t="shared" si="1"/>
        <v>1</v>
      </c>
      <c r="O11" s="74">
        <f t="shared" si="1"/>
        <v>1</v>
      </c>
      <c r="P11" s="74">
        <f t="shared" si="1"/>
        <v>0</v>
      </c>
      <c r="Q11" s="80">
        <f t="shared" ref="Q11:Q23" si="2">SUM(K11:P11)</f>
        <v>1972</v>
      </c>
      <c r="R11" s="4"/>
    </row>
    <row r="12" spans="1:18" x14ac:dyDescent="0.25">
      <c r="A12" s="73" t="s">
        <v>1</v>
      </c>
      <c r="B12" s="74">
        <f t="shared" ref="B12:G12" si="3">SUM(B13:B50)</f>
        <v>9011</v>
      </c>
      <c r="C12" s="74">
        <f t="shared" si="3"/>
        <v>9489</v>
      </c>
      <c r="D12" s="74">
        <f t="shared" si="3"/>
        <v>8246</v>
      </c>
      <c r="E12" s="74">
        <f t="shared" si="3"/>
        <v>416</v>
      </c>
      <c r="F12" s="74">
        <f t="shared" si="3"/>
        <v>329</v>
      </c>
      <c r="G12" s="74">
        <f t="shared" si="3"/>
        <v>20</v>
      </c>
      <c r="H12" s="74">
        <f>SUM(B12:G12)</f>
        <v>27511</v>
      </c>
      <c r="I12" s="1"/>
      <c r="J12" s="55" t="s">
        <v>4</v>
      </c>
      <c r="K12" s="68">
        <v>0</v>
      </c>
      <c r="L12" s="68">
        <v>0</v>
      </c>
      <c r="M12" s="68">
        <v>18</v>
      </c>
      <c r="N12" s="68">
        <v>1</v>
      </c>
      <c r="O12" s="68">
        <v>0</v>
      </c>
      <c r="P12" s="68">
        <v>0</v>
      </c>
      <c r="Q12" s="40">
        <f t="shared" si="2"/>
        <v>19</v>
      </c>
      <c r="R12" s="4"/>
    </row>
    <row r="13" spans="1:18" x14ac:dyDescent="0.25">
      <c r="A13" s="8" t="s">
        <v>17</v>
      </c>
      <c r="B13" s="17">
        <v>17</v>
      </c>
      <c r="C13" s="11">
        <v>2</v>
      </c>
      <c r="D13" s="11">
        <v>109</v>
      </c>
      <c r="E13" s="11">
        <v>1</v>
      </c>
      <c r="F13" s="11">
        <v>8</v>
      </c>
      <c r="G13" s="11">
        <v>0</v>
      </c>
      <c r="H13" s="12">
        <f>SUM(B13:G13)</f>
        <v>137</v>
      </c>
      <c r="I13" s="1"/>
      <c r="J13" s="55" t="s">
        <v>81</v>
      </c>
      <c r="K13" s="68">
        <v>1</v>
      </c>
      <c r="L13" s="68">
        <v>0</v>
      </c>
      <c r="M13" s="68">
        <v>8</v>
      </c>
      <c r="N13" s="68">
        <v>0</v>
      </c>
      <c r="O13" s="68">
        <v>0</v>
      </c>
      <c r="P13" s="68">
        <v>0</v>
      </c>
      <c r="Q13" s="40">
        <f t="shared" si="2"/>
        <v>9</v>
      </c>
      <c r="R13" s="4"/>
    </row>
    <row r="14" spans="1:18" x14ac:dyDescent="0.25">
      <c r="A14" s="7" t="s">
        <v>18</v>
      </c>
      <c r="B14" s="17">
        <v>30</v>
      </c>
      <c r="C14" s="11">
        <v>1</v>
      </c>
      <c r="D14" s="11">
        <v>39</v>
      </c>
      <c r="E14" s="11">
        <v>1</v>
      </c>
      <c r="F14" s="11">
        <v>0</v>
      </c>
      <c r="G14" s="11">
        <v>0</v>
      </c>
      <c r="H14" s="12">
        <f t="shared" ref="H14:H48" si="4">SUM(B14:G14)</f>
        <v>71</v>
      </c>
      <c r="I14" s="1"/>
      <c r="J14" s="56" t="s">
        <v>5</v>
      </c>
      <c r="K14" s="68">
        <v>15</v>
      </c>
      <c r="L14" s="68">
        <v>0</v>
      </c>
      <c r="M14" s="68">
        <v>127</v>
      </c>
      <c r="N14" s="68">
        <v>0</v>
      </c>
      <c r="O14" s="68">
        <v>1</v>
      </c>
      <c r="P14" s="68">
        <v>0</v>
      </c>
      <c r="Q14" s="40">
        <f>SUM(K14:P14)</f>
        <v>143</v>
      </c>
      <c r="R14" s="4"/>
    </row>
    <row r="15" spans="1:18" x14ac:dyDescent="0.25">
      <c r="A15" s="7" t="s">
        <v>19</v>
      </c>
      <c r="B15" s="17">
        <v>35</v>
      </c>
      <c r="C15" s="11">
        <v>131</v>
      </c>
      <c r="D15" s="13">
        <v>27</v>
      </c>
      <c r="E15" s="13">
        <v>2</v>
      </c>
      <c r="F15" s="13">
        <v>0</v>
      </c>
      <c r="G15" s="13">
        <v>0</v>
      </c>
      <c r="H15" s="12">
        <f>SUM(B15:G15)</f>
        <v>195</v>
      </c>
      <c r="I15" s="1"/>
      <c r="J15" s="56" t="s">
        <v>80</v>
      </c>
      <c r="K15" s="68">
        <v>71</v>
      </c>
      <c r="L15" s="68">
        <v>0</v>
      </c>
      <c r="M15" s="68">
        <v>16</v>
      </c>
      <c r="N15" s="68">
        <v>0</v>
      </c>
      <c r="O15" s="68">
        <v>0</v>
      </c>
      <c r="P15" s="68">
        <v>0</v>
      </c>
      <c r="Q15" s="40">
        <f t="shared" si="2"/>
        <v>87</v>
      </c>
      <c r="R15" s="4"/>
    </row>
    <row r="16" spans="1:18" x14ac:dyDescent="0.25">
      <c r="A16" s="7" t="s">
        <v>27</v>
      </c>
      <c r="B16" s="10">
        <v>944</v>
      </c>
      <c r="C16" s="11">
        <v>1644</v>
      </c>
      <c r="D16" s="11">
        <v>1005</v>
      </c>
      <c r="E16" s="11">
        <v>82</v>
      </c>
      <c r="F16" s="11">
        <v>35</v>
      </c>
      <c r="G16" s="11">
        <v>5</v>
      </c>
      <c r="H16" s="12">
        <f>SUM(B16:G16)</f>
        <v>3715</v>
      </c>
      <c r="I16" s="1"/>
      <c r="J16" s="57" t="s">
        <v>83</v>
      </c>
      <c r="K16" s="69">
        <v>5</v>
      </c>
      <c r="L16" s="69">
        <v>0</v>
      </c>
      <c r="M16" s="69">
        <v>3</v>
      </c>
      <c r="N16" s="69">
        <v>0</v>
      </c>
      <c r="O16" s="69">
        <v>0</v>
      </c>
      <c r="P16" s="69">
        <v>0</v>
      </c>
      <c r="Q16" s="40">
        <f t="shared" si="2"/>
        <v>8</v>
      </c>
      <c r="R16" s="4"/>
    </row>
    <row r="17" spans="1:18" x14ac:dyDescent="0.25">
      <c r="A17" s="7" t="s">
        <v>186</v>
      </c>
      <c r="B17" s="10">
        <v>0</v>
      </c>
      <c r="C17" s="11">
        <v>0</v>
      </c>
      <c r="D17" s="11">
        <v>45</v>
      </c>
      <c r="E17" s="11">
        <v>0</v>
      </c>
      <c r="F17" s="11">
        <v>3</v>
      </c>
      <c r="G17" s="11">
        <v>0</v>
      </c>
      <c r="H17" s="12">
        <f>SUM(B17:G17)</f>
        <v>48</v>
      </c>
      <c r="I17" s="1"/>
      <c r="J17" s="50" t="s">
        <v>162</v>
      </c>
      <c r="K17" s="69">
        <v>300</v>
      </c>
      <c r="L17" s="69">
        <v>0</v>
      </c>
      <c r="M17" s="69">
        <v>268</v>
      </c>
      <c r="N17" s="69">
        <v>0</v>
      </c>
      <c r="O17" s="69">
        <v>0</v>
      </c>
      <c r="P17" s="69">
        <v>0</v>
      </c>
      <c r="Q17" s="40">
        <f t="shared" si="2"/>
        <v>568</v>
      </c>
      <c r="R17" s="4"/>
    </row>
    <row r="18" spans="1:18" x14ac:dyDescent="0.25">
      <c r="A18" s="7" t="s">
        <v>188</v>
      </c>
      <c r="B18" s="10">
        <v>9</v>
      </c>
      <c r="C18" s="11">
        <v>0</v>
      </c>
      <c r="D18" s="11">
        <v>9</v>
      </c>
      <c r="E18" s="11">
        <v>0</v>
      </c>
      <c r="F18" s="11">
        <v>0</v>
      </c>
      <c r="G18" s="11">
        <v>0</v>
      </c>
      <c r="H18" s="12">
        <f>SUM(B18:G18)</f>
        <v>18</v>
      </c>
      <c r="I18" s="1"/>
      <c r="J18" s="50" t="s">
        <v>163</v>
      </c>
      <c r="K18" s="69">
        <v>300</v>
      </c>
      <c r="L18" s="69">
        <v>0</v>
      </c>
      <c r="M18" s="69">
        <v>268</v>
      </c>
      <c r="N18" s="69">
        <v>0</v>
      </c>
      <c r="O18" s="69">
        <v>0</v>
      </c>
      <c r="P18" s="69">
        <v>0</v>
      </c>
      <c r="Q18" s="40">
        <f t="shared" si="2"/>
        <v>568</v>
      </c>
      <c r="R18" s="4"/>
    </row>
    <row r="19" spans="1:18" x14ac:dyDescent="0.25">
      <c r="A19" s="7" t="s">
        <v>28</v>
      </c>
      <c r="B19" s="17">
        <v>59</v>
      </c>
      <c r="C19" s="11">
        <v>15</v>
      </c>
      <c r="D19" s="11">
        <v>192</v>
      </c>
      <c r="E19" s="11">
        <v>13</v>
      </c>
      <c r="F19" s="11">
        <v>10</v>
      </c>
      <c r="G19" s="11">
        <v>0</v>
      </c>
      <c r="H19" s="12">
        <f t="shared" si="4"/>
        <v>289</v>
      </c>
      <c r="I19" s="1"/>
      <c r="J19" s="50" t="s">
        <v>164</v>
      </c>
      <c r="K19" s="69">
        <v>300</v>
      </c>
      <c r="L19" s="69">
        <v>0</v>
      </c>
      <c r="M19" s="69">
        <v>268</v>
      </c>
      <c r="N19" s="69">
        <v>0</v>
      </c>
      <c r="O19" s="69">
        <v>0</v>
      </c>
      <c r="P19" s="69">
        <v>0</v>
      </c>
      <c r="Q19" s="40">
        <f t="shared" si="2"/>
        <v>568</v>
      </c>
      <c r="R19" s="4"/>
    </row>
    <row r="20" spans="1:18" x14ac:dyDescent="0.25">
      <c r="A20" s="7" t="s">
        <v>29</v>
      </c>
      <c r="B20" s="10">
        <v>5</v>
      </c>
      <c r="C20" s="11">
        <v>0</v>
      </c>
      <c r="D20" s="11">
        <v>40</v>
      </c>
      <c r="E20" s="11"/>
      <c r="F20" s="11">
        <v>1</v>
      </c>
      <c r="G20" s="11">
        <v>0</v>
      </c>
      <c r="H20" s="12">
        <f t="shared" si="4"/>
        <v>46</v>
      </c>
      <c r="I20" s="1"/>
      <c r="J20" s="50" t="s">
        <v>194</v>
      </c>
      <c r="K20" s="69">
        <v>2</v>
      </c>
      <c r="L20" s="69">
        <v>0</v>
      </c>
      <c r="M20" s="69">
        <v>0</v>
      </c>
      <c r="N20" s="69">
        <v>0</v>
      </c>
      <c r="O20" s="69">
        <v>0</v>
      </c>
      <c r="P20" s="69">
        <v>0</v>
      </c>
      <c r="Q20" s="40">
        <f t="shared" si="2"/>
        <v>2</v>
      </c>
      <c r="R20" s="4"/>
    </row>
    <row r="21" spans="1:18" x14ac:dyDescent="0.25">
      <c r="A21" s="7" t="s">
        <v>20</v>
      </c>
      <c r="B21" s="17">
        <v>836</v>
      </c>
      <c r="C21" s="11">
        <v>1242</v>
      </c>
      <c r="D21" s="11">
        <v>803</v>
      </c>
      <c r="E21" s="11">
        <v>55</v>
      </c>
      <c r="F21" s="11">
        <v>33</v>
      </c>
      <c r="G21" s="11">
        <v>0</v>
      </c>
      <c r="H21" s="12">
        <f t="shared" si="4"/>
        <v>2969</v>
      </c>
      <c r="I21" s="1"/>
      <c r="J21" s="50" t="s">
        <v>221</v>
      </c>
      <c r="K21" s="69">
        <v>0</v>
      </c>
      <c r="L21" s="69">
        <v>0</v>
      </c>
      <c r="M21" s="69">
        <v>0</v>
      </c>
      <c r="N21" s="69">
        <v>0</v>
      </c>
      <c r="O21" s="69">
        <v>0</v>
      </c>
      <c r="P21" s="69">
        <v>0</v>
      </c>
      <c r="Q21" s="40">
        <f t="shared" si="2"/>
        <v>0</v>
      </c>
      <c r="R21" s="4"/>
    </row>
    <row r="22" spans="1:18" x14ac:dyDescent="0.25">
      <c r="A22" s="7" t="s">
        <v>25</v>
      </c>
      <c r="B22" s="17">
        <v>3</v>
      </c>
      <c r="C22" s="11">
        <v>0</v>
      </c>
      <c r="D22" s="11">
        <v>9</v>
      </c>
      <c r="E22" s="11">
        <v>0</v>
      </c>
      <c r="F22" s="11">
        <v>0</v>
      </c>
      <c r="G22" s="11">
        <v>0</v>
      </c>
      <c r="H22" s="12">
        <f t="shared" si="4"/>
        <v>12</v>
      </c>
      <c r="I22" s="1"/>
      <c r="J22" s="58" t="s">
        <v>6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40">
        <f t="shared" si="2"/>
        <v>0</v>
      </c>
      <c r="R22" s="4"/>
    </row>
    <row r="23" spans="1:18" ht="15.75" thickBot="1" x14ac:dyDescent="0.3">
      <c r="A23" s="7" t="s">
        <v>218</v>
      </c>
      <c r="B23" s="17">
        <v>1</v>
      </c>
      <c r="C23" s="11">
        <v>0</v>
      </c>
      <c r="D23" s="11">
        <v>14</v>
      </c>
      <c r="E23" s="11">
        <v>0</v>
      </c>
      <c r="F23" s="11">
        <v>0</v>
      </c>
      <c r="G23" s="11">
        <v>0</v>
      </c>
      <c r="H23" s="12">
        <f t="shared" si="4"/>
        <v>15</v>
      </c>
      <c r="I23" s="1"/>
      <c r="J23" s="59" t="s">
        <v>7</v>
      </c>
      <c r="K23" s="94">
        <v>0</v>
      </c>
      <c r="L23" s="94">
        <v>0</v>
      </c>
      <c r="M23" s="94">
        <v>0</v>
      </c>
      <c r="N23" s="94">
        <v>0</v>
      </c>
      <c r="O23" s="94">
        <v>0</v>
      </c>
      <c r="P23" s="94">
        <v>0</v>
      </c>
      <c r="Q23" s="46">
        <f t="shared" si="2"/>
        <v>0</v>
      </c>
      <c r="R23" s="4"/>
    </row>
    <row r="24" spans="1:18" x14ac:dyDescent="0.25">
      <c r="A24" s="7" t="s">
        <v>21</v>
      </c>
      <c r="B24" s="17">
        <v>850</v>
      </c>
      <c r="C24" s="11">
        <v>1318</v>
      </c>
      <c r="D24" s="11">
        <v>892</v>
      </c>
      <c r="E24" s="11">
        <v>62</v>
      </c>
      <c r="F24" s="11">
        <v>32</v>
      </c>
      <c r="G24" s="11">
        <v>1</v>
      </c>
      <c r="H24" s="12">
        <f t="shared" si="4"/>
        <v>3155</v>
      </c>
      <c r="I24" s="1"/>
      <c r="J24" s="1"/>
      <c r="K24" s="1"/>
      <c r="L24" s="1"/>
      <c r="M24" s="1"/>
      <c r="N24" s="1"/>
      <c r="O24" s="1"/>
      <c r="P24" s="1"/>
      <c r="Q24" s="1"/>
      <c r="R24" s="4"/>
    </row>
    <row r="25" spans="1:18" ht="15.75" thickBot="1" x14ac:dyDescent="0.3">
      <c r="A25" s="7" t="s">
        <v>24</v>
      </c>
      <c r="B25" s="17">
        <v>21</v>
      </c>
      <c r="C25" s="11">
        <v>0</v>
      </c>
      <c r="D25" s="11">
        <v>50</v>
      </c>
      <c r="E25" s="11">
        <v>3</v>
      </c>
      <c r="F25" s="11">
        <v>2</v>
      </c>
      <c r="G25" s="11">
        <v>0</v>
      </c>
      <c r="H25" s="12">
        <f t="shared" si="4"/>
        <v>76</v>
      </c>
      <c r="I25" s="1"/>
      <c r="J25" s="1"/>
      <c r="K25" s="1"/>
      <c r="L25" s="1"/>
      <c r="M25" s="1"/>
      <c r="N25" s="1"/>
      <c r="O25" s="1"/>
      <c r="P25" s="1"/>
      <c r="Q25" s="1"/>
      <c r="R25" s="4"/>
    </row>
    <row r="26" spans="1:18" x14ac:dyDescent="0.25">
      <c r="A26" s="7" t="s">
        <v>79</v>
      </c>
      <c r="B26" s="17">
        <v>773</v>
      </c>
      <c r="C26" s="11">
        <v>524</v>
      </c>
      <c r="D26" s="11">
        <v>422</v>
      </c>
      <c r="E26" s="11">
        <v>4</v>
      </c>
      <c r="F26" s="11">
        <v>13</v>
      </c>
      <c r="G26" s="11">
        <v>0</v>
      </c>
      <c r="H26" s="12">
        <f t="shared" si="4"/>
        <v>1736</v>
      </c>
      <c r="I26" s="1"/>
      <c r="J26" s="151" t="s">
        <v>169</v>
      </c>
      <c r="K26" s="153" t="s">
        <v>11</v>
      </c>
      <c r="L26" s="153"/>
      <c r="M26" s="153"/>
      <c r="N26" s="153"/>
      <c r="O26" s="153"/>
      <c r="P26" s="153"/>
      <c r="Q26" s="154"/>
      <c r="R26" s="4"/>
    </row>
    <row r="27" spans="1:18" x14ac:dyDescent="0.25">
      <c r="A27" s="7" t="s">
        <v>75</v>
      </c>
      <c r="B27" s="17">
        <v>648</v>
      </c>
      <c r="C27" s="11">
        <v>318</v>
      </c>
      <c r="D27" s="11">
        <v>472</v>
      </c>
      <c r="E27" s="11">
        <v>4</v>
      </c>
      <c r="F27" s="11">
        <v>13</v>
      </c>
      <c r="G27" s="11">
        <v>1</v>
      </c>
      <c r="H27" s="12">
        <f t="shared" si="4"/>
        <v>1456</v>
      </c>
      <c r="I27" s="1"/>
      <c r="J27" s="152"/>
      <c r="K27" s="30" t="s">
        <v>8</v>
      </c>
      <c r="L27" s="30" t="s">
        <v>9</v>
      </c>
      <c r="M27" s="30" t="s">
        <v>10</v>
      </c>
      <c r="N27" s="30" t="s">
        <v>154</v>
      </c>
      <c r="O27" s="30" t="s">
        <v>155</v>
      </c>
      <c r="P27" s="60" t="s">
        <v>147</v>
      </c>
      <c r="Q27" s="54" t="s">
        <v>11</v>
      </c>
      <c r="R27" s="4"/>
    </row>
    <row r="28" spans="1:18" x14ac:dyDescent="0.25">
      <c r="A28" s="7" t="s">
        <v>76</v>
      </c>
      <c r="B28" s="17">
        <v>537</v>
      </c>
      <c r="C28" s="11">
        <v>321</v>
      </c>
      <c r="D28" s="11">
        <v>446</v>
      </c>
      <c r="E28" s="11">
        <v>15</v>
      </c>
      <c r="F28" s="11">
        <v>21</v>
      </c>
      <c r="G28" s="11">
        <v>0</v>
      </c>
      <c r="H28" s="12">
        <f t="shared" si="4"/>
        <v>1340</v>
      </c>
      <c r="I28" s="1"/>
      <c r="J28" s="79" t="s">
        <v>146</v>
      </c>
      <c r="K28" s="74">
        <f t="shared" ref="K28:P28" si="5">SUM(K29:K37)</f>
        <v>66</v>
      </c>
      <c r="L28" s="74">
        <f t="shared" si="5"/>
        <v>209</v>
      </c>
      <c r="M28" s="74">
        <f t="shared" si="5"/>
        <v>130</v>
      </c>
      <c r="N28" s="74">
        <f t="shared" si="5"/>
        <v>0</v>
      </c>
      <c r="O28" s="74">
        <f t="shared" si="5"/>
        <v>0</v>
      </c>
      <c r="P28" s="74">
        <f t="shared" si="5"/>
        <v>0</v>
      </c>
      <c r="Q28" s="80">
        <f>SUM(K28:P28)</f>
        <v>405</v>
      </c>
      <c r="R28" s="4"/>
    </row>
    <row r="29" spans="1:18" x14ac:dyDescent="0.25">
      <c r="A29" s="7" t="s">
        <v>74</v>
      </c>
      <c r="B29" s="17">
        <v>653</v>
      </c>
      <c r="C29" s="11">
        <v>340</v>
      </c>
      <c r="D29" s="11">
        <v>529</v>
      </c>
      <c r="E29" s="11">
        <v>5</v>
      </c>
      <c r="F29" s="11">
        <v>21</v>
      </c>
      <c r="G29" s="11">
        <v>1</v>
      </c>
      <c r="H29" s="12">
        <f t="shared" si="4"/>
        <v>1549</v>
      </c>
      <c r="I29" s="1"/>
      <c r="J29" s="45" t="s">
        <v>64</v>
      </c>
      <c r="K29" s="68">
        <v>33</v>
      </c>
      <c r="L29" s="68">
        <v>0</v>
      </c>
      <c r="M29" s="68">
        <v>70</v>
      </c>
      <c r="N29" s="68">
        <v>0</v>
      </c>
      <c r="O29" s="68">
        <v>0</v>
      </c>
      <c r="P29" s="69">
        <v>0</v>
      </c>
      <c r="Q29" s="40">
        <f>SUM(K29:P29)</f>
        <v>103</v>
      </c>
      <c r="R29" s="4"/>
    </row>
    <row r="30" spans="1:18" x14ac:dyDescent="0.25">
      <c r="A30" s="7" t="s">
        <v>22</v>
      </c>
      <c r="B30" s="17">
        <v>772</v>
      </c>
      <c r="C30" s="11">
        <v>774</v>
      </c>
      <c r="D30" s="11">
        <v>689</v>
      </c>
      <c r="E30" s="11">
        <v>25</v>
      </c>
      <c r="F30" s="11">
        <v>24</v>
      </c>
      <c r="G30" s="11">
        <v>1</v>
      </c>
      <c r="H30" s="12">
        <f t="shared" si="4"/>
        <v>2285</v>
      </c>
      <c r="I30" s="1"/>
      <c r="J30" s="45" t="s">
        <v>170</v>
      </c>
      <c r="K30" s="68">
        <v>0</v>
      </c>
      <c r="L30" s="68">
        <v>0</v>
      </c>
      <c r="M30" s="68"/>
      <c r="N30" s="68">
        <v>0</v>
      </c>
      <c r="O30" s="68">
        <v>0</v>
      </c>
      <c r="P30" s="69">
        <v>0</v>
      </c>
      <c r="Q30" s="40">
        <f>SUM(K30:P30)</f>
        <v>0</v>
      </c>
      <c r="R30" s="4"/>
    </row>
    <row r="31" spans="1:18" x14ac:dyDescent="0.25">
      <c r="A31" s="7" t="s">
        <v>23</v>
      </c>
      <c r="B31" s="17">
        <v>761</v>
      </c>
      <c r="C31" s="11">
        <v>722</v>
      </c>
      <c r="D31" s="11">
        <v>686</v>
      </c>
      <c r="E31" s="11">
        <v>26</v>
      </c>
      <c r="F31" s="11">
        <v>24</v>
      </c>
      <c r="G31" s="11">
        <v>1</v>
      </c>
      <c r="H31" s="12">
        <f t="shared" si="4"/>
        <v>2220</v>
      </c>
      <c r="I31" s="1"/>
      <c r="J31" s="45" t="s">
        <v>171</v>
      </c>
      <c r="K31" s="68">
        <v>0</v>
      </c>
      <c r="L31" s="68">
        <v>0</v>
      </c>
      <c r="M31" s="68">
        <v>6</v>
      </c>
      <c r="N31" s="68">
        <v>0</v>
      </c>
      <c r="O31" s="68">
        <v>0</v>
      </c>
      <c r="P31" s="69">
        <v>0</v>
      </c>
      <c r="Q31" s="40">
        <f>SUM(K31:P31)</f>
        <v>6</v>
      </c>
      <c r="R31" s="4"/>
    </row>
    <row r="32" spans="1:18" x14ac:dyDescent="0.25">
      <c r="A32" s="7" t="s">
        <v>202</v>
      </c>
      <c r="B32" s="17">
        <v>111</v>
      </c>
      <c r="C32" s="11">
        <v>0</v>
      </c>
      <c r="D32" s="11">
        <v>16</v>
      </c>
      <c r="E32" s="11">
        <v>1</v>
      </c>
      <c r="F32" s="11">
        <v>0</v>
      </c>
      <c r="G32" s="11">
        <v>0</v>
      </c>
      <c r="H32" s="12">
        <f t="shared" si="4"/>
        <v>128</v>
      </c>
      <c r="I32" s="1"/>
      <c r="J32" s="49" t="s">
        <v>65</v>
      </c>
      <c r="K32" s="68">
        <v>29</v>
      </c>
      <c r="L32" s="68">
        <v>185</v>
      </c>
      <c r="M32" s="68">
        <v>6</v>
      </c>
      <c r="N32" s="68">
        <v>0</v>
      </c>
      <c r="O32" s="68">
        <v>0</v>
      </c>
      <c r="P32" s="69">
        <v>0</v>
      </c>
      <c r="Q32" s="40">
        <f t="shared" ref="Q32:Q37" si="6">SUM(K32:P32)</f>
        <v>220</v>
      </c>
      <c r="R32" s="4"/>
    </row>
    <row r="33" spans="1:18" x14ac:dyDescent="0.25">
      <c r="A33" s="7" t="s">
        <v>159</v>
      </c>
      <c r="B33" s="17">
        <v>259</v>
      </c>
      <c r="C33" s="11">
        <v>186</v>
      </c>
      <c r="D33" s="11">
        <v>52</v>
      </c>
      <c r="E33" s="11">
        <v>2</v>
      </c>
      <c r="F33" s="11">
        <v>3</v>
      </c>
      <c r="G33" s="11">
        <v>1</v>
      </c>
      <c r="H33" s="12">
        <f t="shared" si="4"/>
        <v>503</v>
      </c>
      <c r="I33" s="1"/>
      <c r="J33" s="50" t="s">
        <v>130</v>
      </c>
      <c r="K33" s="70">
        <v>0</v>
      </c>
      <c r="L33" s="70">
        <v>0</v>
      </c>
      <c r="M33" s="70">
        <v>26</v>
      </c>
      <c r="N33" s="70">
        <v>0</v>
      </c>
      <c r="O33" s="70">
        <v>0</v>
      </c>
      <c r="P33" s="69">
        <v>0</v>
      </c>
      <c r="Q33" s="40">
        <f t="shared" si="6"/>
        <v>26</v>
      </c>
      <c r="R33" s="4"/>
    </row>
    <row r="34" spans="1:18" x14ac:dyDescent="0.25">
      <c r="A34" s="7" t="s">
        <v>26</v>
      </c>
      <c r="B34" s="17">
        <v>96</v>
      </c>
      <c r="C34" s="11">
        <v>82</v>
      </c>
      <c r="D34" s="11">
        <v>82</v>
      </c>
      <c r="E34" s="11">
        <v>3</v>
      </c>
      <c r="F34" s="11">
        <v>2</v>
      </c>
      <c r="G34" s="11">
        <v>0</v>
      </c>
      <c r="H34" s="12">
        <f t="shared" si="4"/>
        <v>265</v>
      </c>
      <c r="I34" s="1"/>
      <c r="J34" s="67" t="s">
        <v>131</v>
      </c>
      <c r="K34" s="65">
        <v>0</v>
      </c>
      <c r="L34" s="65">
        <v>0</v>
      </c>
      <c r="M34" s="65">
        <v>22</v>
      </c>
      <c r="N34" s="65">
        <v>0</v>
      </c>
      <c r="O34" s="65">
        <v>0</v>
      </c>
      <c r="P34" s="31">
        <v>0</v>
      </c>
      <c r="Q34" s="40">
        <f t="shared" si="6"/>
        <v>22</v>
      </c>
      <c r="R34" s="4"/>
    </row>
    <row r="35" spans="1:18" x14ac:dyDescent="0.25">
      <c r="A35" s="7" t="s">
        <v>82</v>
      </c>
      <c r="B35" s="17">
        <v>619</v>
      </c>
      <c r="C35" s="11">
        <v>458</v>
      </c>
      <c r="D35" s="11">
        <v>466</v>
      </c>
      <c r="E35" s="11">
        <v>14</v>
      </c>
      <c r="F35" s="11">
        <v>11</v>
      </c>
      <c r="G35" s="11">
        <v>1</v>
      </c>
      <c r="H35" s="12">
        <f t="shared" si="4"/>
        <v>1569</v>
      </c>
      <c r="I35" s="1"/>
      <c r="J35" s="67" t="s">
        <v>160</v>
      </c>
      <c r="K35" s="65">
        <v>0</v>
      </c>
      <c r="L35" s="65">
        <v>12</v>
      </c>
      <c r="M35" s="65">
        <v>0</v>
      </c>
      <c r="N35" s="65">
        <v>0</v>
      </c>
      <c r="O35" s="65">
        <v>0</v>
      </c>
      <c r="P35" s="31">
        <v>0</v>
      </c>
      <c r="Q35" s="40">
        <f t="shared" si="6"/>
        <v>12</v>
      </c>
      <c r="R35" s="4"/>
    </row>
    <row r="36" spans="1:18" x14ac:dyDescent="0.25">
      <c r="A36" s="7" t="s">
        <v>30</v>
      </c>
      <c r="B36" s="17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2">
        <f t="shared" si="4"/>
        <v>0</v>
      </c>
      <c r="I36" s="1"/>
      <c r="J36" s="67" t="s">
        <v>209</v>
      </c>
      <c r="K36" s="65">
        <v>4</v>
      </c>
      <c r="L36" s="65">
        <v>12</v>
      </c>
      <c r="M36" s="65">
        <v>0</v>
      </c>
      <c r="N36" s="65">
        <v>0</v>
      </c>
      <c r="O36" s="65">
        <v>0</v>
      </c>
      <c r="P36" s="31">
        <v>0</v>
      </c>
      <c r="Q36" s="40">
        <f t="shared" si="6"/>
        <v>16</v>
      </c>
      <c r="R36" s="4"/>
    </row>
    <row r="37" spans="1:18" ht="15.75" thickBot="1" x14ac:dyDescent="0.3">
      <c r="A37" s="7" t="s">
        <v>31</v>
      </c>
      <c r="B37" s="17">
        <v>13</v>
      </c>
      <c r="C37" s="11">
        <v>19</v>
      </c>
      <c r="D37" s="11">
        <v>0</v>
      </c>
      <c r="E37" s="11">
        <v>0</v>
      </c>
      <c r="F37" s="11">
        <v>0</v>
      </c>
      <c r="G37" s="11">
        <v>0</v>
      </c>
      <c r="H37" s="12">
        <f t="shared" si="4"/>
        <v>32</v>
      </c>
      <c r="I37" s="1"/>
      <c r="J37" s="51" t="s">
        <v>212</v>
      </c>
      <c r="K37" s="71">
        <v>0</v>
      </c>
      <c r="L37" s="71">
        <v>0</v>
      </c>
      <c r="M37" s="71">
        <v>0</v>
      </c>
      <c r="N37" s="71">
        <v>0</v>
      </c>
      <c r="O37" s="71">
        <v>0</v>
      </c>
      <c r="P37" s="72">
        <v>0</v>
      </c>
      <c r="Q37" s="46">
        <f t="shared" si="6"/>
        <v>0</v>
      </c>
      <c r="R37" s="4"/>
    </row>
    <row r="38" spans="1:18" ht="15.75" thickBot="1" x14ac:dyDescent="0.3">
      <c r="A38" s="7" t="s">
        <v>66</v>
      </c>
      <c r="B38" s="17">
        <v>95</v>
      </c>
      <c r="C38" s="11">
        <v>6</v>
      </c>
      <c r="D38" s="11">
        <v>360</v>
      </c>
      <c r="E38" s="11">
        <v>26</v>
      </c>
      <c r="F38" s="11">
        <v>22</v>
      </c>
      <c r="G38" s="11">
        <v>4</v>
      </c>
      <c r="H38" s="12">
        <f t="shared" si="4"/>
        <v>513</v>
      </c>
      <c r="I38" s="1"/>
      <c r="J38" s="34"/>
      <c r="K38" s="34"/>
      <c r="L38" s="34"/>
      <c r="M38" s="34"/>
      <c r="N38" s="34"/>
      <c r="O38" s="34"/>
      <c r="P38" s="34"/>
      <c r="R38" s="4"/>
    </row>
    <row r="39" spans="1:18" x14ac:dyDescent="0.25">
      <c r="A39" s="7" t="s">
        <v>67</v>
      </c>
      <c r="B39" s="17">
        <v>96</v>
      </c>
      <c r="C39" s="11">
        <v>6</v>
      </c>
      <c r="D39" s="11">
        <v>371</v>
      </c>
      <c r="E39" s="11">
        <v>29</v>
      </c>
      <c r="F39" s="11">
        <v>22</v>
      </c>
      <c r="G39" s="11">
        <v>4</v>
      </c>
      <c r="H39" s="12">
        <f t="shared" si="4"/>
        <v>528</v>
      </c>
      <c r="I39" s="1"/>
      <c r="J39" s="151" t="s">
        <v>136</v>
      </c>
      <c r="K39" s="153" t="s">
        <v>11</v>
      </c>
      <c r="L39" s="153"/>
      <c r="M39" s="153"/>
      <c r="N39" s="153"/>
      <c r="O39" s="153"/>
      <c r="P39" s="153"/>
      <c r="Q39" s="154"/>
      <c r="R39" s="4"/>
    </row>
    <row r="40" spans="1:18" x14ac:dyDescent="0.25">
      <c r="A40" s="7" t="s">
        <v>77</v>
      </c>
      <c r="B40" s="17">
        <v>22</v>
      </c>
      <c r="C40" s="11">
        <v>2</v>
      </c>
      <c r="D40" s="11">
        <v>177</v>
      </c>
      <c r="E40" s="11">
        <v>2</v>
      </c>
      <c r="F40" s="11">
        <v>11</v>
      </c>
      <c r="G40" s="11">
        <v>0</v>
      </c>
      <c r="H40" s="12">
        <f t="shared" si="4"/>
        <v>214</v>
      </c>
      <c r="I40" s="1"/>
      <c r="J40" s="152"/>
      <c r="K40" s="30" t="s">
        <v>8</v>
      </c>
      <c r="L40" s="30" t="s">
        <v>9</v>
      </c>
      <c r="M40" s="30" t="s">
        <v>10</v>
      </c>
      <c r="N40" s="30" t="s">
        <v>154</v>
      </c>
      <c r="O40" s="30" t="s">
        <v>155</v>
      </c>
      <c r="P40" s="30" t="s">
        <v>147</v>
      </c>
      <c r="Q40" s="54" t="s">
        <v>11</v>
      </c>
      <c r="R40" s="4"/>
    </row>
    <row r="41" spans="1:18" x14ac:dyDescent="0.25">
      <c r="A41" s="7" t="s">
        <v>78</v>
      </c>
      <c r="B41" s="17">
        <v>10</v>
      </c>
      <c r="C41" s="11">
        <v>0</v>
      </c>
      <c r="D41" s="11">
        <v>80</v>
      </c>
      <c r="E41" s="11">
        <v>0</v>
      </c>
      <c r="F41" s="11">
        <v>11</v>
      </c>
      <c r="G41" s="11">
        <v>0</v>
      </c>
      <c r="H41" s="12">
        <f t="shared" si="4"/>
        <v>101</v>
      </c>
      <c r="I41" s="1"/>
      <c r="J41" s="79" t="s">
        <v>150</v>
      </c>
      <c r="K41" s="74">
        <f>SUM(K42:K49)</f>
        <v>649</v>
      </c>
      <c r="L41" s="74">
        <f t="shared" ref="L41:P41" si="7">SUM(L42:L49)</f>
        <v>291</v>
      </c>
      <c r="M41" s="74">
        <f t="shared" si="7"/>
        <v>2</v>
      </c>
      <c r="N41" s="74">
        <f t="shared" si="7"/>
        <v>0</v>
      </c>
      <c r="O41" s="74">
        <f t="shared" si="7"/>
        <v>0</v>
      </c>
      <c r="P41" s="74">
        <f t="shared" si="7"/>
        <v>0</v>
      </c>
      <c r="Q41" s="80">
        <f>SUM(K41:P41)</f>
        <v>942</v>
      </c>
      <c r="R41" s="4"/>
    </row>
    <row r="42" spans="1:18" x14ac:dyDescent="0.25">
      <c r="A42" s="7" t="s">
        <v>42</v>
      </c>
      <c r="B42" s="17">
        <v>0</v>
      </c>
      <c r="C42" s="11">
        <v>0</v>
      </c>
      <c r="D42" s="11">
        <v>2</v>
      </c>
      <c r="E42" s="11">
        <v>1</v>
      </c>
      <c r="F42" s="11">
        <v>0</v>
      </c>
      <c r="G42" s="11">
        <v>0</v>
      </c>
      <c r="H42" s="12">
        <f t="shared" si="4"/>
        <v>3</v>
      </c>
      <c r="I42" s="1"/>
      <c r="J42" s="86" t="s">
        <v>165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  <c r="P42" s="89">
        <v>0</v>
      </c>
      <c r="Q42" s="40">
        <f t="shared" ref="Q42:Q49" si="8">SUM(K42:P42)</f>
        <v>0</v>
      </c>
      <c r="R42" s="4"/>
    </row>
    <row r="43" spans="1:18" x14ac:dyDescent="0.25">
      <c r="A43" s="7" t="s">
        <v>43</v>
      </c>
      <c r="B43" s="17">
        <v>7</v>
      </c>
      <c r="C43" s="11">
        <v>1</v>
      </c>
      <c r="D43" s="11">
        <v>25</v>
      </c>
      <c r="E43" s="11">
        <v>0</v>
      </c>
      <c r="F43" s="11">
        <v>1</v>
      </c>
      <c r="G43" s="11">
        <v>0</v>
      </c>
      <c r="H43" s="12">
        <f t="shared" si="4"/>
        <v>34</v>
      </c>
      <c r="I43" s="1"/>
      <c r="J43" s="86" t="s">
        <v>166</v>
      </c>
      <c r="K43" s="89">
        <v>168</v>
      </c>
      <c r="L43" s="89">
        <v>76</v>
      </c>
      <c r="M43" s="89">
        <v>1</v>
      </c>
      <c r="N43" s="89">
        <v>0</v>
      </c>
      <c r="O43" s="89">
        <v>0</v>
      </c>
      <c r="P43" s="89">
        <v>0</v>
      </c>
      <c r="Q43" s="40">
        <f t="shared" si="8"/>
        <v>245</v>
      </c>
      <c r="R43" s="4"/>
    </row>
    <row r="44" spans="1:18" x14ac:dyDescent="0.25">
      <c r="A44" s="7" t="s">
        <v>101</v>
      </c>
      <c r="B44" s="37">
        <v>18</v>
      </c>
      <c r="C44" s="11">
        <v>0</v>
      </c>
      <c r="D44" s="11">
        <v>0</v>
      </c>
      <c r="E44" s="11">
        <v>15</v>
      </c>
      <c r="F44" s="11">
        <v>0</v>
      </c>
      <c r="G44" s="11">
        <v>0</v>
      </c>
      <c r="H44" s="12">
        <f t="shared" si="4"/>
        <v>33</v>
      </c>
      <c r="I44" s="1"/>
      <c r="J44" s="86" t="s">
        <v>167</v>
      </c>
      <c r="K44" s="89">
        <v>12</v>
      </c>
      <c r="L44" s="89">
        <v>15</v>
      </c>
      <c r="M44" s="89">
        <v>0</v>
      </c>
      <c r="N44" s="89">
        <v>0</v>
      </c>
      <c r="O44" s="89">
        <v>0</v>
      </c>
      <c r="P44" s="89">
        <v>0</v>
      </c>
      <c r="Q44" s="40">
        <f t="shared" si="8"/>
        <v>27</v>
      </c>
      <c r="R44" s="4"/>
    </row>
    <row r="45" spans="1:18" x14ac:dyDescent="0.25">
      <c r="A45" s="7" t="s">
        <v>95</v>
      </c>
      <c r="B45" s="37">
        <v>0</v>
      </c>
      <c r="C45" s="11">
        <v>6</v>
      </c>
      <c r="D45" s="11">
        <v>0</v>
      </c>
      <c r="E45" s="11">
        <v>0</v>
      </c>
      <c r="F45" s="11">
        <v>0</v>
      </c>
      <c r="G45" s="11">
        <v>0</v>
      </c>
      <c r="H45" s="12">
        <f t="shared" si="4"/>
        <v>6</v>
      </c>
      <c r="I45" s="1"/>
      <c r="J45" s="88" t="s">
        <v>168</v>
      </c>
      <c r="K45" s="90">
        <v>8</v>
      </c>
      <c r="L45" s="90">
        <v>4</v>
      </c>
      <c r="M45" s="90">
        <v>0</v>
      </c>
      <c r="N45" s="90">
        <v>0</v>
      </c>
      <c r="O45" s="90">
        <v>0</v>
      </c>
      <c r="P45" s="90">
        <v>0</v>
      </c>
      <c r="Q45" s="40">
        <f t="shared" si="8"/>
        <v>12</v>
      </c>
      <c r="R45" s="4"/>
    </row>
    <row r="46" spans="1:18" x14ac:dyDescent="0.25">
      <c r="A46" s="7" t="s">
        <v>96</v>
      </c>
      <c r="B46" s="37">
        <v>10</v>
      </c>
      <c r="C46" s="11">
        <v>0</v>
      </c>
      <c r="D46" s="11">
        <v>7</v>
      </c>
      <c r="E46" s="11">
        <v>0</v>
      </c>
      <c r="F46" s="11">
        <v>0</v>
      </c>
      <c r="G46" s="11">
        <v>0</v>
      </c>
      <c r="H46" s="12">
        <f t="shared" si="4"/>
        <v>17</v>
      </c>
      <c r="J46" s="88" t="s">
        <v>34</v>
      </c>
      <c r="K46" s="90">
        <v>28</v>
      </c>
      <c r="L46" s="90">
        <v>13</v>
      </c>
      <c r="M46" s="90">
        <v>0</v>
      </c>
      <c r="N46" s="90">
        <v>0</v>
      </c>
      <c r="O46" s="90">
        <v>0</v>
      </c>
      <c r="P46" s="90">
        <v>0</v>
      </c>
      <c r="Q46" s="100">
        <f t="shared" si="8"/>
        <v>41</v>
      </c>
      <c r="R46" s="4"/>
    </row>
    <row r="47" spans="1:18" x14ac:dyDescent="0.25">
      <c r="A47" s="7" t="s">
        <v>97</v>
      </c>
      <c r="B47" s="37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2">
        <f t="shared" si="4"/>
        <v>0</v>
      </c>
      <c r="I47" s="1"/>
      <c r="J47" s="86" t="s">
        <v>179</v>
      </c>
      <c r="K47" s="89">
        <v>194</v>
      </c>
      <c r="L47" s="89">
        <v>83</v>
      </c>
      <c r="M47" s="89">
        <v>1</v>
      </c>
      <c r="N47" s="89">
        <v>0</v>
      </c>
      <c r="O47" s="89">
        <v>0</v>
      </c>
      <c r="P47" s="89">
        <v>0</v>
      </c>
      <c r="Q47" s="100">
        <f t="shared" si="8"/>
        <v>278</v>
      </c>
      <c r="R47" s="4"/>
    </row>
    <row r="48" spans="1:18" x14ac:dyDescent="0.25">
      <c r="A48" s="36" t="s">
        <v>98</v>
      </c>
      <c r="B48" s="37">
        <v>11</v>
      </c>
      <c r="C48" s="11">
        <v>0</v>
      </c>
      <c r="D48" s="11">
        <v>33</v>
      </c>
      <c r="E48" s="11">
        <v>1</v>
      </c>
      <c r="F48" s="11">
        <v>0</v>
      </c>
      <c r="G48" s="11">
        <v>0</v>
      </c>
      <c r="H48" s="12">
        <f t="shared" si="4"/>
        <v>45</v>
      </c>
      <c r="I48" s="1"/>
      <c r="J48" s="86" t="s">
        <v>177</v>
      </c>
      <c r="K48" s="89">
        <v>221</v>
      </c>
      <c r="L48" s="89">
        <v>81</v>
      </c>
      <c r="M48" s="89">
        <v>0</v>
      </c>
      <c r="N48" s="89">
        <v>0</v>
      </c>
      <c r="O48" s="89">
        <v>0</v>
      </c>
      <c r="P48" s="89">
        <v>0</v>
      </c>
      <c r="Q48" s="100">
        <f t="shared" si="8"/>
        <v>302</v>
      </c>
      <c r="R48" s="4"/>
    </row>
    <row r="49" spans="1:18" ht="15.75" thickBot="1" x14ac:dyDescent="0.3">
      <c r="A49" s="7" t="s">
        <v>86</v>
      </c>
      <c r="B49" s="17">
        <v>0</v>
      </c>
      <c r="C49" s="11">
        <v>533</v>
      </c>
      <c r="D49" s="11">
        <v>0</v>
      </c>
      <c r="E49" s="11">
        <v>1</v>
      </c>
      <c r="F49" s="11">
        <v>0</v>
      </c>
      <c r="G49" s="11">
        <v>0</v>
      </c>
      <c r="H49" s="14">
        <f>SUM(B49:G49)</f>
        <v>534</v>
      </c>
      <c r="I49" s="1"/>
      <c r="J49" s="87" t="s">
        <v>178</v>
      </c>
      <c r="K49" s="71">
        <v>18</v>
      </c>
      <c r="L49" s="71">
        <v>19</v>
      </c>
      <c r="M49" s="71">
        <v>0</v>
      </c>
      <c r="N49" s="71">
        <v>0</v>
      </c>
      <c r="O49" s="71">
        <v>0</v>
      </c>
      <c r="P49" s="71">
        <v>0</v>
      </c>
      <c r="Q49" s="46">
        <f t="shared" si="8"/>
        <v>37</v>
      </c>
      <c r="R49" s="4"/>
    </row>
    <row r="50" spans="1:18" x14ac:dyDescent="0.25">
      <c r="A50" s="18" t="s">
        <v>87</v>
      </c>
      <c r="B50" s="38">
        <v>690</v>
      </c>
      <c r="C50" s="19">
        <v>838</v>
      </c>
      <c r="D50" s="19">
        <v>97</v>
      </c>
      <c r="E50" s="19">
        <v>23</v>
      </c>
      <c r="F50" s="21">
        <v>6</v>
      </c>
      <c r="G50" s="19">
        <v>0</v>
      </c>
      <c r="H50" s="14">
        <f>SUM(B50:G50)</f>
        <v>1654</v>
      </c>
      <c r="I50" s="1"/>
      <c r="J50" s="155"/>
      <c r="K50" s="155"/>
      <c r="L50" s="155"/>
      <c r="M50" s="155"/>
      <c r="N50" s="34"/>
      <c r="O50" s="34"/>
      <c r="P50" s="34"/>
      <c r="Q50" s="34"/>
      <c r="R50" s="4"/>
    </row>
    <row r="51" spans="1:18" ht="15.75" thickBot="1" x14ac:dyDescent="0.3">
      <c r="A51" s="73" t="s">
        <v>139</v>
      </c>
      <c r="B51" s="75">
        <f t="shared" ref="B51:G51" si="9">SUM(B52:B68)</f>
        <v>2888</v>
      </c>
      <c r="C51" s="75">
        <f t="shared" si="9"/>
        <v>5194</v>
      </c>
      <c r="D51" s="77">
        <f t="shared" si="9"/>
        <v>3077</v>
      </c>
      <c r="E51" s="75">
        <f t="shared" si="9"/>
        <v>134</v>
      </c>
      <c r="F51" s="75">
        <f t="shared" si="9"/>
        <v>99</v>
      </c>
      <c r="G51" s="78">
        <f t="shared" si="9"/>
        <v>14</v>
      </c>
      <c r="H51" s="75">
        <f>SUM(B51:G51)</f>
        <v>11406</v>
      </c>
      <c r="I51" s="1"/>
      <c r="Q51" s="24"/>
      <c r="R51" s="4"/>
    </row>
    <row r="52" spans="1:18" x14ac:dyDescent="0.25">
      <c r="A52" s="7" t="s">
        <v>90</v>
      </c>
      <c r="B52" s="13">
        <v>373</v>
      </c>
      <c r="C52" s="13">
        <v>98</v>
      </c>
      <c r="D52" s="25">
        <v>33</v>
      </c>
      <c r="E52" s="65">
        <v>0</v>
      </c>
      <c r="F52" s="65">
        <v>1</v>
      </c>
      <c r="G52" s="65">
        <v>0</v>
      </c>
      <c r="H52" s="26">
        <f t="shared" ref="H52:H113" si="10">SUM(B52:G52)</f>
        <v>505</v>
      </c>
      <c r="I52" s="1"/>
      <c r="J52" s="158" t="s">
        <v>152</v>
      </c>
      <c r="K52" s="159"/>
      <c r="L52" s="159"/>
      <c r="M52" s="159"/>
      <c r="N52" s="159"/>
      <c r="O52" s="159"/>
      <c r="P52" s="159"/>
      <c r="Q52" s="160"/>
      <c r="R52" s="4"/>
    </row>
    <row r="53" spans="1:18" x14ac:dyDescent="0.25">
      <c r="A53" s="7" t="s">
        <v>91</v>
      </c>
      <c r="B53" s="13">
        <v>3</v>
      </c>
      <c r="C53" s="13">
        <v>1</v>
      </c>
      <c r="D53" s="25">
        <v>20</v>
      </c>
      <c r="E53" s="66">
        <v>0</v>
      </c>
      <c r="F53" s="66">
        <v>0</v>
      </c>
      <c r="G53" s="66">
        <v>0</v>
      </c>
      <c r="H53" s="26">
        <f t="shared" si="10"/>
        <v>24</v>
      </c>
      <c r="I53" s="1"/>
      <c r="J53" s="156" t="s">
        <v>72</v>
      </c>
      <c r="K53" s="157"/>
      <c r="L53" s="157"/>
      <c r="M53" s="157"/>
      <c r="N53" s="157"/>
      <c r="O53" s="157"/>
      <c r="P53" s="157"/>
      <c r="Q53" s="62" t="s">
        <v>11</v>
      </c>
      <c r="R53" s="4"/>
    </row>
    <row r="54" spans="1:18" x14ac:dyDescent="0.25">
      <c r="A54" s="7" t="s">
        <v>32</v>
      </c>
      <c r="B54" s="13">
        <v>850</v>
      </c>
      <c r="C54" s="13">
        <v>2305</v>
      </c>
      <c r="D54" s="25">
        <v>1230</v>
      </c>
      <c r="E54" s="66">
        <v>71</v>
      </c>
      <c r="F54" s="66">
        <v>42</v>
      </c>
      <c r="G54" s="66">
        <v>5</v>
      </c>
      <c r="H54" s="26">
        <f t="shared" si="10"/>
        <v>4503</v>
      </c>
      <c r="I54" s="1"/>
      <c r="J54" s="156" t="s">
        <v>71</v>
      </c>
      <c r="K54" s="157"/>
      <c r="L54" s="157"/>
      <c r="M54" s="157"/>
      <c r="N54" s="157"/>
      <c r="O54" s="157"/>
      <c r="P54" s="157"/>
      <c r="Q54" s="47">
        <v>3</v>
      </c>
      <c r="R54" s="4"/>
    </row>
    <row r="55" spans="1:18" x14ac:dyDescent="0.25">
      <c r="A55" s="7" t="s">
        <v>34</v>
      </c>
      <c r="B55" s="11">
        <v>9</v>
      </c>
      <c r="C55" s="13">
        <v>2</v>
      </c>
      <c r="D55" s="23">
        <v>5</v>
      </c>
      <c r="E55" s="66">
        <v>0</v>
      </c>
      <c r="F55" s="66">
        <v>0</v>
      </c>
      <c r="G55" s="66">
        <v>0</v>
      </c>
      <c r="H55" s="26">
        <f t="shared" si="10"/>
        <v>16</v>
      </c>
      <c r="I55" s="1"/>
      <c r="J55" s="156" t="s">
        <v>137</v>
      </c>
      <c r="K55" s="157"/>
      <c r="L55" s="157"/>
      <c r="M55" s="157"/>
      <c r="N55" s="157"/>
      <c r="O55" s="157"/>
      <c r="P55" s="157"/>
      <c r="Q55" s="47">
        <f>(H12)</f>
        <v>27511</v>
      </c>
      <c r="R55" s="4"/>
    </row>
    <row r="56" spans="1:18" x14ac:dyDescent="0.25">
      <c r="A56" s="7" t="s">
        <v>33</v>
      </c>
      <c r="B56" s="13">
        <v>171</v>
      </c>
      <c r="C56" s="13">
        <v>780</v>
      </c>
      <c r="D56" s="25">
        <v>376</v>
      </c>
      <c r="E56" s="66">
        <v>9</v>
      </c>
      <c r="F56" s="66">
        <v>7</v>
      </c>
      <c r="G56" s="66">
        <v>1</v>
      </c>
      <c r="H56" s="26">
        <f t="shared" si="10"/>
        <v>1344</v>
      </c>
      <c r="I56" s="1"/>
      <c r="J56" s="156" t="s">
        <v>138</v>
      </c>
      <c r="K56" s="157"/>
      <c r="L56" s="157"/>
      <c r="M56" s="157"/>
      <c r="N56" s="157"/>
      <c r="O56" s="157"/>
      <c r="P56" s="157"/>
      <c r="Q56" s="48">
        <f>(H51)</f>
        <v>11406</v>
      </c>
      <c r="R56" s="4"/>
    </row>
    <row r="57" spans="1:18" x14ac:dyDescent="0.25">
      <c r="A57" s="7" t="s">
        <v>2</v>
      </c>
      <c r="B57" s="11">
        <v>93</v>
      </c>
      <c r="C57" s="11">
        <v>4</v>
      </c>
      <c r="D57" s="23">
        <v>43</v>
      </c>
      <c r="E57" s="66">
        <v>0</v>
      </c>
      <c r="F57" s="66">
        <v>2</v>
      </c>
      <c r="G57" s="66">
        <v>0</v>
      </c>
      <c r="H57" s="26">
        <f t="shared" si="10"/>
        <v>142</v>
      </c>
      <c r="I57" s="1"/>
      <c r="J57" s="156" t="s">
        <v>140</v>
      </c>
      <c r="K57" s="157"/>
      <c r="L57" s="157"/>
      <c r="M57" s="157"/>
      <c r="N57" s="157"/>
      <c r="O57" s="157"/>
      <c r="P57" s="157"/>
      <c r="Q57" s="48">
        <f>(H69)</f>
        <v>856</v>
      </c>
      <c r="R57" s="4"/>
    </row>
    <row r="58" spans="1:18" x14ac:dyDescent="0.25">
      <c r="A58" s="7" t="s">
        <v>88</v>
      </c>
      <c r="B58" s="11">
        <v>11</v>
      </c>
      <c r="C58" s="11">
        <v>5</v>
      </c>
      <c r="D58" s="23">
        <v>5</v>
      </c>
      <c r="E58" s="66">
        <v>0</v>
      </c>
      <c r="F58" s="66">
        <v>0</v>
      </c>
      <c r="G58" s="66">
        <v>1</v>
      </c>
      <c r="H58" s="26">
        <f t="shared" si="10"/>
        <v>22</v>
      </c>
      <c r="I58" s="1"/>
      <c r="J58" s="156" t="s">
        <v>144</v>
      </c>
      <c r="K58" s="157"/>
      <c r="L58" s="157"/>
      <c r="M58" s="157"/>
      <c r="N58" s="157"/>
      <c r="O58" s="157"/>
      <c r="P58" s="157"/>
      <c r="Q58" s="48">
        <f>H82</f>
        <v>1701</v>
      </c>
      <c r="R58" s="4"/>
    </row>
    <row r="59" spans="1:18" x14ac:dyDescent="0.25">
      <c r="A59" s="7" t="s">
        <v>89</v>
      </c>
      <c r="B59" s="11">
        <v>0</v>
      </c>
      <c r="C59" s="11">
        <v>0</v>
      </c>
      <c r="D59" s="23">
        <v>0</v>
      </c>
      <c r="E59" s="66">
        <v>0</v>
      </c>
      <c r="F59" s="66">
        <v>0</v>
      </c>
      <c r="G59" s="66">
        <v>0</v>
      </c>
      <c r="H59" s="26">
        <f t="shared" si="10"/>
        <v>0</v>
      </c>
      <c r="I59" s="1"/>
      <c r="J59" s="156" t="s">
        <v>141</v>
      </c>
      <c r="K59" s="157"/>
      <c r="L59" s="157"/>
      <c r="M59" s="157"/>
      <c r="N59" s="157"/>
      <c r="O59" s="157"/>
      <c r="P59" s="157"/>
      <c r="Q59" s="48">
        <f>H95</f>
        <v>4030</v>
      </c>
      <c r="R59" s="4"/>
    </row>
    <row r="60" spans="1:18" ht="16.5" customHeight="1" x14ac:dyDescent="0.25">
      <c r="A60" s="7" t="s">
        <v>35</v>
      </c>
      <c r="B60" s="11">
        <v>331</v>
      </c>
      <c r="C60" s="11">
        <v>851</v>
      </c>
      <c r="D60" s="23">
        <v>413</v>
      </c>
      <c r="E60" s="66">
        <v>17</v>
      </c>
      <c r="F60" s="66">
        <v>10</v>
      </c>
      <c r="G60" s="66">
        <v>1</v>
      </c>
      <c r="H60" s="26">
        <f t="shared" si="10"/>
        <v>1623</v>
      </c>
      <c r="I60" s="1"/>
      <c r="J60" s="156" t="s">
        <v>143</v>
      </c>
      <c r="K60" s="157"/>
      <c r="L60" s="157"/>
      <c r="M60" s="157"/>
      <c r="N60" s="157"/>
      <c r="O60" s="157"/>
      <c r="P60" s="157"/>
      <c r="Q60" s="63">
        <f>Q11</f>
        <v>1972</v>
      </c>
      <c r="R60" s="4"/>
    </row>
    <row r="61" spans="1:18" x14ac:dyDescent="0.25">
      <c r="A61" s="7" t="s">
        <v>36</v>
      </c>
      <c r="B61" s="11">
        <v>20</v>
      </c>
      <c r="C61" s="11">
        <v>13</v>
      </c>
      <c r="D61" s="23">
        <v>17</v>
      </c>
      <c r="E61" s="66">
        <v>0</v>
      </c>
      <c r="F61" s="66">
        <v>1</v>
      </c>
      <c r="G61" s="66">
        <v>1</v>
      </c>
      <c r="H61" s="26">
        <f t="shared" si="10"/>
        <v>52</v>
      </c>
      <c r="I61" s="1"/>
      <c r="J61" s="156" t="s">
        <v>145</v>
      </c>
      <c r="K61" s="157"/>
      <c r="L61" s="157"/>
      <c r="M61" s="157"/>
      <c r="N61" s="157"/>
      <c r="O61" s="157"/>
      <c r="P61" s="157"/>
      <c r="Q61" s="41">
        <f>Q28</f>
        <v>405</v>
      </c>
      <c r="R61" s="4"/>
    </row>
    <row r="62" spans="1:18" ht="15.75" thickBot="1" x14ac:dyDescent="0.3">
      <c r="A62" s="7" t="s">
        <v>119</v>
      </c>
      <c r="B62" s="11">
        <v>0</v>
      </c>
      <c r="C62" s="10">
        <v>0</v>
      </c>
      <c r="D62" s="23">
        <v>0</v>
      </c>
      <c r="E62" s="66">
        <v>0</v>
      </c>
      <c r="F62" s="66">
        <v>0</v>
      </c>
      <c r="G62" s="66">
        <v>0</v>
      </c>
      <c r="H62" s="26">
        <f>SUM(B62:G62)</f>
        <v>0</v>
      </c>
      <c r="I62" s="1"/>
      <c r="J62" s="178" t="s">
        <v>151</v>
      </c>
      <c r="K62" s="179"/>
      <c r="L62" s="179"/>
      <c r="M62" s="179"/>
      <c r="N62" s="179"/>
      <c r="O62" s="179"/>
      <c r="P62" s="179"/>
      <c r="Q62" s="64">
        <f>Q41</f>
        <v>942</v>
      </c>
      <c r="R62" s="4"/>
    </row>
    <row r="63" spans="1:18" ht="15.75" thickBot="1" x14ac:dyDescent="0.3">
      <c r="A63" s="7" t="s">
        <v>118</v>
      </c>
      <c r="B63" s="11">
        <v>19</v>
      </c>
      <c r="C63" s="11">
        <v>4</v>
      </c>
      <c r="D63" s="23">
        <v>8</v>
      </c>
      <c r="E63" s="66">
        <v>0</v>
      </c>
      <c r="F63" s="66">
        <v>0</v>
      </c>
      <c r="G63" s="66">
        <v>1</v>
      </c>
      <c r="H63" s="33">
        <f>SUM(B63:G63)</f>
        <v>32</v>
      </c>
      <c r="I63" s="1"/>
      <c r="M63" s="53"/>
      <c r="N63" s="53"/>
      <c r="O63" s="53"/>
      <c r="P63" s="39" t="s">
        <v>11</v>
      </c>
      <c r="Q63" s="61">
        <f>SUM(Q54:Q62)</f>
        <v>48826</v>
      </c>
      <c r="R63" s="4"/>
    </row>
    <row r="64" spans="1:18" x14ac:dyDescent="0.25">
      <c r="A64" s="8" t="s">
        <v>37</v>
      </c>
      <c r="B64" s="31">
        <v>132</v>
      </c>
      <c r="C64" s="20">
        <v>111</v>
      </c>
      <c r="D64" s="42">
        <v>45</v>
      </c>
      <c r="E64" s="65">
        <v>1</v>
      </c>
      <c r="F64" s="65">
        <v>0</v>
      </c>
      <c r="G64" s="65">
        <v>0</v>
      </c>
      <c r="H64" s="26">
        <f t="shared" si="10"/>
        <v>289</v>
      </c>
      <c r="I64" s="1"/>
      <c r="P64" s="1"/>
      <c r="Q64" s="1"/>
      <c r="R64" s="4"/>
    </row>
    <row r="65" spans="1:18" x14ac:dyDescent="0.25">
      <c r="A65" s="7" t="s">
        <v>38</v>
      </c>
      <c r="B65" s="11">
        <v>438</v>
      </c>
      <c r="C65" s="10">
        <v>510</v>
      </c>
      <c r="D65" s="23">
        <v>441</v>
      </c>
      <c r="E65" s="66">
        <v>18</v>
      </c>
      <c r="F65" s="66">
        <v>18</v>
      </c>
      <c r="G65" s="66">
        <v>2</v>
      </c>
      <c r="H65" s="26">
        <f t="shared" si="10"/>
        <v>1427</v>
      </c>
      <c r="I65" s="1"/>
      <c r="R65" s="4"/>
    </row>
    <row r="66" spans="1:18" x14ac:dyDescent="0.25">
      <c r="A66" s="7" t="s">
        <v>73</v>
      </c>
      <c r="B66" s="11">
        <v>438</v>
      </c>
      <c r="C66" s="10">
        <v>510</v>
      </c>
      <c r="D66" s="23">
        <v>441</v>
      </c>
      <c r="E66" s="11">
        <v>18</v>
      </c>
      <c r="F66" s="11">
        <v>18</v>
      </c>
      <c r="G66" s="11">
        <v>2</v>
      </c>
      <c r="H66" s="26">
        <f t="shared" si="10"/>
        <v>1427</v>
      </c>
      <c r="I66" s="1"/>
      <c r="J66" s="1"/>
      <c r="K66" s="1"/>
      <c r="L66" s="1"/>
      <c r="M66" s="1"/>
      <c r="N66" s="1"/>
      <c r="O66" s="1"/>
      <c r="R66" s="4"/>
    </row>
    <row r="67" spans="1:18" x14ac:dyDescent="0.25">
      <c r="A67" s="7" t="s">
        <v>39</v>
      </c>
      <c r="B67" s="11">
        <v>0</v>
      </c>
      <c r="C67" s="10">
        <v>0</v>
      </c>
      <c r="D67" s="23">
        <v>0</v>
      </c>
      <c r="E67" s="11">
        <v>0</v>
      </c>
      <c r="F67" s="11">
        <v>0</v>
      </c>
      <c r="G67" s="11">
        <v>0</v>
      </c>
      <c r="H67" s="26">
        <f t="shared" si="10"/>
        <v>0</v>
      </c>
      <c r="I67" s="1"/>
      <c r="R67" s="4"/>
    </row>
    <row r="68" spans="1:18" x14ac:dyDescent="0.25">
      <c r="A68" s="18" t="s">
        <v>40</v>
      </c>
      <c r="B68" s="19">
        <v>0</v>
      </c>
      <c r="C68" s="21">
        <v>0</v>
      </c>
      <c r="D68" s="43">
        <v>0</v>
      </c>
      <c r="E68" s="19">
        <v>0</v>
      </c>
      <c r="F68" s="19">
        <v>0</v>
      </c>
      <c r="G68" s="19">
        <v>0</v>
      </c>
      <c r="H68" s="26">
        <f t="shared" si="10"/>
        <v>0</v>
      </c>
      <c r="I68" s="1"/>
      <c r="R68" s="4"/>
    </row>
    <row r="69" spans="1:18" x14ac:dyDescent="0.25">
      <c r="A69" s="73" t="s">
        <v>54</v>
      </c>
      <c r="B69" s="74">
        <f t="shared" ref="B69:G69" si="11">SUM(B70:B81)</f>
        <v>626</v>
      </c>
      <c r="C69" s="74">
        <f t="shared" si="11"/>
        <v>34</v>
      </c>
      <c r="D69" s="74">
        <f t="shared" si="11"/>
        <v>179</v>
      </c>
      <c r="E69" s="74">
        <f t="shared" si="11"/>
        <v>17</v>
      </c>
      <c r="F69" s="74">
        <f t="shared" si="11"/>
        <v>0</v>
      </c>
      <c r="G69" s="76">
        <f t="shared" si="11"/>
        <v>0</v>
      </c>
      <c r="H69" s="75">
        <f t="shared" si="10"/>
        <v>856</v>
      </c>
      <c r="I69" s="1"/>
      <c r="R69" s="4"/>
    </row>
    <row r="70" spans="1:18" x14ac:dyDescent="0.25">
      <c r="A70" s="52" t="s">
        <v>55</v>
      </c>
      <c r="B70" s="65">
        <v>111</v>
      </c>
      <c r="C70" s="10">
        <v>11</v>
      </c>
      <c r="D70" s="65">
        <v>135</v>
      </c>
      <c r="E70" s="65">
        <v>5</v>
      </c>
      <c r="F70" s="11">
        <v>0</v>
      </c>
      <c r="G70" s="65">
        <v>0</v>
      </c>
      <c r="H70" s="26">
        <f t="shared" si="10"/>
        <v>262</v>
      </c>
      <c r="I70" s="1"/>
      <c r="R70" s="4"/>
    </row>
    <row r="71" spans="1:18" x14ac:dyDescent="0.25">
      <c r="A71" s="52" t="s">
        <v>56</v>
      </c>
      <c r="B71" s="66">
        <v>205</v>
      </c>
      <c r="C71" s="91">
        <v>21</v>
      </c>
      <c r="D71" s="66">
        <v>10</v>
      </c>
      <c r="E71" s="66">
        <v>0</v>
      </c>
      <c r="F71" s="11">
        <v>0</v>
      </c>
      <c r="G71" s="66">
        <v>0</v>
      </c>
      <c r="H71" s="26">
        <f t="shared" si="10"/>
        <v>236</v>
      </c>
      <c r="I71" s="1"/>
      <c r="R71" s="4"/>
    </row>
    <row r="72" spans="1:18" x14ac:dyDescent="0.25">
      <c r="A72" s="52" t="s">
        <v>58</v>
      </c>
      <c r="B72" s="66">
        <v>0</v>
      </c>
      <c r="C72" s="10">
        <v>0</v>
      </c>
      <c r="D72" s="66">
        <v>0</v>
      </c>
      <c r="E72" s="66">
        <v>0</v>
      </c>
      <c r="F72" s="11">
        <v>0</v>
      </c>
      <c r="G72" s="66">
        <v>0</v>
      </c>
      <c r="H72" s="26">
        <f t="shared" si="10"/>
        <v>0</v>
      </c>
      <c r="I72" s="1"/>
      <c r="R72" s="4"/>
    </row>
    <row r="73" spans="1:18" x14ac:dyDescent="0.25">
      <c r="A73" s="52" t="s">
        <v>68</v>
      </c>
      <c r="B73" s="66">
        <v>89</v>
      </c>
      <c r="C73" s="91">
        <v>1</v>
      </c>
      <c r="D73" s="66">
        <v>9</v>
      </c>
      <c r="E73" s="66">
        <v>8</v>
      </c>
      <c r="F73" s="92">
        <v>0</v>
      </c>
      <c r="G73" s="66">
        <v>0</v>
      </c>
      <c r="H73" s="26">
        <f t="shared" si="10"/>
        <v>107</v>
      </c>
      <c r="I73" s="1"/>
      <c r="R73" s="4"/>
    </row>
    <row r="74" spans="1:18" x14ac:dyDescent="0.25">
      <c r="A74" s="52" t="s">
        <v>69</v>
      </c>
      <c r="B74" s="66">
        <v>32</v>
      </c>
      <c r="C74" s="91">
        <v>0</v>
      </c>
      <c r="D74" s="66">
        <v>2</v>
      </c>
      <c r="E74" s="66">
        <v>0</v>
      </c>
      <c r="F74" s="92">
        <v>0</v>
      </c>
      <c r="G74" s="66">
        <v>0</v>
      </c>
      <c r="H74" s="26">
        <f t="shared" si="10"/>
        <v>34</v>
      </c>
      <c r="I74" s="1"/>
      <c r="R74" s="4"/>
    </row>
    <row r="75" spans="1:18" x14ac:dyDescent="0.25">
      <c r="A75" s="52" t="s">
        <v>57</v>
      </c>
      <c r="B75" s="66">
        <v>11</v>
      </c>
      <c r="C75" s="91">
        <v>1</v>
      </c>
      <c r="D75" s="66">
        <v>3</v>
      </c>
      <c r="E75" s="66">
        <v>0</v>
      </c>
      <c r="F75" s="91">
        <v>0</v>
      </c>
      <c r="G75" s="66">
        <v>0</v>
      </c>
      <c r="H75" s="26">
        <f t="shared" si="10"/>
        <v>15</v>
      </c>
      <c r="I75" s="1"/>
      <c r="R75" s="4"/>
    </row>
    <row r="76" spans="1:18" x14ac:dyDescent="0.25">
      <c r="A76" s="52" t="s">
        <v>142</v>
      </c>
      <c r="B76" s="66">
        <v>52</v>
      </c>
      <c r="C76" s="91">
        <v>0</v>
      </c>
      <c r="D76" s="66">
        <v>5</v>
      </c>
      <c r="E76" s="66">
        <v>0</v>
      </c>
      <c r="F76" s="92">
        <v>0</v>
      </c>
      <c r="G76" s="66">
        <v>0</v>
      </c>
      <c r="H76" s="26">
        <f t="shared" si="10"/>
        <v>57</v>
      </c>
      <c r="I76" s="1"/>
      <c r="R76" s="4"/>
    </row>
    <row r="77" spans="1:18" x14ac:dyDescent="0.25">
      <c r="A77" s="52" t="s">
        <v>59</v>
      </c>
      <c r="B77" s="66">
        <v>12</v>
      </c>
      <c r="C77" s="91">
        <v>0</v>
      </c>
      <c r="D77" s="66">
        <v>8</v>
      </c>
      <c r="E77" s="66">
        <v>2</v>
      </c>
      <c r="F77" s="92">
        <v>0</v>
      </c>
      <c r="G77" s="66">
        <v>0</v>
      </c>
      <c r="H77" s="26">
        <f t="shared" si="10"/>
        <v>22</v>
      </c>
      <c r="I77" s="1"/>
      <c r="R77" s="4"/>
    </row>
    <row r="78" spans="1:18" x14ac:dyDescent="0.25">
      <c r="A78" s="52" t="s">
        <v>60</v>
      </c>
      <c r="B78" s="66">
        <v>31</v>
      </c>
      <c r="C78" s="91">
        <v>0</v>
      </c>
      <c r="D78" s="66">
        <v>3</v>
      </c>
      <c r="E78" s="66">
        <v>1</v>
      </c>
      <c r="F78" s="91">
        <v>0</v>
      </c>
      <c r="G78" s="66">
        <v>0</v>
      </c>
      <c r="H78" s="26">
        <f t="shared" si="10"/>
        <v>35</v>
      </c>
      <c r="I78" s="1"/>
      <c r="R78" s="4"/>
    </row>
    <row r="79" spans="1:18" x14ac:dyDescent="0.25">
      <c r="A79" s="52" t="s">
        <v>106</v>
      </c>
      <c r="B79" s="66">
        <v>12</v>
      </c>
      <c r="C79" s="91">
        <v>0</v>
      </c>
      <c r="D79" s="66">
        <v>0</v>
      </c>
      <c r="E79" s="66">
        <v>0</v>
      </c>
      <c r="F79" s="91">
        <v>0</v>
      </c>
      <c r="G79" s="66">
        <v>0</v>
      </c>
      <c r="H79" s="26">
        <f t="shared" si="10"/>
        <v>12</v>
      </c>
      <c r="I79" s="1"/>
      <c r="R79" s="4"/>
    </row>
    <row r="80" spans="1:18" x14ac:dyDescent="0.25">
      <c r="A80" s="52" t="s">
        <v>132</v>
      </c>
      <c r="B80" s="66">
        <v>29</v>
      </c>
      <c r="C80" s="91">
        <v>0</v>
      </c>
      <c r="D80" s="66">
        <v>2</v>
      </c>
      <c r="E80" s="66">
        <v>0</v>
      </c>
      <c r="F80" s="92">
        <v>0</v>
      </c>
      <c r="G80" s="66">
        <v>0</v>
      </c>
      <c r="H80" s="26">
        <f t="shared" si="10"/>
        <v>31</v>
      </c>
      <c r="I80" s="1"/>
      <c r="R80" s="4"/>
    </row>
    <row r="81" spans="1:18" x14ac:dyDescent="0.25">
      <c r="A81" s="52" t="s">
        <v>133</v>
      </c>
      <c r="B81" s="93">
        <v>42</v>
      </c>
      <c r="C81" s="91">
        <v>0</v>
      </c>
      <c r="D81" s="93">
        <v>2</v>
      </c>
      <c r="E81" s="93">
        <v>1</v>
      </c>
      <c r="F81" s="92">
        <v>0</v>
      </c>
      <c r="G81" s="93">
        <v>0</v>
      </c>
      <c r="H81" s="26">
        <f t="shared" si="10"/>
        <v>45</v>
      </c>
      <c r="I81" s="1"/>
      <c r="R81" s="4"/>
    </row>
    <row r="82" spans="1:18" x14ac:dyDescent="0.25">
      <c r="A82" s="73" t="s">
        <v>70</v>
      </c>
      <c r="B82" s="74">
        <f>SUM(B83:B94)</f>
        <v>152</v>
      </c>
      <c r="C82" s="74">
        <f t="shared" ref="C82:G82" si="12">SUM(C83:C94)</f>
        <v>712</v>
      </c>
      <c r="D82" s="74">
        <f t="shared" si="12"/>
        <v>801</v>
      </c>
      <c r="E82" s="74">
        <f t="shared" si="12"/>
        <v>34</v>
      </c>
      <c r="F82" s="74">
        <f t="shared" si="12"/>
        <v>2</v>
      </c>
      <c r="G82" s="74">
        <f t="shared" si="12"/>
        <v>0</v>
      </c>
      <c r="H82" s="75">
        <f t="shared" si="10"/>
        <v>1701</v>
      </c>
      <c r="I82" s="1"/>
      <c r="R82" s="4"/>
    </row>
    <row r="83" spans="1:18" x14ac:dyDescent="0.25">
      <c r="A83" s="22" t="s">
        <v>84</v>
      </c>
      <c r="B83" s="11">
        <v>10</v>
      </c>
      <c r="C83" s="10">
        <v>0</v>
      </c>
      <c r="D83" s="11">
        <v>65</v>
      </c>
      <c r="E83" s="11">
        <v>3</v>
      </c>
      <c r="F83" s="10">
        <v>0</v>
      </c>
      <c r="G83" s="11">
        <v>0</v>
      </c>
      <c r="H83" s="108">
        <f t="shared" si="10"/>
        <v>78</v>
      </c>
      <c r="I83" s="1"/>
      <c r="R83" s="4"/>
    </row>
    <row r="84" spans="1:18" x14ac:dyDescent="0.25">
      <c r="A84" s="22" t="s">
        <v>114</v>
      </c>
      <c r="B84" s="11">
        <v>13</v>
      </c>
      <c r="C84" s="10">
        <v>0</v>
      </c>
      <c r="D84" s="11">
        <v>59</v>
      </c>
      <c r="E84" s="11">
        <v>5</v>
      </c>
      <c r="F84" s="10">
        <v>0</v>
      </c>
      <c r="G84" s="11">
        <v>0</v>
      </c>
      <c r="H84" s="26">
        <f t="shared" si="10"/>
        <v>77</v>
      </c>
      <c r="I84" s="1"/>
      <c r="R84" s="4"/>
    </row>
    <row r="85" spans="1:18" ht="14.25" customHeight="1" x14ac:dyDescent="0.25">
      <c r="A85" s="22" t="s">
        <v>61</v>
      </c>
      <c r="B85" s="11">
        <v>2</v>
      </c>
      <c r="C85" s="10">
        <v>68</v>
      </c>
      <c r="D85" s="11">
        <v>5</v>
      </c>
      <c r="E85" s="11">
        <v>0</v>
      </c>
      <c r="F85" s="10">
        <v>0</v>
      </c>
      <c r="G85" s="11">
        <v>0</v>
      </c>
      <c r="H85" s="26">
        <f t="shared" si="10"/>
        <v>75</v>
      </c>
      <c r="I85" s="1"/>
      <c r="R85" s="4"/>
    </row>
    <row r="86" spans="1:18" x14ac:dyDescent="0.25">
      <c r="A86" s="22" t="s">
        <v>62</v>
      </c>
      <c r="B86" s="11">
        <v>22</v>
      </c>
      <c r="C86" s="10">
        <v>0</v>
      </c>
      <c r="D86" s="11">
        <v>165</v>
      </c>
      <c r="E86" s="11">
        <v>1</v>
      </c>
      <c r="F86" s="10">
        <v>0</v>
      </c>
      <c r="G86" s="11">
        <v>0</v>
      </c>
      <c r="H86" s="26">
        <f t="shared" si="10"/>
        <v>188</v>
      </c>
      <c r="I86" s="1"/>
      <c r="J86" s="176"/>
      <c r="K86" s="176"/>
      <c r="L86" s="176"/>
      <c r="M86" s="176"/>
      <c r="R86" s="4"/>
    </row>
    <row r="87" spans="1:18" x14ac:dyDescent="0.25">
      <c r="A87" s="22" t="s">
        <v>93</v>
      </c>
      <c r="B87" s="11">
        <v>0</v>
      </c>
      <c r="C87" s="10">
        <v>0</v>
      </c>
      <c r="D87" s="11">
        <v>0</v>
      </c>
      <c r="E87" s="11">
        <v>0</v>
      </c>
      <c r="F87" s="10">
        <v>0</v>
      </c>
      <c r="G87" s="11">
        <v>0</v>
      </c>
      <c r="H87" s="26">
        <f t="shared" si="10"/>
        <v>0</v>
      </c>
      <c r="I87" s="1"/>
      <c r="J87" s="176"/>
      <c r="R87" s="4"/>
    </row>
    <row r="88" spans="1:18" x14ac:dyDescent="0.25">
      <c r="A88" s="22" t="s">
        <v>94</v>
      </c>
      <c r="B88" s="11">
        <v>0</v>
      </c>
      <c r="C88" s="10">
        <v>0</v>
      </c>
      <c r="D88" s="11">
        <v>0</v>
      </c>
      <c r="E88" s="11">
        <v>0</v>
      </c>
      <c r="F88" s="10">
        <v>0</v>
      </c>
      <c r="G88" s="11">
        <v>0</v>
      </c>
      <c r="H88" s="33">
        <f t="shared" si="10"/>
        <v>0</v>
      </c>
      <c r="I88" s="1"/>
      <c r="J88" s="176"/>
      <c r="R88" s="4"/>
    </row>
    <row r="89" spans="1:18" x14ac:dyDescent="0.25">
      <c r="A89" s="81" t="s">
        <v>108</v>
      </c>
      <c r="B89" s="82">
        <v>83</v>
      </c>
      <c r="C89" s="83">
        <v>628</v>
      </c>
      <c r="D89" s="82">
        <v>401</v>
      </c>
      <c r="E89" s="82">
        <v>23</v>
      </c>
      <c r="F89" s="85">
        <v>1</v>
      </c>
      <c r="G89" s="82">
        <v>0</v>
      </c>
      <c r="H89" s="84">
        <f>SUM(B89:G89)</f>
        <v>1136</v>
      </c>
      <c r="I89" s="1"/>
      <c r="J89" s="176"/>
      <c r="R89" s="4"/>
    </row>
    <row r="90" spans="1:18" x14ac:dyDescent="0.25">
      <c r="A90" s="32" t="s">
        <v>63</v>
      </c>
      <c r="B90" s="31">
        <v>2</v>
      </c>
      <c r="C90" s="20">
        <v>0</v>
      </c>
      <c r="D90" s="31">
        <v>0</v>
      </c>
      <c r="E90" s="31">
        <v>0</v>
      </c>
      <c r="F90" s="20">
        <v>0</v>
      </c>
      <c r="G90" s="31">
        <v>0</v>
      </c>
      <c r="H90" s="26">
        <f t="shared" si="10"/>
        <v>2</v>
      </c>
      <c r="I90" s="1"/>
      <c r="J90" s="176"/>
      <c r="R90" s="4"/>
    </row>
    <row r="91" spans="1:18" x14ac:dyDescent="0.25">
      <c r="A91" s="22" t="s">
        <v>153</v>
      </c>
      <c r="B91" s="11">
        <v>1</v>
      </c>
      <c r="C91" s="10">
        <v>0</v>
      </c>
      <c r="D91" s="11">
        <v>1</v>
      </c>
      <c r="E91" s="11">
        <v>0</v>
      </c>
      <c r="F91" s="10">
        <v>1</v>
      </c>
      <c r="G91" s="11">
        <v>0</v>
      </c>
      <c r="H91" s="26">
        <f t="shared" si="10"/>
        <v>3</v>
      </c>
      <c r="I91" s="1"/>
      <c r="J91" s="176"/>
      <c r="R91" s="4"/>
    </row>
    <row r="92" spans="1:18" x14ac:dyDescent="0.25">
      <c r="A92" s="22" t="s">
        <v>107</v>
      </c>
      <c r="B92" s="11">
        <v>13</v>
      </c>
      <c r="C92" s="10">
        <v>16</v>
      </c>
      <c r="D92" s="11">
        <v>103</v>
      </c>
      <c r="E92" s="11">
        <v>2</v>
      </c>
      <c r="F92" s="10">
        <v>0</v>
      </c>
      <c r="G92" s="11">
        <v>0</v>
      </c>
      <c r="H92" s="26">
        <f t="shared" si="10"/>
        <v>134</v>
      </c>
      <c r="I92" s="1"/>
      <c r="J92" s="176"/>
      <c r="R92" s="4"/>
    </row>
    <row r="93" spans="1:18" x14ac:dyDescent="0.25">
      <c r="A93" s="22" t="s">
        <v>210</v>
      </c>
      <c r="B93" s="11">
        <v>0</v>
      </c>
      <c r="C93" s="10">
        <v>0</v>
      </c>
      <c r="D93" s="11">
        <v>0</v>
      </c>
      <c r="E93" s="11">
        <v>0</v>
      </c>
      <c r="F93" s="10">
        <v>0</v>
      </c>
      <c r="G93" s="11">
        <v>0</v>
      </c>
      <c r="H93" s="26">
        <f t="shared" si="10"/>
        <v>0</v>
      </c>
      <c r="I93" s="1"/>
      <c r="R93" s="4"/>
    </row>
    <row r="94" spans="1:18" x14ac:dyDescent="0.25">
      <c r="A94" s="22" t="s">
        <v>182</v>
      </c>
      <c r="B94" s="11">
        <v>6</v>
      </c>
      <c r="C94" s="10">
        <v>0</v>
      </c>
      <c r="D94" s="11">
        <v>2</v>
      </c>
      <c r="E94" s="11">
        <v>0</v>
      </c>
      <c r="F94" s="10">
        <v>0</v>
      </c>
      <c r="G94" s="11">
        <v>0</v>
      </c>
      <c r="H94" s="26">
        <f t="shared" si="10"/>
        <v>8</v>
      </c>
      <c r="I94" s="1"/>
      <c r="R94" s="4"/>
    </row>
    <row r="95" spans="1:18" x14ac:dyDescent="0.25">
      <c r="A95" s="73" t="s">
        <v>3</v>
      </c>
      <c r="B95" s="74">
        <f>SUM(B96:B155)</f>
        <v>935</v>
      </c>
      <c r="C95" s="74">
        <f t="shared" ref="C95:G95" si="13">SUM(C96:C155)</f>
        <v>878</v>
      </c>
      <c r="D95" s="74">
        <f t="shared" si="13"/>
        <v>2123</v>
      </c>
      <c r="E95" s="74">
        <f t="shared" si="13"/>
        <v>25</v>
      </c>
      <c r="F95" s="74">
        <f t="shared" si="13"/>
        <v>69</v>
      </c>
      <c r="G95" s="74">
        <f t="shared" si="13"/>
        <v>0</v>
      </c>
      <c r="H95" s="75">
        <f t="shared" si="10"/>
        <v>4030</v>
      </c>
      <c r="I95" s="1"/>
      <c r="R95" s="4"/>
    </row>
    <row r="96" spans="1:18" x14ac:dyDescent="0.25">
      <c r="A96" s="7" t="s">
        <v>113</v>
      </c>
      <c r="B96" s="11">
        <v>54</v>
      </c>
      <c r="C96" s="11">
        <v>142</v>
      </c>
      <c r="D96" s="11">
        <v>164</v>
      </c>
      <c r="E96" s="11">
        <v>2</v>
      </c>
      <c r="F96" s="17">
        <v>1</v>
      </c>
      <c r="G96" s="11">
        <v>0</v>
      </c>
      <c r="H96" s="14">
        <f t="shared" si="10"/>
        <v>363</v>
      </c>
      <c r="I96" s="1"/>
      <c r="R96" s="4"/>
    </row>
    <row r="97" spans="1:18" x14ac:dyDescent="0.25">
      <c r="A97" s="7" t="s">
        <v>112</v>
      </c>
      <c r="B97" s="11">
        <v>0</v>
      </c>
      <c r="C97" s="11">
        <v>0</v>
      </c>
      <c r="D97" s="11">
        <v>0</v>
      </c>
      <c r="E97" s="11">
        <v>0</v>
      </c>
      <c r="F97" s="17">
        <v>0</v>
      </c>
      <c r="G97" s="11">
        <v>0</v>
      </c>
      <c r="H97" s="27">
        <f t="shared" si="10"/>
        <v>0</v>
      </c>
      <c r="I97" s="1"/>
      <c r="R97" s="4"/>
    </row>
    <row r="98" spans="1:18" x14ac:dyDescent="0.25">
      <c r="A98" s="7" t="s">
        <v>41</v>
      </c>
      <c r="B98" s="11">
        <v>0</v>
      </c>
      <c r="C98" s="11">
        <v>0</v>
      </c>
      <c r="D98" s="11">
        <v>0</v>
      </c>
      <c r="E98" s="11">
        <v>0</v>
      </c>
      <c r="F98" s="17">
        <v>0</v>
      </c>
      <c r="G98" s="11">
        <v>0</v>
      </c>
      <c r="H98" s="27">
        <f t="shared" si="10"/>
        <v>0</v>
      </c>
      <c r="I98" s="1"/>
      <c r="R98" s="4"/>
    </row>
    <row r="99" spans="1:18" x14ac:dyDescent="0.25">
      <c r="A99" s="7" t="s">
        <v>192</v>
      </c>
      <c r="B99" s="11">
        <v>0</v>
      </c>
      <c r="C99" s="11">
        <v>0</v>
      </c>
      <c r="D99" s="11">
        <v>0</v>
      </c>
      <c r="E99" s="11">
        <v>0</v>
      </c>
      <c r="F99" s="17">
        <v>0</v>
      </c>
      <c r="G99" s="11">
        <v>0</v>
      </c>
      <c r="H99" s="27">
        <f t="shared" si="10"/>
        <v>0</v>
      </c>
      <c r="I99" s="1"/>
      <c r="R99" s="4"/>
    </row>
    <row r="100" spans="1:18" x14ac:dyDescent="0.25">
      <c r="A100" s="7" t="s">
        <v>213</v>
      </c>
      <c r="B100" s="11">
        <v>0</v>
      </c>
      <c r="C100" s="11">
        <v>0</v>
      </c>
      <c r="D100" s="11">
        <v>0</v>
      </c>
      <c r="E100" s="11">
        <v>0</v>
      </c>
      <c r="F100" s="17">
        <v>0</v>
      </c>
      <c r="G100" s="11">
        <v>0</v>
      </c>
      <c r="H100" s="27">
        <f t="shared" si="10"/>
        <v>0</v>
      </c>
      <c r="I100" s="1"/>
      <c r="R100" s="4"/>
    </row>
    <row r="101" spans="1:18" x14ac:dyDescent="0.25">
      <c r="A101" s="7" t="s">
        <v>214</v>
      </c>
      <c r="B101" s="11">
        <v>0</v>
      </c>
      <c r="C101" s="11">
        <v>0</v>
      </c>
      <c r="D101" s="11">
        <v>0</v>
      </c>
      <c r="E101" s="11">
        <v>0</v>
      </c>
      <c r="F101" s="17">
        <v>0</v>
      </c>
      <c r="G101" s="11">
        <v>0</v>
      </c>
      <c r="H101" s="27">
        <f t="shared" si="10"/>
        <v>0</v>
      </c>
      <c r="I101" s="1"/>
      <c r="R101" s="4"/>
    </row>
    <row r="102" spans="1:18" x14ac:dyDescent="0.25">
      <c r="A102" s="7" t="s">
        <v>215</v>
      </c>
      <c r="B102" s="11">
        <v>0</v>
      </c>
      <c r="C102" s="11">
        <v>0</v>
      </c>
      <c r="D102" s="11">
        <v>4</v>
      </c>
      <c r="E102" s="11">
        <v>0</v>
      </c>
      <c r="F102" s="17">
        <v>0</v>
      </c>
      <c r="G102" s="11">
        <v>0</v>
      </c>
      <c r="H102" s="27">
        <f t="shared" si="10"/>
        <v>4</v>
      </c>
      <c r="I102" s="1"/>
      <c r="R102" s="4"/>
    </row>
    <row r="103" spans="1:18" x14ac:dyDescent="0.25">
      <c r="A103" s="7" t="s">
        <v>219</v>
      </c>
      <c r="B103" s="11">
        <v>2</v>
      </c>
      <c r="C103" s="11">
        <v>0</v>
      </c>
      <c r="D103" s="11">
        <v>2</v>
      </c>
      <c r="E103" s="11">
        <v>0</v>
      </c>
      <c r="F103" s="17">
        <v>0</v>
      </c>
      <c r="G103" s="11">
        <v>0</v>
      </c>
      <c r="H103" s="27">
        <f t="shared" si="10"/>
        <v>4</v>
      </c>
      <c r="I103" s="1"/>
      <c r="R103" s="4"/>
    </row>
    <row r="104" spans="1:18" x14ac:dyDescent="0.25">
      <c r="A104" s="7" t="s">
        <v>220</v>
      </c>
      <c r="B104" s="11">
        <v>8</v>
      </c>
      <c r="C104" s="11">
        <v>0</v>
      </c>
      <c r="D104" s="11">
        <v>0</v>
      </c>
      <c r="E104" s="11">
        <v>0</v>
      </c>
      <c r="F104" s="17">
        <v>0</v>
      </c>
      <c r="G104" s="11">
        <v>0</v>
      </c>
      <c r="H104" s="27">
        <f t="shared" si="10"/>
        <v>8</v>
      </c>
      <c r="I104" s="1"/>
      <c r="R104" s="4"/>
    </row>
    <row r="105" spans="1:18" x14ac:dyDescent="0.25">
      <c r="A105" s="7" t="s">
        <v>216</v>
      </c>
      <c r="B105" s="11">
        <v>0</v>
      </c>
      <c r="C105" s="11">
        <v>0</v>
      </c>
      <c r="D105" s="11">
        <v>0</v>
      </c>
      <c r="E105" s="11">
        <v>0</v>
      </c>
      <c r="F105" s="17">
        <v>0</v>
      </c>
      <c r="G105" s="11">
        <v>0</v>
      </c>
      <c r="H105" s="27">
        <f t="shared" si="10"/>
        <v>0</v>
      </c>
      <c r="I105" s="1"/>
      <c r="R105" s="4"/>
    </row>
    <row r="106" spans="1:18" x14ac:dyDescent="0.25">
      <c r="A106" s="7" t="s">
        <v>174</v>
      </c>
      <c r="B106" s="11">
        <v>0</v>
      </c>
      <c r="C106" s="11">
        <v>0</v>
      </c>
      <c r="D106" s="11">
        <v>6</v>
      </c>
      <c r="E106" s="11">
        <v>0</v>
      </c>
      <c r="F106" s="17">
        <v>0</v>
      </c>
      <c r="G106" s="11">
        <v>0</v>
      </c>
      <c r="H106" s="27">
        <f t="shared" si="10"/>
        <v>6</v>
      </c>
      <c r="I106" s="1"/>
      <c r="R106" s="4"/>
    </row>
    <row r="107" spans="1:18" x14ac:dyDescent="0.25">
      <c r="A107" s="7" t="s">
        <v>175</v>
      </c>
      <c r="B107" s="11">
        <v>0</v>
      </c>
      <c r="C107" s="11">
        <v>0</v>
      </c>
      <c r="D107" s="11">
        <v>6</v>
      </c>
      <c r="E107" s="19">
        <v>0</v>
      </c>
      <c r="F107" s="17">
        <v>0</v>
      </c>
      <c r="G107" s="11">
        <v>0</v>
      </c>
      <c r="H107" s="27">
        <f t="shared" si="10"/>
        <v>6</v>
      </c>
      <c r="I107" s="1"/>
      <c r="R107" s="4"/>
    </row>
    <row r="108" spans="1:18" x14ac:dyDescent="0.25">
      <c r="A108" s="177" t="s">
        <v>109</v>
      </c>
      <c r="B108" s="177"/>
      <c r="C108" s="177"/>
      <c r="D108" s="177"/>
      <c r="E108" s="177"/>
      <c r="F108" s="177"/>
      <c r="G108" s="177"/>
      <c r="H108" s="177"/>
      <c r="I108" s="1"/>
      <c r="R108" s="4"/>
    </row>
    <row r="109" spans="1:18" x14ac:dyDescent="0.25">
      <c r="A109" s="7" t="s">
        <v>123</v>
      </c>
      <c r="B109" s="31">
        <v>61</v>
      </c>
      <c r="C109" s="31">
        <v>231</v>
      </c>
      <c r="D109" s="31">
        <v>344</v>
      </c>
      <c r="E109" s="31">
        <v>2</v>
      </c>
      <c r="F109" s="11">
        <v>4</v>
      </c>
      <c r="G109" s="11">
        <v>0</v>
      </c>
      <c r="H109" s="28">
        <f t="shared" si="10"/>
        <v>642</v>
      </c>
      <c r="I109" s="1"/>
      <c r="R109" s="4"/>
    </row>
    <row r="110" spans="1:18" x14ac:dyDescent="0.25">
      <c r="A110" s="7" t="s">
        <v>122</v>
      </c>
      <c r="B110" s="11">
        <v>82</v>
      </c>
      <c r="C110" s="11">
        <v>235</v>
      </c>
      <c r="D110" s="11">
        <v>308</v>
      </c>
      <c r="E110" s="11">
        <v>3</v>
      </c>
      <c r="F110" s="11">
        <v>6</v>
      </c>
      <c r="G110" s="11">
        <v>0</v>
      </c>
      <c r="H110" s="14">
        <f t="shared" si="10"/>
        <v>634</v>
      </c>
      <c r="I110" s="1"/>
      <c r="J110" s="176"/>
      <c r="K110" s="176"/>
      <c r="R110" s="4"/>
    </row>
    <row r="111" spans="1:18" x14ac:dyDescent="0.25">
      <c r="A111" s="7" t="s">
        <v>121</v>
      </c>
      <c r="B111" s="11">
        <v>58</v>
      </c>
      <c r="C111" s="11">
        <v>93</v>
      </c>
      <c r="D111" s="11">
        <v>125</v>
      </c>
      <c r="E111" s="11">
        <v>0</v>
      </c>
      <c r="F111" s="11">
        <v>2</v>
      </c>
      <c r="G111" s="11">
        <v>0</v>
      </c>
      <c r="H111" s="14">
        <f t="shared" si="10"/>
        <v>278</v>
      </c>
      <c r="I111" s="1"/>
      <c r="J111" s="176"/>
      <c r="K111" s="176"/>
      <c r="R111" s="4"/>
    </row>
    <row r="112" spans="1:18" x14ac:dyDescent="0.25">
      <c r="A112" s="7" t="s">
        <v>120</v>
      </c>
      <c r="B112" s="11">
        <v>63</v>
      </c>
      <c r="C112" s="11">
        <v>43</v>
      </c>
      <c r="D112" s="11">
        <v>122</v>
      </c>
      <c r="E112" s="11">
        <v>0</v>
      </c>
      <c r="F112" s="11">
        <v>2</v>
      </c>
      <c r="G112" s="11">
        <v>0</v>
      </c>
      <c r="H112" s="14">
        <f t="shared" si="10"/>
        <v>230</v>
      </c>
      <c r="I112" s="1"/>
      <c r="R112" s="4"/>
    </row>
    <row r="113" spans="1:18" x14ac:dyDescent="0.25">
      <c r="A113" s="7" t="s">
        <v>124</v>
      </c>
      <c r="B113" s="11">
        <v>12</v>
      </c>
      <c r="C113" s="11">
        <v>0</v>
      </c>
      <c r="D113" s="11">
        <v>22</v>
      </c>
      <c r="E113" s="11">
        <v>0</v>
      </c>
      <c r="F113" s="11">
        <v>0</v>
      </c>
      <c r="G113" s="11">
        <v>0</v>
      </c>
      <c r="H113" s="14">
        <f t="shared" si="10"/>
        <v>34</v>
      </c>
      <c r="I113" s="1"/>
      <c r="R113" s="4"/>
    </row>
    <row r="114" spans="1:18" x14ac:dyDescent="0.25">
      <c r="A114" s="7" t="s">
        <v>48</v>
      </c>
      <c r="B114" s="11">
        <v>0</v>
      </c>
      <c r="C114" s="11">
        <v>4</v>
      </c>
      <c r="D114" s="11">
        <v>18</v>
      </c>
      <c r="E114" s="11">
        <v>0</v>
      </c>
      <c r="F114" s="11">
        <v>0</v>
      </c>
      <c r="G114" s="11">
        <v>0</v>
      </c>
      <c r="H114" s="14">
        <f>SUM(B114:G114)</f>
        <v>22</v>
      </c>
      <c r="I114" s="1"/>
      <c r="R114" s="4"/>
    </row>
    <row r="115" spans="1:18" x14ac:dyDescent="0.25">
      <c r="A115" s="173" t="s">
        <v>110</v>
      </c>
      <c r="B115" s="174"/>
      <c r="C115" s="174"/>
      <c r="D115" s="174"/>
      <c r="E115" s="174"/>
      <c r="F115" s="174"/>
      <c r="G115" s="174"/>
      <c r="H115" s="175"/>
      <c r="I115" s="1"/>
      <c r="R115" s="4"/>
    </row>
    <row r="116" spans="1:18" x14ac:dyDescent="0.25">
      <c r="A116" s="32" t="s">
        <v>111</v>
      </c>
      <c r="B116" s="42">
        <v>19</v>
      </c>
      <c r="C116" s="42">
        <v>10</v>
      </c>
      <c r="D116" s="42">
        <v>51</v>
      </c>
      <c r="E116" s="42">
        <v>0</v>
      </c>
      <c r="F116" s="42">
        <v>0</v>
      </c>
      <c r="G116" s="31">
        <v>0</v>
      </c>
      <c r="H116" s="26">
        <f t="shared" ref="H116:H153" si="14">SUM(B116:G116)</f>
        <v>80</v>
      </c>
      <c r="I116" s="1"/>
      <c r="R116" s="4"/>
    </row>
    <row r="117" spans="1:18" x14ac:dyDescent="0.25">
      <c r="A117" s="22" t="s">
        <v>158</v>
      </c>
      <c r="B117" s="23">
        <v>5</v>
      </c>
      <c r="C117" s="23">
        <v>6</v>
      </c>
      <c r="D117" s="23">
        <v>14</v>
      </c>
      <c r="E117" s="23">
        <v>0</v>
      </c>
      <c r="F117" s="23">
        <v>0</v>
      </c>
      <c r="G117" s="11">
        <v>0</v>
      </c>
      <c r="H117" s="26">
        <f t="shared" si="14"/>
        <v>25</v>
      </c>
      <c r="I117" s="1"/>
      <c r="R117" s="4"/>
    </row>
    <row r="118" spans="1:18" x14ac:dyDescent="0.25">
      <c r="A118" s="22" t="s">
        <v>156</v>
      </c>
      <c r="B118" s="23">
        <v>0</v>
      </c>
      <c r="C118" s="23">
        <v>0</v>
      </c>
      <c r="D118" s="23">
        <v>0</v>
      </c>
      <c r="E118" s="23">
        <v>0</v>
      </c>
      <c r="F118" s="23">
        <v>0</v>
      </c>
      <c r="G118" s="11">
        <v>0</v>
      </c>
      <c r="H118" s="26">
        <f t="shared" si="14"/>
        <v>0</v>
      </c>
      <c r="I118" s="1"/>
      <c r="R118" s="4"/>
    </row>
    <row r="119" spans="1:18" x14ac:dyDescent="0.25">
      <c r="A119" s="22" t="s">
        <v>187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11">
        <v>0</v>
      </c>
      <c r="H119" s="26">
        <f t="shared" si="14"/>
        <v>0</v>
      </c>
      <c r="I119" s="1"/>
      <c r="R119" s="4"/>
    </row>
    <row r="120" spans="1:18" x14ac:dyDescent="0.25">
      <c r="A120" s="22" t="s">
        <v>157</v>
      </c>
      <c r="B120" s="23">
        <v>4</v>
      </c>
      <c r="C120" s="23">
        <v>4</v>
      </c>
      <c r="D120" s="23">
        <v>18</v>
      </c>
      <c r="E120" s="23">
        <v>0</v>
      </c>
      <c r="F120" s="23">
        <v>0</v>
      </c>
      <c r="G120" s="11">
        <v>0</v>
      </c>
      <c r="H120" s="26">
        <f t="shared" si="14"/>
        <v>26</v>
      </c>
      <c r="I120" s="1"/>
      <c r="R120" s="4"/>
    </row>
    <row r="121" spans="1:18" x14ac:dyDescent="0.25">
      <c r="A121" s="22" t="s">
        <v>125</v>
      </c>
      <c r="B121" s="23">
        <v>41</v>
      </c>
      <c r="C121" s="23">
        <v>0</v>
      </c>
      <c r="D121" s="23">
        <v>46</v>
      </c>
      <c r="E121" s="23">
        <v>0</v>
      </c>
      <c r="F121" s="23">
        <v>0</v>
      </c>
      <c r="G121" s="11">
        <v>0</v>
      </c>
      <c r="H121" s="26">
        <f t="shared" ref="H121:H138" si="15">SUM(B121:G121)</f>
        <v>87</v>
      </c>
      <c r="I121" s="1"/>
      <c r="R121" s="4"/>
    </row>
    <row r="122" spans="1:18" x14ac:dyDescent="0.25">
      <c r="A122" s="22" t="s">
        <v>126</v>
      </c>
      <c r="B122" s="23">
        <v>38</v>
      </c>
      <c r="C122" s="23">
        <v>0</v>
      </c>
      <c r="D122" s="23">
        <v>32</v>
      </c>
      <c r="E122" s="23">
        <v>0</v>
      </c>
      <c r="F122" s="23">
        <v>1</v>
      </c>
      <c r="G122" s="11">
        <v>0</v>
      </c>
      <c r="H122" s="26">
        <f t="shared" si="15"/>
        <v>71</v>
      </c>
      <c r="I122" s="1"/>
      <c r="R122" s="4"/>
    </row>
    <row r="123" spans="1:18" x14ac:dyDescent="0.25">
      <c r="A123" s="22" t="s">
        <v>103</v>
      </c>
      <c r="B123" s="23">
        <v>25</v>
      </c>
      <c r="C123" s="23">
        <v>1</v>
      </c>
      <c r="D123" s="23">
        <v>59</v>
      </c>
      <c r="E123" s="23">
        <v>0</v>
      </c>
      <c r="F123" s="23">
        <v>6</v>
      </c>
      <c r="G123" s="11">
        <v>0</v>
      </c>
      <c r="H123" s="26">
        <f t="shared" si="15"/>
        <v>91</v>
      </c>
      <c r="I123" s="1"/>
      <c r="R123" s="4"/>
    </row>
    <row r="124" spans="1:18" x14ac:dyDescent="0.25">
      <c r="A124" s="22" t="s">
        <v>127</v>
      </c>
      <c r="B124" s="23">
        <v>0</v>
      </c>
      <c r="C124" s="23">
        <v>0</v>
      </c>
      <c r="D124" s="23">
        <v>0</v>
      </c>
      <c r="E124" s="23">
        <v>0</v>
      </c>
      <c r="F124" s="23">
        <v>0</v>
      </c>
      <c r="G124" s="11">
        <v>0</v>
      </c>
      <c r="H124" s="26">
        <f t="shared" si="15"/>
        <v>0</v>
      </c>
      <c r="I124" s="1"/>
      <c r="R124" s="4"/>
    </row>
    <row r="125" spans="1:18" x14ac:dyDescent="0.25">
      <c r="A125" s="22" t="s">
        <v>128</v>
      </c>
      <c r="B125" s="23">
        <v>18</v>
      </c>
      <c r="C125" s="23">
        <v>1</v>
      </c>
      <c r="D125" s="23">
        <v>42</v>
      </c>
      <c r="E125" s="23">
        <v>0</v>
      </c>
      <c r="F125" s="23">
        <v>0</v>
      </c>
      <c r="G125" s="11">
        <v>0</v>
      </c>
      <c r="H125" s="26">
        <f t="shared" si="15"/>
        <v>61</v>
      </c>
      <c r="I125" s="1"/>
      <c r="R125" s="4"/>
    </row>
    <row r="126" spans="1:18" x14ac:dyDescent="0.25">
      <c r="A126" s="22" t="s">
        <v>129</v>
      </c>
      <c r="B126" s="23">
        <v>21</v>
      </c>
      <c r="C126" s="23">
        <v>1</v>
      </c>
      <c r="D126" s="23">
        <v>21</v>
      </c>
      <c r="E126" s="23">
        <v>0</v>
      </c>
      <c r="F126" s="23">
        <v>1</v>
      </c>
      <c r="G126" s="11">
        <v>0</v>
      </c>
      <c r="H126" s="26">
        <f t="shared" si="15"/>
        <v>44</v>
      </c>
      <c r="I126" s="1"/>
      <c r="R126" s="4"/>
    </row>
    <row r="127" spans="1:18" x14ac:dyDescent="0.25">
      <c r="A127" s="22" t="s">
        <v>44</v>
      </c>
      <c r="B127" s="23">
        <v>18</v>
      </c>
      <c r="C127" s="23">
        <v>0</v>
      </c>
      <c r="D127" s="23">
        <v>68</v>
      </c>
      <c r="E127" s="23">
        <v>2</v>
      </c>
      <c r="F127" s="23">
        <v>1</v>
      </c>
      <c r="G127" s="11">
        <v>0</v>
      </c>
      <c r="H127" s="26">
        <f t="shared" si="15"/>
        <v>89</v>
      </c>
      <c r="I127" s="1"/>
      <c r="R127" s="4"/>
    </row>
    <row r="128" spans="1:18" x14ac:dyDescent="0.25">
      <c r="A128" s="22" t="s">
        <v>92</v>
      </c>
      <c r="B128" s="23">
        <v>5</v>
      </c>
      <c r="C128" s="23">
        <v>0</v>
      </c>
      <c r="D128" s="23">
        <v>22</v>
      </c>
      <c r="E128" s="23">
        <v>0</v>
      </c>
      <c r="F128" s="23">
        <v>1</v>
      </c>
      <c r="G128" s="11">
        <v>0</v>
      </c>
      <c r="H128" s="26">
        <f t="shared" si="15"/>
        <v>28</v>
      </c>
      <c r="I128" s="1"/>
      <c r="R128" s="4"/>
    </row>
    <row r="129" spans="1:18" x14ac:dyDescent="0.25">
      <c r="A129" s="22" t="s">
        <v>45</v>
      </c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11">
        <v>0</v>
      </c>
      <c r="H129" s="26">
        <f t="shared" si="15"/>
        <v>0</v>
      </c>
      <c r="I129" s="1"/>
      <c r="R129" s="4"/>
    </row>
    <row r="130" spans="1:18" x14ac:dyDescent="0.25">
      <c r="A130" s="22" t="s">
        <v>99</v>
      </c>
      <c r="B130" s="23">
        <v>59</v>
      </c>
      <c r="C130" s="23">
        <v>28</v>
      </c>
      <c r="D130" s="23">
        <v>4</v>
      </c>
      <c r="E130" s="23">
        <v>0</v>
      </c>
      <c r="F130" s="23">
        <v>0</v>
      </c>
      <c r="G130" s="11">
        <v>0</v>
      </c>
      <c r="H130" s="26">
        <f t="shared" si="15"/>
        <v>91</v>
      </c>
      <c r="I130" s="1"/>
      <c r="R130" s="4"/>
    </row>
    <row r="131" spans="1:18" x14ac:dyDescent="0.25">
      <c r="A131" s="22" t="s">
        <v>100</v>
      </c>
      <c r="B131" s="23">
        <v>5</v>
      </c>
      <c r="C131" s="23">
        <v>0</v>
      </c>
      <c r="D131" s="23">
        <v>28</v>
      </c>
      <c r="E131" s="23">
        <v>1</v>
      </c>
      <c r="F131" s="23">
        <v>1</v>
      </c>
      <c r="G131" s="11">
        <v>0</v>
      </c>
      <c r="H131" s="26">
        <f t="shared" si="15"/>
        <v>35</v>
      </c>
      <c r="I131" s="1"/>
      <c r="R131" s="4"/>
    </row>
    <row r="132" spans="1:18" x14ac:dyDescent="0.25">
      <c r="A132" s="22" t="s">
        <v>46</v>
      </c>
      <c r="B132" s="23">
        <v>4</v>
      </c>
      <c r="C132" s="23">
        <v>0</v>
      </c>
      <c r="D132" s="23">
        <v>6</v>
      </c>
      <c r="E132" s="23">
        <v>1</v>
      </c>
      <c r="F132" s="23">
        <v>0</v>
      </c>
      <c r="G132" s="11">
        <v>0</v>
      </c>
      <c r="H132" s="26">
        <f t="shared" si="15"/>
        <v>11</v>
      </c>
      <c r="I132" s="1"/>
      <c r="R132" s="4"/>
    </row>
    <row r="133" spans="1:18" x14ac:dyDescent="0.25">
      <c r="A133" s="22" t="s">
        <v>47</v>
      </c>
      <c r="B133" s="23">
        <v>0</v>
      </c>
      <c r="C133" s="23">
        <v>0</v>
      </c>
      <c r="D133" s="23">
        <v>0</v>
      </c>
      <c r="E133" s="23">
        <v>0</v>
      </c>
      <c r="F133" s="23">
        <v>0</v>
      </c>
      <c r="G133" s="11">
        <v>0</v>
      </c>
      <c r="H133" s="26">
        <f t="shared" si="15"/>
        <v>0</v>
      </c>
      <c r="I133" s="1"/>
      <c r="R133" s="4"/>
    </row>
    <row r="134" spans="1:18" x14ac:dyDescent="0.25">
      <c r="A134" s="22" t="s">
        <v>53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11">
        <v>0</v>
      </c>
      <c r="H134" s="26">
        <f t="shared" si="15"/>
        <v>0</v>
      </c>
      <c r="I134" s="1"/>
      <c r="R134" s="4"/>
    </row>
    <row r="135" spans="1:18" x14ac:dyDescent="0.25">
      <c r="A135" s="22" t="s">
        <v>134</v>
      </c>
      <c r="B135" s="23">
        <v>55</v>
      </c>
      <c r="C135" s="23">
        <v>3</v>
      </c>
      <c r="D135" s="23">
        <v>95</v>
      </c>
      <c r="E135" s="23">
        <v>3</v>
      </c>
      <c r="F135" s="23">
        <v>11</v>
      </c>
      <c r="G135" s="11">
        <v>0</v>
      </c>
      <c r="H135" s="26">
        <f t="shared" si="15"/>
        <v>167</v>
      </c>
      <c r="I135" s="1"/>
      <c r="R135" s="4"/>
    </row>
    <row r="136" spans="1:18" x14ac:dyDescent="0.25">
      <c r="A136" s="22" t="s">
        <v>135</v>
      </c>
      <c r="B136" s="23">
        <v>63</v>
      </c>
      <c r="C136" s="23">
        <v>5</v>
      </c>
      <c r="D136" s="23">
        <v>185</v>
      </c>
      <c r="E136" s="23">
        <v>5</v>
      </c>
      <c r="F136" s="23">
        <v>13</v>
      </c>
      <c r="G136" s="11">
        <v>0</v>
      </c>
      <c r="H136" s="26">
        <f t="shared" si="15"/>
        <v>271</v>
      </c>
      <c r="I136" s="1"/>
      <c r="R136" s="4"/>
    </row>
    <row r="137" spans="1:18" x14ac:dyDescent="0.25">
      <c r="A137" s="22" t="s">
        <v>49</v>
      </c>
      <c r="B137" s="23">
        <v>63</v>
      </c>
      <c r="C137" s="23">
        <v>5</v>
      </c>
      <c r="D137" s="23">
        <v>156</v>
      </c>
      <c r="E137" s="23">
        <v>5</v>
      </c>
      <c r="F137" s="23">
        <v>13</v>
      </c>
      <c r="G137" s="11">
        <v>0</v>
      </c>
      <c r="H137" s="33">
        <f t="shared" si="15"/>
        <v>242</v>
      </c>
      <c r="I137" s="1"/>
      <c r="R137" s="4"/>
    </row>
    <row r="138" spans="1:18" x14ac:dyDescent="0.25">
      <c r="A138" s="22" t="s">
        <v>189</v>
      </c>
      <c r="B138" s="23">
        <v>9</v>
      </c>
      <c r="C138" s="23">
        <v>0</v>
      </c>
      <c r="D138" s="23">
        <v>23</v>
      </c>
      <c r="E138" s="23">
        <v>0</v>
      </c>
      <c r="F138" s="23">
        <v>0</v>
      </c>
      <c r="G138" s="11">
        <v>0</v>
      </c>
      <c r="H138" s="33">
        <f t="shared" si="15"/>
        <v>32</v>
      </c>
      <c r="I138" s="1"/>
      <c r="R138" s="4"/>
    </row>
    <row r="139" spans="1:18" x14ac:dyDescent="0.25">
      <c r="A139" s="22" t="s">
        <v>50</v>
      </c>
      <c r="B139" s="23">
        <v>18</v>
      </c>
      <c r="C139" s="23">
        <v>59</v>
      </c>
      <c r="D139" s="23">
        <v>2</v>
      </c>
      <c r="E139" s="23">
        <v>0</v>
      </c>
      <c r="F139" s="23">
        <v>0</v>
      </c>
      <c r="G139" s="11">
        <v>0</v>
      </c>
      <c r="H139" s="26">
        <f t="shared" si="14"/>
        <v>79</v>
      </c>
      <c r="I139" s="1"/>
      <c r="R139" s="4"/>
    </row>
    <row r="140" spans="1:18" x14ac:dyDescent="0.25">
      <c r="A140" s="22" t="s">
        <v>104</v>
      </c>
      <c r="B140" s="23">
        <v>14</v>
      </c>
      <c r="C140" s="23">
        <v>1</v>
      </c>
      <c r="D140" s="23">
        <v>5</v>
      </c>
      <c r="E140" s="23">
        <v>0</v>
      </c>
      <c r="F140" s="23">
        <v>0</v>
      </c>
      <c r="G140" s="11">
        <v>0</v>
      </c>
      <c r="H140" s="26">
        <f t="shared" si="14"/>
        <v>20</v>
      </c>
      <c r="I140" s="1"/>
      <c r="R140" s="4"/>
    </row>
    <row r="141" spans="1:18" x14ac:dyDescent="0.25">
      <c r="A141" s="22" t="s">
        <v>51</v>
      </c>
      <c r="B141" s="23">
        <v>19</v>
      </c>
      <c r="C141" s="23">
        <v>1</v>
      </c>
      <c r="D141" s="23">
        <v>6</v>
      </c>
      <c r="E141" s="23">
        <v>0</v>
      </c>
      <c r="F141" s="23">
        <v>0</v>
      </c>
      <c r="G141" s="11">
        <v>0</v>
      </c>
      <c r="H141" s="26">
        <f t="shared" si="14"/>
        <v>26</v>
      </c>
      <c r="I141" s="1"/>
      <c r="R141" s="1"/>
    </row>
    <row r="142" spans="1:18" x14ac:dyDescent="0.25">
      <c r="A142" s="22" t="s">
        <v>52</v>
      </c>
      <c r="B142" s="23">
        <v>14</v>
      </c>
      <c r="C142" s="23">
        <v>1</v>
      </c>
      <c r="D142" s="23">
        <v>9</v>
      </c>
      <c r="E142" s="23">
        <v>0</v>
      </c>
      <c r="F142" s="23">
        <v>0</v>
      </c>
      <c r="G142" s="11">
        <v>0</v>
      </c>
      <c r="H142" s="14">
        <f t="shared" si="14"/>
        <v>24</v>
      </c>
    </row>
    <row r="143" spans="1:18" x14ac:dyDescent="0.25">
      <c r="A143" s="22" t="s">
        <v>115</v>
      </c>
      <c r="B143" s="23">
        <v>4</v>
      </c>
      <c r="C143" s="23">
        <v>1</v>
      </c>
      <c r="D143" s="23">
        <v>4</v>
      </c>
      <c r="E143" s="23">
        <v>0</v>
      </c>
      <c r="F143" s="23">
        <v>0</v>
      </c>
      <c r="G143" s="11">
        <v>0</v>
      </c>
      <c r="H143" s="26">
        <f t="shared" si="14"/>
        <v>9</v>
      </c>
    </row>
    <row r="144" spans="1:18" x14ac:dyDescent="0.25">
      <c r="A144" s="22" t="s">
        <v>116</v>
      </c>
      <c r="B144" s="23">
        <v>12</v>
      </c>
      <c r="C144" s="23">
        <v>1</v>
      </c>
      <c r="D144" s="23">
        <v>8</v>
      </c>
      <c r="E144" s="23">
        <v>0</v>
      </c>
      <c r="F144" s="23">
        <v>0</v>
      </c>
      <c r="G144" s="11">
        <v>0</v>
      </c>
      <c r="H144" s="26">
        <f t="shared" si="14"/>
        <v>21</v>
      </c>
    </row>
    <row r="145" spans="1:13" x14ac:dyDescent="0.25">
      <c r="A145" s="22" t="s">
        <v>102</v>
      </c>
      <c r="B145" s="23">
        <v>21</v>
      </c>
      <c r="C145" s="23">
        <v>1</v>
      </c>
      <c r="D145" s="23">
        <v>28</v>
      </c>
      <c r="E145" s="23">
        <v>0</v>
      </c>
      <c r="F145" s="23">
        <v>0</v>
      </c>
      <c r="G145" s="11">
        <v>0</v>
      </c>
      <c r="H145" s="26">
        <f t="shared" si="14"/>
        <v>50</v>
      </c>
    </row>
    <row r="146" spans="1:13" x14ac:dyDescent="0.25">
      <c r="A146" s="22" t="s">
        <v>203</v>
      </c>
      <c r="B146" s="23">
        <v>18</v>
      </c>
      <c r="C146" s="23">
        <v>0</v>
      </c>
      <c r="D146" s="23">
        <v>32</v>
      </c>
      <c r="E146" s="23">
        <v>0</v>
      </c>
      <c r="F146" s="23">
        <v>6</v>
      </c>
      <c r="G146" s="11">
        <v>0</v>
      </c>
      <c r="H146" s="26">
        <f t="shared" si="14"/>
        <v>56</v>
      </c>
    </row>
    <row r="147" spans="1:13" x14ac:dyDescent="0.25">
      <c r="A147" s="22" t="s">
        <v>197</v>
      </c>
      <c r="B147" s="23">
        <v>3</v>
      </c>
      <c r="C147" s="23">
        <v>0</v>
      </c>
      <c r="D147" s="23">
        <v>3</v>
      </c>
      <c r="E147" s="23">
        <v>0</v>
      </c>
      <c r="F147" s="23">
        <v>0</v>
      </c>
      <c r="G147" s="11">
        <v>0</v>
      </c>
      <c r="H147" s="26">
        <f t="shared" si="14"/>
        <v>6</v>
      </c>
    </row>
    <row r="148" spans="1:13" x14ac:dyDescent="0.25">
      <c r="A148" s="7" t="s">
        <v>217</v>
      </c>
      <c r="B148" s="23">
        <v>0</v>
      </c>
      <c r="C148" s="23">
        <v>0</v>
      </c>
      <c r="D148" s="23">
        <v>0</v>
      </c>
      <c r="E148" s="23">
        <v>0</v>
      </c>
      <c r="F148" s="23">
        <v>0</v>
      </c>
      <c r="G148" s="11">
        <v>0</v>
      </c>
      <c r="H148" s="26">
        <f t="shared" si="14"/>
        <v>0</v>
      </c>
    </row>
    <row r="149" spans="1:13" x14ac:dyDescent="0.25">
      <c r="A149" s="7" t="s">
        <v>198</v>
      </c>
      <c r="B149" s="23">
        <v>0</v>
      </c>
      <c r="C149" s="23">
        <v>0</v>
      </c>
      <c r="D149" s="23">
        <v>4</v>
      </c>
      <c r="E149" s="23">
        <v>0</v>
      </c>
      <c r="F149" s="23">
        <v>0</v>
      </c>
      <c r="G149" s="11">
        <v>0</v>
      </c>
      <c r="H149" s="26">
        <f t="shared" si="14"/>
        <v>4</v>
      </c>
    </row>
    <row r="150" spans="1:13" x14ac:dyDescent="0.25">
      <c r="A150" s="7" t="s">
        <v>199</v>
      </c>
      <c r="B150" s="23">
        <v>0</v>
      </c>
      <c r="C150" s="23">
        <v>0</v>
      </c>
      <c r="D150" s="23">
        <v>4</v>
      </c>
      <c r="E150" s="23">
        <v>0</v>
      </c>
      <c r="F150" s="23">
        <v>0</v>
      </c>
      <c r="G150" s="11">
        <v>0</v>
      </c>
      <c r="H150" s="26">
        <f t="shared" si="14"/>
        <v>4</v>
      </c>
    </row>
    <row r="151" spans="1:13" x14ac:dyDescent="0.25">
      <c r="A151" s="7" t="s">
        <v>200</v>
      </c>
      <c r="B151" s="23">
        <v>0</v>
      </c>
      <c r="C151" s="23">
        <v>0</v>
      </c>
      <c r="D151" s="23">
        <v>0</v>
      </c>
      <c r="E151" s="23">
        <v>0</v>
      </c>
      <c r="F151" s="23">
        <v>0</v>
      </c>
      <c r="G151" s="11">
        <v>0</v>
      </c>
      <c r="H151" s="26">
        <f t="shared" si="14"/>
        <v>0</v>
      </c>
    </row>
    <row r="152" spans="1:13" x14ac:dyDescent="0.25">
      <c r="A152" s="7" t="s">
        <v>222</v>
      </c>
      <c r="B152" s="23">
        <v>0</v>
      </c>
      <c r="C152" s="23">
        <v>0</v>
      </c>
      <c r="D152" s="23">
        <v>2</v>
      </c>
      <c r="E152" s="23">
        <v>0</v>
      </c>
      <c r="F152" s="23">
        <v>0</v>
      </c>
      <c r="G152" s="11">
        <v>0</v>
      </c>
      <c r="H152" s="26">
        <f t="shared" si="14"/>
        <v>2</v>
      </c>
    </row>
    <row r="153" spans="1:13" x14ac:dyDescent="0.25">
      <c r="A153" s="7" t="s">
        <v>105</v>
      </c>
      <c r="B153" s="23">
        <v>20</v>
      </c>
      <c r="C153" s="23">
        <v>1</v>
      </c>
      <c r="D153" s="23">
        <v>24</v>
      </c>
      <c r="E153" s="23">
        <v>1</v>
      </c>
      <c r="F153" s="23">
        <v>0</v>
      </c>
      <c r="G153" s="11">
        <v>0</v>
      </c>
      <c r="H153" s="26">
        <f t="shared" si="14"/>
        <v>46</v>
      </c>
    </row>
    <row r="154" spans="1:13" x14ac:dyDescent="0.25">
      <c r="A154" s="7" t="s">
        <v>206</v>
      </c>
      <c r="B154" s="23">
        <v>0</v>
      </c>
      <c r="C154" s="23">
        <v>0</v>
      </c>
      <c r="D154" s="23">
        <v>1</v>
      </c>
      <c r="E154" s="23">
        <v>0</v>
      </c>
      <c r="F154" s="23">
        <v>0</v>
      </c>
      <c r="G154" s="11">
        <v>0</v>
      </c>
      <c r="H154" s="26">
        <f t="shared" ref="H154:H155" si="16">SUM(B154:G154)</f>
        <v>1</v>
      </c>
    </row>
    <row r="155" spans="1:13" x14ac:dyDescent="0.25">
      <c r="A155" s="107" t="s">
        <v>207</v>
      </c>
      <c r="B155" s="116">
        <v>0</v>
      </c>
      <c r="C155" s="116">
        <v>0</v>
      </c>
      <c r="D155" s="116">
        <v>0</v>
      </c>
      <c r="E155" s="116">
        <v>0</v>
      </c>
      <c r="F155" s="116">
        <v>0</v>
      </c>
      <c r="G155" s="93">
        <v>0</v>
      </c>
      <c r="H155" s="26">
        <f t="shared" si="16"/>
        <v>0</v>
      </c>
    </row>
    <row r="159" spans="1:13" x14ac:dyDescent="0.25">
      <c r="J159" s="176"/>
      <c r="K159" s="176"/>
      <c r="L159" s="176"/>
      <c r="M159" s="176"/>
    </row>
    <row r="160" spans="1:13" x14ac:dyDescent="0.25">
      <c r="J160" s="176"/>
    </row>
  </sheetData>
  <mergeCells count="31">
    <mergeCell ref="J159:J160"/>
    <mergeCell ref="K159:M159"/>
    <mergeCell ref="J86:J92"/>
    <mergeCell ref="K86:M86"/>
    <mergeCell ref="J39:J40"/>
    <mergeCell ref="K39:Q39"/>
    <mergeCell ref="J59:P59"/>
    <mergeCell ref="J60:P60"/>
    <mergeCell ref="J61:P61"/>
    <mergeCell ref="A115:H115"/>
    <mergeCell ref="J110:J111"/>
    <mergeCell ref="K110:K111"/>
    <mergeCell ref="A108:H108"/>
    <mergeCell ref="J62:P62"/>
    <mergeCell ref="A3:R3"/>
    <mergeCell ref="L4:R4"/>
    <mergeCell ref="A9:A10"/>
    <mergeCell ref="B9:H9"/>
    <mergeCell ref="J9:J10"/>
    <mergeCell ref="K9:Q9"/>
    <mergeCell ref="B4:J4"/>
    <mergeCell ref="J26:J27"/>
    <mergeCell ref="K26:Q26"/>
    <mergeCell ref="J50:M50"/>
    <mergeCell ref="J57:P57"/>
    <mergeCell ref="J58:P58"/>
    <mergeCell ref="J52:Q52"/>
    <mergeCell ref="J53:P53"/>
    <mergeCell ref="J54:P54"/>
    <mergeCell ref="J55:P55"/>
    <mergeCell ref="J56:P56"/>
  </mergeCells>
  <pageMargins left="0.98425196850393704" right="0.98425196850393704" top="0.78740157480314965" bottom="0.78740157480314965" header="0.51181102362204722" footer="0.51181102362204722"/>
  <pageSetup paperSize="9" scale="5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V155"/>
  <sheetViews>
    <sheetView tabSelected="1" zoomScale="80" zoomScaleNormal="80" workbookViewId="0">
      <selection activeCell="I92" sqref="I92"/>
    </sheetView>
  </sheetViews>
  <sheetFormatPr baseColWidth="10" defaultRowHeight="15" x14ac:dyDescent="0.25"/>
  <cols>
    <col min="1" max="1" width="49.85546875" customWidth="1"/>
    <col min="2" max="6" width="9.85546875" customWidth="1"/>
    <col min="7" max="7" width="13.5703125" customWidth="1"/>
    <col min="8" max="8" width="9.28515625" customWidth="1"/>
    <col min="9" max="9" width="9.42578125" customWidth="1"/>
    <col min="10" max="10" width="48.28515625" customWidth="1"/>
    <col min="11" max="15" width="9.28515625" customWidth="1"/>
    <col min="16" max="16" width="10.42578125" customWidth="1"/>
    <col min="17" max="17" width="10" customWidth="1"/>
    <col min="18" max="18" width="2.85546875" customWidth="1"/>
  </cols>
  <sheetData>
    <row r="3" spans="1:19" ht="26.25" x14ac:dyDescent="0.25">
      <c r="A3" s="161"/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"/>
    </row>
    <row r="4" spans="1:19" ht="15.75" x14ac:dyDescent="0.25">
      <c r="A4" s="1" t="s">
        <v>12</v>
      </c>
      <c r="B4" s="170" t="s">
        <v>16</v>
      </c>
      <c r="C4" s="171"/>
      <c r="D4" s="171"/>
      <c r="E4" s="171"/>
      <c r="F4" s="171"/>
      <c r="G4" s="171"/>
      <c r="H4" s="171"/>
      <c r="I4" s="171"/>
      <c r="J4" s="172"/>
      <c r="K4" s="9" t="s">
        <v>14</v>
      </c>
      <c r="L4" s="162" t="s">
        <v>172</v>
      </c>
      <c r="M4" s="163"/>
      <c r="N4" s="163"/>
      <c r="O4" s="163"/>
      <c r="P4" s="163"/>
      <c r="Q4" s="163"/>
      <c r="R4" s="164"/>
      <c r="S4" s="1"/>
    </row>
    <row r="5" spans="1:19" x14ac:dyDescent="0.25">
      <c r="A5" s="1"/>
      <c r="B5" s="1"/>
      <c r="C5" s="1"/>
      <c r="D5" s="10"/>
      <c r="E5" s="1"/>
      <c r="F5" s="1"/>
      <c r="G5" s="1"/>
      <c r="H5" s="1"/>
      <c r="I5" s="1"/>
      <c r="J5" s="1"/>
      <c r="K5" s="9"/>
      <c r="L5" s="10"/>
      <c r="M5" s="10"/>
      <c r="N5" s="10"/>
      <c r="O5" s="10"/>
      <c r="P5" s="10"/>
      <c r="Q5" s="10"/>
      <c r="R5" s="10"/>
      <c r="S5" s="1"/>
    </row>
    <row r="6" spans="1:19" x14ac:dyDescent="0.25">
      <c r="A6" s="1" t="s">
        <v>15</v>
      </c>
      <c r="B6" s="30">
        <v>3</v>
      </c>
      <c r="C6" s="1"/>
      <c r="D6" s="10"/>
      <c r="E6" s="1"/>
      <c r="F6" s="1"/>
      <c r="G6" s="1"/>
      <c r="H6" s="1"/>
      <c r="I6" s="1"/>
      <c r="J6" s="1"/>
      <c r="K6" s="9" t="s">
        <v>13</v>
      </c>
      <c r="L6" s="30">
        <v>2026</v>
      </c>
      <c r="M6" s="1"/>
      <c r="N6" s="1"/>
      <c r="O6" s="1"/>
      <c r="P6" s="1"/>
      <c r="Q6" s="1"/>
      <c r="R6" s="1"/>
      <c r="S6" s="1"/>
    </row>
    <row r="7" spans="1:19" x14ac:dyDescent="0.25">
      <c r="A7" s="1"/>
      <c r="B7" s="1"/>
      <c r="C7" s="1"/>
      <c r="D7" s="10"/>
      <c r="E7" s="1"/>
      <c r="F7" s="1"/>
      <c r="G7" s="1"/>
      <c r="H7" s="1"/>
      <c r="I7" s="1"/>
      <c r="J7" s="1"/>
      <c r="K7" s="1"/>
      <c r="L7" s="44"/>
      <c r="M7" s="1"/>
      <c r="N7" s="1"/>
      <c r="O7" s="1"/>
      <c r="P7" s="1"/>
      <c r="Q7" s="1"/>
      <c r="R7" s="1"/>
      <c r="S7" s="1"/>
    </row>
    <row r="8" spans="1:19" ht="15.75" thickBot="1" x14ac:dyDescent="0.3">
      <c r="A8" s="2"/>
      <c r="B8" s="2"/>
      <c r="C8" s="2"/>
      <c r="D8" s="2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3"/>
      <c r="S8" s="1"/>
    </row>
    <row r="9" spans="1:19" ht="15" customHeight="1" x14ac:dyDescent="0.25">
      <c r="A9" s="165" t="s">
        <v>148</v>
      </c>
      <c r="B9" s="167" t="s">
        <v>11</v>
      </c>
      <c r="C9" s="167"/>
      <c r="D9" s="167"/>
      <c r="E9" s="167"/>
      <c r="F9" s="167"/>
      <c r="G9" s="167"/>
      <c r="H9" s="167"/>
      <c r="I9" s="1"/>
      <c r="J9" s="168" t="s">
        <v>149</v>
      </c>
      <c r="K9" s="153" t="s">
        <v>11</v>
      </c>
      <c r="L9" s="153"/>
      <c r="M9" s="153"/>
      <c r="N9" s="153"/>
      <c r="O9" s="153"/>
      <c r="P9" s="153"/>
      <c r="Q9" s="154"/>
      <c r="R9" s="4"/>
      <c r="S9" s="1"/>
    </row>
    <row r="10" spans="1:19" ht="15" customHeight="1" x14ac:dyDescent="0.25">
      <c r="A10" s="166"/>
      <c r="B10" s="30" t="s">
        <v>8</v>
      </c>
      <c r="C10" s="30" t="s">
        <v>9</v>
      </c>
      <c r="D10" s="30" t="s">
        <v>10</v>
      </c>
      <c r="E10" s="30" t="s">
        <v>154</v>
      </c>
      <c r="F10" s="30" t="s">
        <v>155</v>
      </c>
      <c r="G10" s="30" t="s">
        <v>147</v>
      </c>
      <c r="H10" s="30" t="s">
        <v>11</v>
      </c>
      <c r="I10" s="1"/>
      <c r="J10" s="169"/>
      <c r="K10" s="30" t="s">
        <v>8</v>
      </c>
      <c r="L10" s="30" t="s">
        <v>9</v>
      </c>
      <c r="M10" s="30" t="s">
        <v>10</v>
      </c>
      <c r="N10" s="30" t="s">
        <v>154</v>
      </c>
      <c r="O10" s="30" t="s">
        <v>155</v>
      </c>
      <c r="P10" s="30" t="s">
        <v>147</v>
      </c>
      <c r="Q10" s="54" t="s">
        <v>11</v>
      </c>
      <c r="R10" s="4"/>
      <c r="S10" s="1"/>
    </row>
    <row r="11" spans="1:19" x14ac:dyDescent="0.25">
      <c r="A11" s="15" t="s">
        <v>0</v>
      </c>
      <c r="B11" s="16">
        <f>B12+B51+B69+B82+B95+K11+K28+K41</f>
        <v>9423</v>
      </c>
      <c r="C11" s="16">
        <f t="shared" ref="C11:G11" si="0">C12+C51+C69+C82+C95+L11+L28+L41</f>
        <v>13700</v>
      </c>
      <c r="D11" s="16">
        <f t="shared" si="0"/>
        <v>13989</v>
      </c>
      <c r="E11" s="16">
        <f t="shared" si="0"/>
        <v>646</v>
      </c>
      <c r="F11" s="16">
        <f t="shared" si="0"/>
        <v>410</v>
      </c>
      <c r="G11" s="16">
        <f t="shared" si="0"/>
        <v>11</v>
      </c>
      <c r="H11" s="14">
        <f>SUM(B11:G11)</f>
        <v>38179</v>
      </c>
      <c r="I11" s="1"/>
      <c r="J11" s="79" t="s">
        <v>85</v>
      </c>
      <c r="K11" s="74">
        <f>SUM(K12:K23)</f>
        <v>880</v>
      </c>
      <c r="L11" s="74">
        <f t="shared" ref="L11:P11" si="1">SUM(L12:L23)</f>
        <v>0</v>
      </c>
      <c r="M11" s="74">
        <f t="shared" si="1"/>
        <v>1035</v>
      </c>
      <c r="N11" s="74">
        <f t="shared" si="1"/>
        <v>3</v>
      </c>
      <c r="O11" s="74">
        <f t="shared" si="1"/>
        <v>7</v>
      </c>
      <c r="P11" s="74">
        <f t="shared" si="1"/>
        <v>0</v>
      </c>
      <c r="Q11" s="80">
        <f t="shared" ref="Q11:Q23" si="2">SUM(K11:P11)</f>
        <v>1925</v>
      </c>
      <c r="R11" s="4"/>
      <c r="S11" s="1"/>
    </row>
    <row r="12" spans="1:19" x14ac:dyDescent="0.25">
      <c r="A12" s="73" t="s">
        <v>1</v>
      </c>
      <c r="B12" s="74">
        <f>SUM(B13:B50)</f>
        <v>3988</v>
      </c>
      <c r="C12" s="74">
        <f t="shared" ref="C12:G12" si="3">SUM(C13:C50)</f>
        <v>6666</v>
      </c>
      <c r="D12" s="74">
        <f t="shared" si="3"/>
        <v>6278</v>
      </c>
      <c r="E12" s="74">
        <f t="shared" si="3"/>
        <v>425</v>
      </c>
      <c r="F12" s="74">
        <f t="shared" si="3"/>
        <v>220</v>
      </c>
      <c r="G12" s="74">
        <f t="shared" si="3"/>
        <v>0</v>
      </c>
      <c r="H12" s="74">
        <f>SUM(B12:G12)</f>
        <v>17577</v>
      </c>
      <c r="I12" s="1"/>
      <c r="J12" s="55" t="s">
        <v>4</v>
      </c>
      <c r="K12" s="68">
        <v>0</v>
      </c>
      <c r="L12" s="68">
        <v>0</v>
      </c>
      <c r="M12" s="68">
        <v>46</v>
      </c>
      <c r="N12" s="68">
        <v>0</v>
      </c>
      <c r="O12" s="68">
        <v>0</v>
      </c>
      <c r="P12" s="68">
        <v>0</v>
      </c>
      <c r="Q12" s="40">
        <f t="shared" si="2"/>
        <v>46</v>
      </c>
      <c r="R12" s="4"/>
      <c r="S12" s="1"/>
    </row>
    <row r="13" spans="1:19" x14ac:dyDescent="0.25">
      <c r="A13" s="8" t="s">
        <v>17</v>
      </c>
      <c r="B13" s="17">
        <v>15</v>
      </c>
      <c r="C13" s="11">
        <v>2</v>
      </c>
      <c r="D13" s="11">
        <v>35</v>
      </c>
      <c r="E13" s="11">
        <v>2</v>
      </c>
      <c r="F13" s="11">
        <v>1</v>
      </c>
      <c r="G13" s="11">
        <v>0</v>
      </c>
      <c r="H13" s="12">
        <f>SUM(B13:G13)</f>
        <v>55</v>
      </c>
      <c r="I13" s="1"/>
      <c r="J13" s="55" t="s">
        <v>81</v>
      </c>
      <c r="K13" s="68">
        <v>0</v>
      </c>
      <c r="L13" s="68">
        <v>0</v>
      </c>
      <c r="M13" s="68">
        <v>6</v>
      </c>
      <c r="N13" s="68">
        <v>0</v>
      </c>
      <c r="O13" s="68">
        <v>0</v>
      </c>
      <c r="P13" s="68">
        <v>0</v>
      </c>
      <c r="Q13" s="40">
        <f t="shared" si="2"/>
        <v>6</v>
      </c>
      <c r="R13" s="4"/>
      <c r="S13" s="1"/>
    </row>
    <row r="14" spans="1:19" x14ac:dyDescent="0.25">
      <c r="A14" s="7" t="s">
        <v>18</v>
      </c>
      <c r="B14" s="17">
        <v>15</v>
      </c>
      <c r="C14" s="11">
        <v>5</v>
      </c>
      <c r="D14" s="11">
        <v>112</v>
      </c>
      <c r="E14" s="11">
        <v>5</v>
      </c>
      <c r="F14" s="11">
        <v>1</v>
      </c>
      <c r="G14" s="11">
        <v>0</v>
      </c>
      <c r="H14" s="12">
        <f t="shared" ref="H14:H48" si="4">SUM(B14:G14)</f>
        <v>138</v>
      </c>
      <c r="I14" s="1"/>
      <c r="J14" s="56" t="s">
        <v>5</v>
      </c>
      <c r="K14" s="68">
        <v>19</v>
      </c>
      <c r="L14" s="68">
        <v>0</v>
      </c>
      <c r="M14" s="68">
        <v>70</v>
      </c>
      <c r="N14" s="68">
        <v>3</v>
      </c>
      <c r="O14" s="68">
        <v>4</v>
      </c>
      <c r="P14" s="68">
        <v>0</v>
      </c>
      <c r="Q14" s="40">
        <f>SUM(K14:P14)</f>
        <v>96</v>
      </c>
      <c r="R14" s="4"/>
      <c r="S14" s="1"/>
    </row>
    <row r="15" spans="1:19" x14ac:dyDescent="0.25">
      <c r="A15" s="7" t="s">
        <v>19</v>
      </c>
      <c r="B15" s="17">
        <v>10</v>
      </c>
      <c r="C15" s="11">
        <v>64</v>
      </c>
      <c r="D15" s="13">
        <v>35</v>
      </c>
      <c r="E15" s="13">
        <v>7</v>
      </c>
      <c r="F15" s="13">
        <v>0</v>
      </c>
      <c r="G15" s="13">
        <v>0</v>
      </c>
      <c r="H15" s="12">
        <f>SUM(B15:G15)</f>
        <v>116</v>
      </c>
      <c r="I15" s="1"/>
      <c r="J15" s="56" t="s">
        <v>80</v>
      </c>
      <c r="K15" s="68">
        <v>21</v>
      </c>
      <c r="L15" s="68">
        <v>0</v>
      </c>
      <c r="M15" s="68">
        <v>8</v>
      </c>
      <c r="N15" s="68">
        <v>0</v>
      </c>
      <c r="O15" s="68">
        <v>3</v>
      </c>
      <c r="P15" s="68">
        <v>0</v>
      </c>
      <c r="Q15" s="40">
        <f t="shared" si="2"/>
        <v>32</v>
      </c>
      <c r="R15" s="4"/>
      <c r="S15" s="1"/>
    </row>
    <row r="16" spans="1:19" x14ac:dyDescent="0.25">
      <c r="A16" s="7" t="s">
        <v>27</v>
      </c>
      <c r="B16" s="10">
        <v>572</v>
      </c>
      <c r="C16" s="11">
        <v>1528</v>
      </c>
      <c r="D16" s="11">
        <v>1028</v>
      </c>
      <c r="E16" s="11">
        <v>107</v>
      </c>
      <c r="F16" s="11">
        <v>37</v>
      </c>
      <c r="G16" s="11">
        <v>0</v>
      </c>
      <c r="H16" s="12">
        <f t="shared" si="4"/>
        <v>3272</v>
      </c>
      <c r="I16" s="1"/>
      <c r="J16" s="57" t="s">
        <v>83</v>
      </c>
      <c r="K16" s="69">
        <v>5</v>
      </c>
      <c r="L16" s="69">
        <v>0</v>
      </c>
      <c r="M16" s="69">
        <v>2</v>
      </c>
      <c r="N16" s="69">
        <v>0</v>
      </c>
      <c r="O16" s="69">
        <v>0</v>
      </c>
      <c r="P16" s="69">
        <v>0</v>
      </c>
      <c r="Q16" s="40">
        <f t="shared" si="2"/>
        <v>7</v>
      </c>
      <c r="R16" s="4"/>
      <c r="S16" s="1"/>
    </row>
    <row r="17" spans="1:19" x14ac:dyDescent="0.25">
      <c r="A17" s="7" t="s">
        <v>186</v>
      </c>
      <c r="B17" s="10">
        <v>0</v>
      </c>
      <c r="C17" s="11">
        <v>0</v>
      </c>
      <c r="D17" s="11">
        <v>14</v>
      </c>
      <c r="E17" s="11">
        <v>0</v>
      </c>
      <c r="F17" s="11">
        <v>1</v>
      </c>
      <c r="G17" s="11">
        <v>0</v>
      </c>
      <c r="H17" s="12">
        <f t="shared" si="4"/>
        <v>15</v>
      </c>
      <c r="I17" s="1"/>
      <c r="J17" s="50" t="s">
        <v>162</v>
      </c>
      <c r="K17" s="69">
        <v>277</v>
      </c>
      <c r="L17" s="69">
        <v>0</v>
      </c>
      <c r="M17" s="69">
        <v>300</v>
      </c>
      <c r="N17" s="69">
        <v>0</v>
      </c>
      <c r="O17" s="69">
        <v>0</v>
      </c>
      <c r="P17" s="69">
        <v>0</v>
      </c>
      <c r="Q17" s="40">
        <f t="shared" si="2"/>
        <v>577</v>
      </c>
      <c r="R17" s="4"/>
      <c r="S17" s="1"/>
    </row>
    <row r="18" spans="1:19" x14ac:dyDescent="0.25">
      <c r="A18" s="7" t="s">
        <v>188</v>
      </c>
      <c r="B18" s="10">
        <v>15</v>
      </c>
      <c r="C18" s="11">
        <v>5</v>
      </c>
      <c r="D18" s="11">
        <v>68</v>
      </c>
      <c r="E18" s="11">
        <v>5</v>
      </c>
      <c r="F18" s="11">
        <v>0</v>
      </c>
      <c r="G18" s="11">
        <v>0</v>
      </c>
      <c r="H18" s="12">
        <f t="shared" si="4"/>
        <v>93</v>
      </c>
      <c r="I18" s="1"/>
      <c r="J18" s="50" t="s">
        <v>163</v>
      </c>
      <c r="K18" s="69">
        <v>279</v>
      </c>
      <c r="L18" s="69">
        <v>0</v>
      </c>
      <c r="M18" s="69">
        <v>300</v>
      </c>
      <c r="N18" s="69">
        <v>0</v>
      </c>
      <c r="O18" s="69">
        <v>0</v>
      </c>
      <c r="P18" s="69">
        <v>0</v>
      </c>
      <c r="Q18" s="40">
        <f t="shared" si="2"/>
        <v>579</v>
      </c>
      <c r="R18" s="4"/>
      <c r="S18" s="1"/>
    </row>
    <row r="19" spans="1:19" x14ac:dyDescent="0.25">
      <c r="A19" s="7" t="s">
        <v>28</v>
      </c>
      <c r="B19" s="17">
        <v>79</v>
      </c>
      <c r="C19" s="11">
        <v>5</v>
      </c>
      <c r="D19" s="11">
        <v>219</v>
      </c>
      <c r="E19" s="11">
        <v>13</v>
      </c>
      <c r="F19" s="11">
        <v>9</v>
      </c>
      <c r="G19" s="11">
        <v>0</v>
      </c>
      <c r="H19" s="12">
        <f t="shared" si="4"/>
        <v>325</v>
      </c>
      <c r="I19" s="1"/>
      <c r="J19" s="50" t="s">
        <v>164</v>
      </c>
      <c r="K19" s="69">
        <v>279</v>
      </c>
      <c r="L19" s="69">
        <v>0</v>
      </c>
      <c r="M19" s="69">
        <v>300</v>
      </c>
      <c r="N19" s="69">
        <v>0</v>
      </c>
      <c r="O19" s="69">
        <v>0</v>
      </c>
      <c r="P19" s="69">
        <v>0</v>
      </c>
      <c r="Q19" s="40">
        <f t="shared" si="2"/>
        <v>579</v>
      </c>
      <c r="R19" s="4"/>
      <c r="S19" s="1"/>
    </row>
    <row r="20" spans="1:19" x14ac:dyDescent="0.25">
      <c r="A20" s="7" t="s">
        <v>29</v>
      </c>
      <c r="B20" s="10">
        <v>9</v>
      </c>
      <c r="C20" s="11">
        <v>0</v>
      </c>
      <c r="D20" s="11">
        <v>56</v>
      </c>
      <c r="E20" s="11">
        <v>3</v>
      </c>
      <c r="F20" s="11">
        <v>1</v>
      </c>
      <c r="G20" s="11">
        <v>0</v>
      </c>
      <c r="H20" s="12">
        <f t="shared" si="4"/>
        <v>69</v>
      </c>
      <c r="I20" s="1"/>
      <c r="J20" s="50" t="s">
        <v>194</v>
      </c>
      <c r="K20" s="69">
        <v>0</v>
      </c>
      <c r="L20" s="69">
        <v>0</v>
      </c>
      <c r="M20" s="69">
        <v>3</v>
      </c>
      <c r="N20" s="69">
        <v>0</v>
      </c>
      <c r="O20" s="69">
        <v>0</v>
      </c>
      <c r="P20" s="69">
        <v>0</v>
      </c>
      <c r="Q20" s="40">
        <f t="shared" si="2"/>
        <v>3</v>
      </c>
      <c r="R20" s="4"/>
      <c r="S20" s="1"/>
    </row>
    <row r="21" spans="1:19" x14ac:dyDescent="0.25">
      <c r="A21" s="7" t="s">
        <v>20</v>
      </c>
      <c r="B21" s="17">
        <v>0</v>
      </c>
      <c r="C21" s="11">
        <v>3</v>
      </c>
      <c r="D21" s="11">
        <v>0</v>
      </c>
      <c r="E21" s="11">
        <v>0</v>
      </c>
      <c r="F21" s="11">
        <v>13</v>
      </c>
      <c r="G21" s="11">
        <v>0</v>
      </c>
      <c r="H21" s="12">
        <f t="shared" si="4"/>
        <v>16</v>
      </c>
      <c r="I21" s="1"/>
      <c r="J21" s="50" t="s">
        <v>221</v>
      </c>
      <c r="K21" s="69">
        <v>0</v>
      </c>
      <c r="L21" s="69">
        <v>0</v>
      </c>
      <c r="M21" s="69">
        <v>0</v>
      </c>
      <c r="N21" s="69">
        <v>0</v>
      </c>
      <c r="O21" s="69">
        <v>0</v>
      </c>
      <c r="P21" s="69">
        <v>0</v>
      </c>
      <c r="Q21" s="40">
        <f t="shared" si="2"/>
        <v>0</v>
      </c>
      <c r="R21" s="4"/>
      <c r="S21" s="1"/>
    </row>
    <row r="22" spans="1:19" x14ac:dyDescent="0.25">
      <c r="A22" s="7" t="s">
        <v>25</v>
      </c>
      <c r="B22" s="17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2">
        <f t="shared" si="4"/>
        <v>0</v>
      </c>
      <c r="I22" s="1"/>
      <c r="J22" s="58" t="s">
        <v>6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40">
        <f t="shared" si="2"/>
        <v>0</v>
      </c>
      <c r="R22" s="4"/>
      <c r="S22" s="1"/>
    </row>
    <row r="23" spans="1:19" ht="15.75" thickBot="1" x14ac:dyDescent="0.3">
      <c r="A23" s="7" t="s">
        <v>218</v>
      </c>
      <c r="B23" s="17">
        <v>0</v>
      </c>
      <c r="C23" s="11">
        <v>2</v>
      </c>
      <c r="D23" s="11">
        <v>3</v>
      </c>
      <c r="E23" s="11">
        <v>0</v>
      </c>
      <c r="F23" s="11">
        <v>0</v>
      </c>
      <c r="G23" s="11">
        <v>0</v>
      </c>
      <c r="H23" s="12">
        <f t="shared" si="4"/>
        <v>5</v>
      </c>
      <c r="I23" s="1"/>
      <c r="J23" s="59" t="s">
        <v>7</v>
      </c>
      <c r="K23" s="94">
        <v>0</v>
      </c>
      <c r="L23" s="94">
        <v>0</v>
      </c>
      <c r="M23" s="94">
        <v>0</v>
      </c>
      <c r="N23" s="94">
        <v>0</v>
      </c>
      <c r="O23" s="94">
        <v>0</v>
      </c>
      <c r="P23" s="94">
        <v>0</v>
      </c>
      <c r="Q23" s="46">
        <f t="shared" si="2"/>
        <v>0</v>
      </c>
      <c r="R23" s="4"/>
      <c r="S23" s="1"/>
    </row>
    <row r="24" spans="1:19" x14ac:dyDescent="0.25">
      <c r="A24" s="7" t="s">
        <v>21</v>
      </c>
      <c r="B24" s="17">
        <v>550</v>
      </c>
      <c r="C24" s="11">
        <v>1343</v>
      </c>
      <c r="D24" s="11">
        <v>875</v>
      </c>
      <c r="E24" s="11">
        <v>67</v>
      </c>
      <c r="F24" s="11">
        <v>17</v>
      </c>
      <c r="G24" s="11">
        <v>0</v>
      </c>
      <c r="H24" s="12">
        <f t="shared" si="4"/>
        <v>2852</v>
      </c>
      <c r="I24" s="1"/>
      <c r="J24" s="1"/>
      <c r="K24" s="1"/>
      <c r="L24" s="1"/>
      <c r="M24" s="1"/>
      <c r="N24" s="1"/>
      <c r="O24" s="1"/>
      <c r="P24" s="1"/>
      <c r="Q24" s="1"/>
      <c r="R24" s="4"/>
      <c r="S24" s="1"/>
    </row>
    <row r="25" spans="1:19" ht="15.75" thickBot="1" x14ac:dyDescent="0.3">
      <c r="A25" s="7" t="s">
        <v>24</v>
      </c>
      <c r="B25" s="17">
        <v>20</v>
      </c>
      <c r="C25" s="11">
        <v>2</v>
      </c>
      <c r="D25" s="11">
        <v>51</v>
      </c>
      <c r="E25" s="11">
        <v>1</v>
      </c>
      <c r="F25" s="11">
        <v>3</v>
      </c>
      <c r="G25" s="11">
        <v>0</v>
      </c>
      <c r="H25" s="12">
        <f t="shared" si="4"/>
        <v>77</v>
      </c>
      <c r="I25" s="1"/>
      <c r="J25" s="1"/>
      <c r="K25" s="1"/>
      <c r="L25" s="1"/>
      <c r="M25" s="1"/>
      <c r="N25" s="1"/>
      <c r="O25" s="1"/>
      <c r="P25" s="1"/>
      <c r="Q25" s="1"/>
      <c r="R25" s="4"/>
      <c r="S25" s="1"/>
    </row>
    <row r="26" spans="1:19" x14ac:dyDescent="0.25">
      <c r="A26" s="7" t="s">
        <v>79</v>
      </c>
      <c r="B26" s="17">
        <v>562</v>
      </c>
      <c r="C26" s="11">
        <v>474</v>
      </c>
      <c r="D26" s="11">
        <v>485</v>
      </c>
      <c r="E26" s="11">
        <v>10</v>
      </c>
      <c r="F26" s="11">
        <v>18</v>
      </c>
      <c r="G26" s="11">
        <v>0</v>
      </c>
      <c r="H26" s="12">
        <f t="shared" si="4"/>
        <v>1549</v>
      </c>
      <c r="I26" s="1"/>
      <c r="J26" s="151" t="s">
        <v>169</v>
      </c>
      <c r="K26" s="153" t="s">
        <v>11</v>
      </c>
      <c r="L26" s="153"/>
      <c r="M26" s="153"/>
      <c r="N26" s="153"/>
      <c r="O26" s="153"/>
      <c r="P26" s="153"/>
      <c r="Q26" s="154"/>
      <c r="R26" s="4"/>
      <c r="S26" s="1"/>
    </row>
    <row r="27" spans="1:19" x14ac:dyDescent="0.25">
      <c r="A27" s="7" t="s">
        <v>75</v>
      </c>
      <c r="B27" s="17">
        <v>3</v>
      </c>
      <c r="C27" s="11">
        <v>260</v>
      </c>
      <c r="D27" s="11">
        <v>60</v>
      </c>
      <c r="E27" s="11">
        <v>2</v>
      </c>
      <c r="F27" s="11">
        <v>18</v>
      </c>
      <c r="G27" s="11">
        <v>0</v>
      </c>
      <c r="H27" s="12">
        <f t="shared" si="4"/>
        <v>343</v>
      </c>
      <c r="I27" s="1"/>
      <c r="J27" s="152"/>
      <c r="K27" s="30" t="s">
        <v>8</v>
      </c>
      <c r="L27" s="30" t="s">
        <v>9</v>
      </c>
      <c r="M27" s="30" t="s">
        <v>176</v>
      </c>
      <c r="N27" s="30" t="s">
        <v>154</v>
      </c>
      <c r="O27" s="30" t="s">
        <v>155</v>
      </c>
      <c r="P27" s="60" t="s">
        <v>147</v>
      </c>
      <c r="Q27" s="54" t="s">
        <v>11</v>
      </c>
      <c r="R27" s="4"/>
      <c r="S27" s="1"/>
    </row>
    <row r="28" spans="1:19" x14ac:dyDescent="0.25">
      <c r="A28" s="7" t="s">
        <v>76</v>
      </c>
      <c r="B28" s="17">
        <v>0</v>
      </c>
      <c r="C28" s="11">
        <v>0</v>
      </c>
      <c r="D28" s="11">
        <v>0</v>
      </c>
      <c r="E28" s="11">
        <v>0</v>
      </c>
      <c r="F28" s="11">
        <v>9</v>
      </c>
      <c r="G28" s="11">
        <v>0</v>
      </c>
      <c r="H28" s="12">
        <f t="shared" si="4"/>
        <v>9</v>
      </c>
      <c r="I28" s="1"/>
      <c r="J28" s="79" t="s">
        <v>146</v>
      </c>
      <c r="K28" s="74">
        <f>SUM(K29:K37)</f>
        <v>65</v>
      </c>
      <c r="L28" s="74">
        <f t="shared" ref="L28:P28" si="5">SUM(L29:L37)</f>
        <v>246</v>
      </c>
      <c r="M28" s="74">
        <f t="shared" si="5"/>
        <v>108</v>
      </c>
      <c r="N28" s="74">
        <f t="shared" si="5"/>
        <v>0</v>
      </c>
      <c r="O28" s="74">
        <f t="shared" si="5"/>
        <v>0</v>
      </c>
      <c r="P28" s="74">
        <f t="shared" si="5"/>
        <v>0</v>
      </c>
      <c r="Q28" s="80">
        <f>SUM(K28:P28)</f>
        <v>419</v>
      </c>
      <c r="R28" s="4"/>
      <c r="S28" s="1"/>
    </row>
    <row r="29" spans="1:19" x14ac:dyDescent="0.25">
      <c r="A29" s="7" t="s">
        <v>74</v>
      </c>
      <c r="B29" s="17">
        <v>95</v>
      </c>
      <c r="C29" s="11">
        <v>0</v>
      </c>
      <c r="D29" s="11">
        <v>246</v>
      </c>
      <c r="E29" s="11">
        <v>1</v>
      </c>
      <c r="F29" s="11">
        <v>9</v>
      </c>
      <c r="G29" s="11">
        <v>0</v>
      </c>
      <c r="H29" s="12">
        <f t="shared" si="4"/>
        <v>351</v>
      </c>
      <c r="I29" s="1"/>
      <c r="J29" s="45" t="s">
        <v>64</v>
      </c>
      <c r="K29" s="68">
        <v>41</v>
      </c>
      <c r="L29" s="68">
        <v>3</v>
      </c>
      <c r="M29" s="68">
        <v>64</v>
      </c>
      <c r="N29" s="68">
        <v>0</v>
      </c>
      <c r="O29" s="68">
        <v>0</v>
      </c>
      <c r="P29" s="69">
        <v>0</v>
      </c>
      <c r="Q29" s="40">
        <f>SUM(K29:P29)</f>
        <v>108</v>
      </c>
      <c r="R29" s="4"/>
      <c r="S29" s="1"/>
    </row>
    <row r="30" spans="1:19" x14ac:dyDescent="0.25">
      <c r="A30" s="7" t="s">
        <v>22</v>
      </c>
      <c r="B30" s="17">
        <v>220</v>
      </c>
      <c r="C30" s="11">
        <v>586</v>
      </c>
      <c r="D30" s="11">
        <v>490</v>
      </c>
      <c r="E30" s="11">
        <v>24</v>
      </c>
      <c r="F30" s="11">
        <v>10</v>
      </c>
      <c r="G30" s="11">
        <v>0</v>
      </c>
      <c r="H30" s="12">
        <f t="shared" si="4"/>
        <v>1330</v>
      </c>
      <c r="I30" s="1"/>
      <c r="J30" s="45" t="s">
        <v>170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9">
        <v>0</v>
      </c>
      <c r="Q30" s="40">
        <f>SUM(K30:P30)</f>
        <v>0</v>
      </c>
      <c r="R30" s="4"/>
      <c r="S30" s="1"/>
    </row>
    <row r="31" spans="1:19" x14ac:dyDescent="0.25">
      <c r="A31" s="7" t="s">
        <v>23</v>
      </c>
      <c r="B31" s="17">
        <v>320</v>
      </c>
      <c r="C31" s="11">
        <v>139</v>
      </c>
      <c r="D31" s="11">
        <v>590</v>
      </c>
      <c r="E31" s="11">
        <v>21</v>
      </c>
      <c r="F31" s="11">
        <v>10</v>
      </c>
      <c r="G31" s="11">
        <v>0</v>
      </c>
      <c r="H31" s="12">
        <f t="shared" si="4"/>
        <v>1080</v>
      </c>
      <c r="I31" s="1"/>
      <c r="J31" s="45" t="s">
        <v>171</v>
      </c>
      <c r="K31" s="68">
        <v>0</v>
      </c>
      <c r="L31" s="68">
        <v>7</v>
      </c>
      <c r="M31" s="68">
        <v>12</v>
      </c>
      <c r="N31" s="68">
        <v>0</v>
      </c>
      <c r="O31" s="68">
        <v>0</v>
      </c>
      <c r="P31" s="69">
        <v>0</v>
      </c>
      <c r="Q31" s="40">
        <f>SUM(K31:P31)</f>
        <v>19</v>
      </c>
      <c r="R31" s="4"/>
      <c r="S31" s="1"/>
    </row>
    <row r="32" spans="1:19" x14ac:dyDescent="0.25">
      <c r="A32" s="7" t="s">
        <v>202</v>
      </c>
      <c r="B32" s="17">
        <v>102</v>
      </c>
      <c r="C32" s="11">
        <v>15</v>
      </c>
      <c r="D32" s="11">
        <v>235</v>
      </c>
      <c r="E32" s="11">
        <v>15</v>
      </c>
      <c r="F32" s="11">
        <v>0</v>
      </c>
      <c r="G32" s="11">
        <v>0</v>
      </c>
      <c r="H32" s="12">
        <f t="shared" si="4"/>
        <v>367</v>
      </c>
      <c r="I32" s="1"/>
      <c r="J32" s="49" t="s">
        <v>65</v>
      </c>
      <c r="K32" s="68">
        <v>24</v>
      </c>
      <c r="L32" s="68">
        <v>197</v>
      </c>
      <c r="M32" s="68">
        <v>10</v>
      </c>
      <c r="N32" s="68">
        <v>0</v>
      </c>
      <c r="O32" s="68">
        <v>0</v>
      </c>
      <c r="P32" s="69">
        <v>0</v>
      </c>
      <c r="Q32" s="40">
        <f t="shared" ref="Q32:Q37" si="6">SUM(K32:P32)</f>
        <v>231</v>
      </c>
      <c r="R32" s="4"/>
      <c r="S32" s="1"/>
    </row>
    <row r="33" spans="1:19" x14ac:dyDescent="0.25">
      <c r="A33" s="7" t="s">
        <v>159</v>
      </c>
      <c r="B33" s="17">
        <v>95</v>
      </c>
      <c r="C33" s="11">
        <v>58</v>
      </c>
      <c r="D33" s="11">
        <v>85</v>
      </c>
      <c r="E33" s="11">
        <v>0</v>
      </c>
      <c r="F33" s="11">
        <v>0</v>
      </c>
      <c r="G33" s="11">
        <v>0</v>
      </c>
      <c r="H33" s="12">
        <f t="shared" si="4"/>
        <v>238</v>
      </c>
      <c r="I33" s="1"/>
      <c r="J33" s="50" t="s">
        <v>130</v>
      </c>
      <c r="K33" s="70">
        <v>0</v>
      </c>
      <c r="L33" s="70">
        <v>23</v>
      </c>
      <c r="M33" s="70">
        <v>0</v>
      </c>
      <c r="N33" s="70">
        <v>0</v>
      </c>
      <c r="O33" s="70">
        <v>0</v>
      </c>
      <c r="P33" s="69">
        <v>0</v>
      </c>
      <c r="Q33" s="40">
        <f t="shared" si="6"/>
        <v>23</v>
      </c>
      <c r="R33" s="4"/>
      <c r="S33" s="1"/>
    </row>
    <row r="34" spans="1:19" x14ac:dyDescent="0.25">
      <c r="A34" s="7" t="s">
        <v>26</v>
      </c>
      <c r="B34" s="17">
        <v>602</v>
      </c>
      <c r="C34" s="11">
        <v>945</v>
      </c>
      <c r="D34" s="11">
        <v>85</v>
      </c>
      <c r="E34" s="11">
        <v>23</v>
      </c>
      <c r="F34" s="11">
        <v>1</v>
      </c>
      <c r="G34" s="11">
        <v>0</v>
      </c>
      <c r="H34" s="12">
        <f t="shared" si="4"/>
        <v>1656</v>
      </c>
      <c r="I34" s="1"/>
      <c r="J34" s="67" t="s">
        <v>131</v>
      </c>
      <c r="K34" s="65">
        <v>0</v>
      </c>
      <c r="L34" s="65">
        <v>0</v>
      </c>
      <c r="M34" s="65">
        <v>22</v>
      </c>
      <c r="N34" s="65">
        <v>0</v>
      </c>
      <c r="O34" s="65">
        <v>0</v>
      </c>
      <c r="P34" s="31">
        <v>0</v>
      </c>
      <c r="Q34" s="40">
        <f t="shared" si="6"/>
        <v>22</v>
      </c>
      <c r="R34" s="4"/>
      <c r="S34" s="1"/>
    </row>
    <row r="35" spans="1:19" x14ac:dyDescent="0.25">
      <c r="A35" s="7" t="s">
        <v>82</v>
      </c>
      <c r="B35" s="17">
        <v>0</v>
      </c>
      <c r="C35" s="11">
        <v>27</v>
      </c>
      <c r="D35" s="11">
        <v>0</v>
      </c>
      <c r="E35" s="11">
        <v>0</v>
      </c>
      <c r="F35" s="11">
        <v>4</v>
      </c>
      <c r="G35" s="11">
        <v>0</v>
      </c>
      <c r="H35" s="12">
        <f t="shared" si="4"/>
        <v>31</v>
      </c>
      <c r="I35" s="1"/>
      <c r="J35" s="67" t="s">
        <v>160</v>
      </c>
      <c r="K35" s="65">
        <v>0</v>
      </c>
      <c r="L35" s="65">
        <v>7</v>
      </c>
      <c r="M35" s="65">
        <v>0</v>
      </c>
      <c r="N35" s="65">
        <v>0</v>
      </c>
      <c r="O35" s="65">
        <v>0</v>
      </c>
      <c r="P35" s="31">
        <v>0</v>
      </c>
      <c r="Q35" s="40">
        <f t="shared" si="6"/>
        <v>7</v>
      </c>
      <c r="R35" s="4"/>
      <c r="S35" s="1"/>
    </row>
    <row r="36" spans="1:19" x14ac:dyDescent="0.25">
      <c r="A36" s="7" t="s">
        <v>30</v>
      </c>
      <c r="B36" s="17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2">
        <f t="shared" si="4"/>
        <v>0</v>
      </c>
      <c r="I36" s="1"/>
      <c r="J36" s="67" t="s">
        <v>211</v>
      </c>
      <c r="K36" s="65">
        <v>0</v>
      </c>
      <c r="L36" s="65">
        <v>9</v>
      </c>
      <c r="M36" s="65">
        <v>0</v>
      </c>
      <c r="N36" s="65">
        <v>0</v>
      </c>
      <c r="O36" s="65">
        <v>0</v>
      </c>
      <c r="P36" s="31">
        <v>0</v>
      </c>
      <c r="Q36" s="40">
        <f t="shared" si="6"/>
        <v>9</v>
      </c>
      <c r="R36" s="4"/>
      <c r="S36" s="1"/>
    </row>
    <row r="37" spans="1:19" ht="15.75" thickBot="1" x14ac:dyDescent="0.3">
      <c r="A37" s="7" t="s">
        <v>31</v>
      </c>
      <c r="B37" s="17">
        <v>13</v>
      </c>
      <c r="C37" s="11">
        <v>26</v>
      </c>
      <c r="D37" s="11">
        <v>1</v>
      </c>
      <c r="E37" s="11">
        <v>4</v>
      </c>
      <c r="F37" s="11">
        <v>0</v>
      </c>
      <c r="G37" s="11">
        <v>0</v>
      </c>
      <c r="H37" s="12">
        <f t="shared" si="4"/>
        <v>44</v>
      </c>
      <c r="I37" s="1"/>
      <c r="J37" s="51" t="s">
        <v>212</v>
      </c>
      <c r="K37" s="71">
        <v>0</v>
      </c>
      <c r="L37" s="71">
        <v>0</v>
      </c>
      <c r="M37" s="71">
        <v>0</v>
      </c>
      <c r="N37" s="71">
        <v>0</v>
      </c>
      <c r="O37" s="71">
        <v>0</v>
      </c>
      <c r="P37" s="72">
        <v>0</v>
      </c>
      <c r="Q37" s="46">
        <f t="shared" si="6"/>
        <v>0</v>
      </c>
      <c r="R37" s="4"/>
      <c r="S37" s="1"/>
    </row>
    <row r="38" spans="1:19" ht="15.75" thickBot="1" x14ac:dyDescent="0.3">
      <c r="A38" s="7" t="s">
        <v>66</v>
      </c>
      <c r="B38" s="17">
        <v>92</v>
      </c>
      <c r="C38" s="11">
        <v>8</v>
      </c>
      <c r="D38" s="11">
        <v>382</v>
      </c>
      <c r="E38" s="11">
        <v>35</v>
      </c>
      <c r="F38" s="11">
        <v>17</v>
      </c>
      <c r="G38" s="11">
        <v>0</v>
      </c>
      <c r="H38" s="12">
        <f t="shared" si="4"/>
        <v>534</v>
      </c>
      <c r="I38" s="1"/>
      <c r="J38" s="34"/>
      <c r="K38" s="34"/>
      <c r="L38" s="34"/>
      <c r="M38" s="34"/>
      <c r="N38" s="34"/>
      <c r="O38" s="34"/>
      <c r="P38" s="34"/>
      <c r="R38" s="4"/>
      <c r="S38" s="1"/>
    </row>
    <row r="39" spans="1:19" x14ac:dyDescent="0.25">
      <c r="A39" s="7" t="s">
        <v>67</v>
      </c>
      <c r="B39" s="17">
        <v>93</v>
      </c>
      <c r="C39" s="11">
        <v>7</v>
      </c>
      <c r="D39" s="11">
        <v>382</v>
      </c>
      <c r="E39" s="11">
        <v>33</v>
      </c>
      <c r="F39" s="11">
        <v>17</v>
      </c>
      <c r="G39" s="11">
        <v>0</v>
      </c>
      <c r="H39" s="12">
        <f t="shared" si="4"/>
        <v>532</v>
      </c>
      <c r="I39" s="1"/>
      <c r="J39" s="151" t="s">
        <v>136</v>
      </c>
      <c r="K39" s="153" t="s">
        <v>11</v>
      </c>
      <c r="L39" s="153"/>
      <c r="M39" s="153"/>
      <c r="N39" s="153"/>
      <c r="O39" s="153"/>
      <c r="P39" s="153"/>
      <c r="Q39" s="154"/>
      <c r="R39" s="4"/>
      <c r="S39" s="1"/>
    </row>
    <row r="40" spans="1:19" x14ac:dyDescent="0.25">
      <c r="A40" s="7" t="s">
        <v>77</v>
      </c>
      <c r="B40" s="17">
        <v>83</v>
      </c>
      <c r="C40" s="11">
        <v>2</v>
      </c>
      <c r="D40" s="11">
        <v>231</v>
      </c>
      <c r="E40" s="11">
        <v>8</v>
      </c>
      <c r="F40" s="11">
        <v>11</v>
      </c>
      <c r="G40" s="11">
        <v>0</v>
      </c>
      <c r="H40" s="12">
        <f t="shared" si="4"/>
        <v>335</v>
      </c>
      <c r="I40" s="1"/>
      <c r="J40" s="152"/>
      <c r="K40" s="30" t="s">
        <v>8</v>
      </c>
      <c r="L40" s="30" t="s">
        <v>9</v>
      </c>
      <c r="M40" s="30" t="s">
        <v>10</v>
      </c>
      <c r="N40" s="30" t="s">
        <v>154</v>
      </c>
      <c r="O40" s="30" t="s">
        <v>155</v>
      </c>
      <c r="P40" s="30" t="s">
        <v>147</v>
      </c>
      <c r="Q40" s="54" t="s">
        <v>11</v>
      </c>
      <c r="R40" s="4"/>
      <c r="S40" s="1"/>
    </row>
    <row r="41" spans="1:19" x14ac:dyDescent="0.25">
      <c r="A41" s="7" t="s">
        <v>78</v>
      </c>
      <c r="B41" s="17">
        <v>83</v>
      </c>
      <c r="C41" s="11">
        <v>2</v>
      </c>
      <c r="D41" s="11">
        <v>231</v>
      </c>
      <c r="E41" s="11">
        <v>8</v>
      </c>
      <c r="F41" s="11">
        <v>11</v>
      </c>
      <c r="G41" s="11">
        <v>0</v>
      </c>
      <c r="H41" s="12">
        <f t="shared" si="4"/>
        <v>335</v>
      </c>
      <c r="I41" s="1"/>
      <c r="J41" s="79" t="s">
        <v>150</v>
      </c>
      <c r="K41" s="74">
        <f>SUM(K42:K49)</f>
        <v>732</v>
      </c>
      <c r="L41" s="74">
        <f t="shared" ref="L41:P41" si="7">SUM(L42:L49)</f>
        <v>173</v>
      </c>
      <c r="M41" s="74">
        <f t="shared" si="7"/>
        <v>5</v>
      </c>
      <c r="N41" s="74">
        <f t="shared" si="7"/>
        <v>5</v>
      </c>
      <c r="O41" s="74">
        <f t="shared" si="7"/>
        <v>9</v>
      </c>
      <c r="P41" s="74">
        <f t="shared" si="7"/>
        <v>0</v>
      </c>
      <c r="Q41" s="80">
        <f>SUM(K41:P41)</f>
        <v>924</v>
      </c>
      <c r="R41" s="4"/>
      <c r="S41" s="1"/>
    </row>
    <row r="42" spans="1:19" x14ac:dyDescent="0.25">
      <c r="A42" s="7" t="s">
        <v>42</v>
      </c>
      <c r="B42" s="17">
        <v>2</v>
      </c>
      <c r="C42" s="11">
        <v>0</v>
      </c>
      <c r="D42" s="11">
        <v>2</v>
      </c>
      <c r="E42" s="11">
        <v>0</v>
      </c>
      <c r="F42" s="11">
        <v>0</v>
      </c>
      <c r="G42" s="11">
        <v>0</v>
      </c>
      <c r="H42" s="12">
        <f t="shared" si="4"/>
        <v>4</v>
      </c>
      <c r="I42" s="1"/>
      <c r="J42" s="86" t="s">
        <v>165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  <c r="P42" s="89">
        <v>0</v>
      </c>
      <c r="Q42" s="40">
        <f t="shared" ref="Q42:Q49" si="8">SUM(K42:P42)</f>
        <v>0</v>
      </c>
      <c r="R42" s="4"/>
      <c r="S42" s="1"/>
    </row>
    <row r="43" spans="1:19" x14ac:dyDescent="0.25">
      <c r="A43" s="7" t="s">
        <v>43</v>
      </c>
      <c r="B43" s="17">
        <v>15</v>
      </c>
      <c r="C43" s="11">
        <v>3</v>
      </c>
      <c r="D43" s="11">
        <v>41</v>
      </c>
      <c r="E43" s="11">
        <v>5</v>
      </c>
      <c r="F43" s="11">
        <v>0</v>
      </c>
      <c r="G43" s="11">
        <v>0</v>
      </c>
      <c r="H43" s="12">
        <f t="shared" si="4"/>
        <v>64</v>
      </c>
      <c r="I43" s="1"/>
      <c r="J43" s="86" t="s">
        <v>166</v>
      </c>
      <c r="K43" s="89">
        <v>176</v>
      </c>
      <c r="L43" s="89">
        <v>41</v>
      </c>
      <c r="M43" s="89">
        <v>1</v>
      </c>
      <c r="N43" s="89">
        <v>1</v>
      </c>
      <c r="O43" s="89">
        <v>3</v>
      </c>
      <c r="P43" s="89">
        <v>0</v>
      </c>
      <c r="Q43" s="40">
        <f t="shared" si="8"/>
        <v>222</v>
      </c>
      <c r="R43" s="4"/>
      <c r="S43" s="1"/>
    </row>
    <row r="44" spans="1:19" x14ac:dyDescent="0.25">
      <c r="A44" s="7" t="s">
        <v>101</v>
      </c>
      <c r="B44" s="17">
        <v>15</v>
      </c>
      <c r="C44" s="11">
        <v>5</v>
      </c>
      <c r="D44" s="11">
        <v>72</v>
      </c>
      <c r="E44" s="11">
        <v>2</v>
      </c>
      <c r="F44" s="11">
        <v>1</v>
      </c>
      <c r="G44" s="11">
        <v>0</v>
      </c>
      <c r="H44" s="12">
        <f t="shared" si="4"/>
        <v>95</v>
      </c>
      <c r="I44" s="1"/>
      <c r="J44" s="86" t="s">
        <v>167</v>
      </c>
      <c r="K44" s="89">
        <v>38</v>
      </c>
      <c r="L44" s="89">
        <v>4</v>
      </c>
      <c r="M44" s="89">
        <v>0</v>
      </c>
      <c r="N44" s="89">
        <v>0</v>
      </c>
      <c r="O44" s="89">
        <v>0</v>
      </c>
      <c r="P44" s="89">
        <v>0</v>
      </c>
      <c r="Q44" s="40">
        <f t="shared" si="8"/>
        <v>42</v>
      </c>
      <c r="R44" s="4"/>
      <c r="S44" s="1"/>
    </row>
    <row r="45" spans="1:19" x14ac:dyDescent="0.25">
      <c r="A45" s="7" t="s">
        <v>95</v>
      </c>
      <c r="B45" s="37">
        <v>0</v>
      </c>
      <c r="C45" s="11">
        <v>1</v>
      </c>
      <c r="D45" s="11">
        <v>0</v>
      </c>
      <c r="E45" s="11">
        <v>0</v>
      </c>
      <c r="F45" s="11">
        <v>0</v>
      </c>
      <c r="G45" s="11">
        <v>0</v>
      </c>
      <c r="H45" s="12">
        <f t="shared" si="4"/>
        <v>1</v>
      </c>
      <c r="I45" s="1"/>
      <c r="J45" s="88" t="s">
        <v>168</v>
      </c>
      <c r="K45" s="90">
        <v>17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40">
        <f t="shared" si="8"/>
        <v>17</v>
      </c>
      <c r="R45" s="4"/>
      <c r="S45" s="1"/>
    </row>
    <row r="46" spans="1:19" x14ac:dyDescent="0.25">
      <c r="A46" s="7" t="s">
        <v>96</v>
      </c>
      <c r="B46" s="37">
        <v>7</v>
      </c>
      <c r="C46" s="11">
        <v>7</v>
      </c>
      <c r="D46" s="11">
        <v>58</v>
      </c>
      <c r="E46" s="11">
        <v>4</v>
      </c>
      <c r="F46" s="11">
        <v>0</v>
      </c>
      <c r="G46" s="11">
        <v>0</v>
      </c>
      <c r="H46" s="12">
        <f t="shared" si="4"/>
        <v>76</v>
      </c>
      <c r="J46" s="88" t="s">
        <v>34</v>
      </c>
      <c r="K46" s="90">
        <v>27</v>
      </c>
      <c r="L46" s="90">
        <v>2</v>
      </c>
      <c r="M46" s="90">
        <v>0</v>
      </c>
      <c r="N46" s="90">
        <v>0</v>
      </c>
      <c r="O46" s="90">
        <v>0</v>
      </c>
      <c r="P46" s="90">
        <v>0</v>
      </c>
      <c r="Q46" s="100">
        <f t="shared" si="8"/>
        <v>29</v>
      </c>
      <c r="R46" s="4"/>
      <c r="S46" s="1"/>
    </row>
    <row r="47" spans="1:19" x14ac:dyDescent="0.25">
      <c r="A47" s="7" t="s">
        <v>97</v>
      </c>
      <c r="B47" s="37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2">
        <f t="shared" si="4"/>
        <v>0</v>
      </c>
      <c r="I47" s="1"/>
      <c r="J47" s="86" t="s">
        <v>179</v>
      </c>
      <c r="K47" s="89">
        <v>200</v>
      </c>
      <c r="L47" s="89">
        <v>62</v>
      </c>
      <c r="M47" s="89">
        <v>3</v>
      </c>
      <c r="N47" s="89">
        <v>3</v>
      </c>
      <c r="O47" s="89">
        <v>3</v>
      </c>
      <c r="P47" s="89">
        <v>0</v>
      </c>
      <c r="Q47" s="40">
        <f t="shared" si="8"/>
        <v>271</v>
      </c>
      <c r="R47" s="4"/>
      <c r="S47" s="1"/>
    </row>
    <row r="48" spans="1:19" x14ac:dyDescent="0.25">
      <c r="A48" s="36" t="s">
        <v>98</v>
      </c>
      <c r="B48" s="37">
        <v>25</v>
      </c>
      <c r="C48" s="11">
        <v>0</v>
      </c>
      <c r="D48" s="11">
        <v>21</v>
      </c>
      <c r="E48" s="11">
        <v>1</v>
      </c>
      <c r="F48" s="11">
        <v>0</v>
      </c>
      <c r="G48" s="11">
        <v>0</v>
      </c>
      <c r="H48" s="12">
        <f t="shared" si="4"/>
        <v>47</v>
      </c>
      <c r="I48" s="1"/>
      <c r="J48" s="86" t="s">
        <v>177</v>
      </c>
      <c r="K48" s="89">
        <v>231</v>
      </c>
      <c r="L48" s="89">
        <v>57</v>
      </c>
      <c r="M48" s="89">
        <v>1</v>
      </c>
      <c r="N48" s="89">
        <v>1</v>
      </c>
      <c r="O48" s="89">
        <v>3</v>
      </c>
      <c r="P48" s="89">
        <v>0</v>
      </c>
      <c r="Q48" s="40">
        <f t="shared" si="8"/>
        <v>293</v>
      </c>
      <c r="R48" s="4"/>
      <c r="S48" s="1"/>
    </row>
    <row r="49" spans="1:19" ht="15.75" thickBot="1" x14ac:dyDescent="0.3">
      <c r="A49" s="7" t="s">
        <v>86</v>
      </c>
      <c r="B49" s="17">
        <v>0</v>
      </c>
      <c r="C49" s="11">
        <v>526</v>
      </c>
      <c r="D49" s="11">
        <v>0</v>
      </c>
      <c r="E49" s="11">
        <v>3</v>
      </c>
      <c r="F49" s="11">
        <v>0</v>
      </c>
      <c r="G49" s="11">
        <v>0</v>
      </c>
      <c r="H49" s="14">
        <f>SUM(B49:G49)</f>
        <v>529</v>
      </c>
      <c r="I49" s="1"/>
      <c r="J49" s="87" t="s">
        <v>178</v>
      </c>
      <c r="K49" s="71">
        <v>43</v>
      </c>
      <c r="L49" s="71">
        <v>7</v>
      </c>
      <c r="M49" s="71">
        <v>0</v>
      </c>
      <c r="N49" s="71">
        <v>0</v>
      </c>
      <c r="O49" s="71">
        <v>0</v>
      </c>
      <c r="P49" s="71">
        <v>0</v>
      </c>
      <c r="Q49" s="40">
        <f t="shared" si="8"/>
        <v>50</v>
      </c>
      <c r="R49" s="4"/>
      <c r="S49" s="1"/>
    </row>
    <row r="50" spans="1:19" x14ac:dyDescent="0.25">
      <c r="A50" s="18" t="s">
        <v>87</v>
      </c>
      <c r="B50" s="38">
        <v>276</v>
      </c>
      <c r="C50" s="19">
        <v>616</v>
      </c>
      <c r="D50" s="19">
        <v>85</v>
      </c>
      <c r="E50" s="19">
        <v>16</v>
      </c>
      <c r="F50" s="21">
        <v>1</v>
      </c>
      <c r="G50" s="19">
        <v>0</v>
      </c>
      <c r="H50" s="14">
        <f>SUM(B50:G50)</f>
        <v>994</v>
      </c>
      <c r="I50" s="1"/>
      <c r="J50" s="155"/>
      <c r="K50" s="155"/>
      <c r="L50" s="155"/>
      <c r="M50" s="155"/>
      <c r="N50" s="34"/>
      <c r="O50" s="34"/>
      <c r="P50" s="34"/>
      <c r="Q50" s="34"/>
      <c r="R50" s="4"/>
      <c r="S50" s="1"/>
    </row>
    <row r="51" spans="1:19" ht="15.75" thickBot="1" x14ac:dyDescent="0.3">
      <c r="A51" s="73" t="s">
        <v>139</v>
      </c>
      <c r="B51" s="75">
        <f>SUM(B52:B68)</f>
        <v>2180</v>
      </c>
      <c r="C51" s="75">
        <f t="shared" ref="C51:G51" si="9">SUM(C52:C68)</f>
        <v>5189</v>
      </c>
      <c r="D51" s="77">
        <f t="shared" si="9"/>
        <v>2980</v>
      </c>
      <c r="E51" s="75">
        <f t="shared" si="9"/>
        <v>107</v>
      </c>
      <c r="F51" s="75">
        <f t="shared" si="9"/>
        <v>101</v>
      </c>
      <c r="G51" s="78">
        <f t="shared" si="9"/>
        <v>10</v>
      </c>
      <c r="H51" s="75">
        <f>SUM(B51:G51)</f>
        <v>10567</v>
      </c>
      <c r="I51" s="1"/>
      <c r="Q51" s="24"/>
      <c r="R51" s="4"/>
      <c r="S51" s="1"/>
    </row>
    <row r="52" spans="1:19" x14ac:dyDescent="0.25">
      <c r="A52" s="7" t="s">
        <v>90</v>
      </c>
      <c r="B52" s="13">
        <v>387</v>
      </c>
      <c r="C52" s="13">
        <v>103</v>
      </c>
      <c r="D52" s="25">
        <v>26</v>
      </c>
      <c r="E52" s="65">
        <v>3</v>
      </c>
      <c r="F52" s="65">
        <v>1</v>
      </c>
      <c r="G52" s="65">
        <v>0</v>
      </c>
      <c r="H52" s="26">
        <f t="shared" ref="H52:H113" si="10">SUM(B52:G52)</f>
        <v>520</v>
      </c>
      <c r="I52" s="1"/>
      <c r="J52" s="158" t="s">
        <v>152</v>
      </c>
      <c r="K52" s="159"/>
      <c r="L52" s="159"/>
      <c r="M52" s="159"/>
      <c r="N52" s="159"/>
      <c r="O52" s="159"/>
      <c r="P52" s="159"/>
      <c r="Q52" s="160"/>
      <c r="R52" s="4"/>
      <c r="S52" s="1"/>
    </row>
    <row r="53" spans="1:19" x14ac:dyDescent="0.25">
      <c r="A53" s="7" t="s">
        <v>91</v>
      </c>
      <c r="B53" s="13">
        <v>1</v>
      </c>
      <c r="C53" s="13">
        <v>1</v>
      </c>
      <c r="D53" s="25">
        <v>17</v>
      </c>
      <c r="E53" s="66">
        <v>2</v>
      </c>
      <c r="F53" s="66">
        <v>1</v>
      </c>
      <c r="G53" s="66">
        <v>6</v>
      </c>
      <c r="H53" s="26">
        <f t="shared" si="10"/>
        <v>28</v>
      </c>
      <c r="I53" s="1"/>
      <c r="J53" s="156" t="s">
        <v>72</v>
      </c>
      <c r="K53" s="157"/>
      <c r="L53" s="157"/>
      <c r="M53" s="157"/>
      <c r="N53" s="157"/>
      <c r="O53" s="157"/>
      <c r="P53" s="157"/>
      <c r="Q53" s="62" t="s">
        <v>11</v>
      </c>
      <c r="R53" s="4"/>
      <c r="S53" s="1"/>
    </row>
    <row r="54" spans="1:19" x14ac:dyDescent="0.25">
      <c r="A54" s="7" t="s">
        <v>32</v>
      </c>
      <c r="B54" s="13">
        <v>631</v>
      </c>
      <c r="C54" s="13">
        <v>2277</v>
      </c>
      <c r="D54" s="25">
        <v>1244</v>
      </c>
      <c r="E54" s="66">
        <v>38</v>
      </c>
      <c r="F54" s="66">
        <v>44</v>
      </c>
      <c r="G54" s="66">
        <v>3</v>
      </c>
      <c r="H54" s="26">
        <f t="shared" si="10"/>
        <v>4237</v>
      </c>
      <c r="I54" s="1"/>
      <c r="J54" s="156" t="s">
        <v>71</v>
      </c>
      <c r="K54" s="157"/>
      <c r="L54" s="157"/>
      <c r="M54" s="157"/>
      <c r="N54" s="157"/>
      <c r="O54" s="157"/>
      <c r="P54" s="157"/>
      <c r="Q54" s="47">
        <v>4</v>
      </c>
      <c r="R54" s="4"/>
      <c r="S54" s="1"/>
    </row>
    <row r="55" spans="1:19" x14ac:dyDescent="0.25">
      <c r="A55" s="7" t="s">
        <v>34</v>
      </c>
      <c r="B55" s="11">
        <v>3</v>
      </c>
      <c r="C55" s="13">
        <v>2</v>
      </c>
      <c r="D55" s="23">
        <v>6</v>
      </c>
      <c r="E55" s="66"/>
      <c r="F55" s="66">
        <v>1</v>
      </c>
      <c r="G55" s="66">
        <v>0</v>
      </c>
      <c r="H55" s="26">
        <f t="shared" si="10"/>
        <v>12</v>
      </c>
      <c r="I55" s="1"/>
      <c r="J55" s="156" t="s">
        <v>239</v>
      </c>
      <c r="K55" s="157"/>
      <c r="L55" s="157"/>
      <c r="M55" s="157"/>
      <c r="N55" s="157"/>
      <c r="O55" s="157"/>
      <c r="P55" s="157"/>
      <c r="Q55" s="48">
        <f>(H12+H51+Q41)</f>
        <v>29068</v>
      </c>
      <c r="R55" s="4"/>
      <c r="S55" s="1"/>
    </row>
    <row r="56" spans="1:19" x14ac:dyDescent="0.25">
      <c r="A56" s="7" t="s">
        <v>33</v>
      </c>
      <c r="B56" s="13">
        <v>163</v>
      </c>
      <c r="C56" s="13">
        <v>829</v>
      </c>
      <c r="D56" s="25">
        <v>384</v>
      </c>
      <c r="E56" s="66">
        <v>16</v>
      </c>
      <c r="F56" s="66">
        <v>10</v>
      </c>
      <c r="G56" s="66">
        <v>0</v>
      </c>
      <c r="H56" s="26">
        <f t="shared" si="10"/>
        <v>1402</v>
      </c>
      <c r="I56" s="1"/>
      <c r="J56" s="156"/>
      <c r="K56" s="157"/>
      <c r="L56" s="157"/>
      <c r="M56" s="157"/>
      <c r="N56" s="157"/>
      <c r="O56" s="157"/>
      <c r="P56" s="157"/>
      <c r="Q56" s="48"/>
      <c r="R56" s="4"/>
      <c r="S56" s="1"/>
    </row>
    <row r="57" spans="1:19" x14ac:dyDescent="0.25">
      <c r="A57" s="7" t="s">
        <v>2</v>
      </c>
      <c r="B57" s="11">
        <v>45</v>
      </c>
      <c r="C57" s="11">
        <v>1</v>
      </c>
      <c r="D57" s="23">
        <v>43</v>
      </c>
      <c r="E57" s="66">
        <v>4</v>
      </c>
      <c r="F57" s="66">
        <v>2</v>
      </c>
      <c r="G57" s="66">
        <v>0</v>
      </c>
      <c r="H57" s="26">
        <f t="shared" si="10"/>
        <v>95</v>
      </c>
      <c r="I57" s="1"/>
      <c r="J57" s="156" t="s">
        <v>238</v>
      </c>
      <c r="K57" s="157"/>
      <c r="L57" s="157"/>
      <c r="M57" s="157"/>
      <c r="N57" s="157"/>
      <c r="O57" s="157"/>
      <c r="P57" s="157"/>
      <c r="Q57" s="48">
        <f>(H69+H82+H95)</f>
        <v>6767</v>
      </c>
      <c r="R57" s="4"/>
      <c r="S57" s="1"/>
    </row>
    <row r="58" spans="1:19" x14ac:dyDescent="0.25">
      <c r="A58" s="7" t="s">
        <v>88</v>
      </c>
      <c r="B58" s="11">
        <v>0</v>
      </c>
      <c r="C58" s="11">
        <v>7</v>
      </c>
      <c r="D58" s="23">
        <v>6</v>
      </c>
      <c r="E58" s="66">
        <v>0</v>
      </c>
      <c r="F58" s="66">
        <v>0</v>
      </c>
      <c r="G58" s="66">
        <v>0</v>
      </c>
      <c r="H58" s="26">
        <f t="shared" si="10"/>
        <v>13</v>
      </c>
      <c r="I58" s="1"/>
      <c r="J58" s="156"/>
      <c r="K58" s="157"/>
      <c r="L58" s="157"/>
      <c r="M58" s="157"/>
      <c r="N58" s="157"/>
      <c r="O58" s="157"/>
      <c r="P58" s="157"/>
      <c r="Q58" s="48"/>
      <c r="R58" s="4"/>
      <c r="S58" s="1"/>
    </row>
    <row r="59" spans="1:19" x14ac:dyDescent="0.25">
      <c r="A59" s="7" t="s">
        <v>89</v>
      </c>
      <c r="B59" s="11">
        <v>0</v>
      </c>
      <c r="C59" s="11">
        <v>0</v>
      </c>
      <c r="D59" s="23">
        <v>0</v>
      </c>
      <c r="E59" s="66">
        <v>0</v>
      </c>
      <c r="F59" s="66">
        <v>0</v>
      </c>
      <c r="G59" s="66">
        <v>0</v>
      </c>
      <c r="H59" s="26">
        <f t="shared" si="10"/>
        <v>0</v>
      </c>
      <c r="I59" s="1"/>
      <c r="J59" s="156"/>
      <c r="K59" s="157"/>
      <c r="L59" s="157"/>
      <c r="M59" s="157"/>
      <c r="N59" s="157"/>
      <c r="O59" s="157"/>
      <c r="P59" s="157"/>
      <c r="Q59" s="48"/>
      <c r="R59" s="4"/>
      <c r="S59" s="1"/>
    </row>
    <row r="60" spans="1:19" x14ac:dyDescent="0.25">
      <c r="A60" s="7" t="s">
        <v>35</v>
      </c>
      <c r="B60" s="11">
        <v>289</v>
      </c>
      <c r="C60" s="11">
        <v>878</v>
      </c>
      <c r="D60" s="23">
        <v>382</v>
      </c>
      <c r="E60" s="66">
        <v>18</v>
      </c>
      <c r="F60" s="66">
        <v>7</v>
      </c>
      <c r="G60" s="66">
        <v>1</v>
      </c>
      <c r="H60" s="26">
        <f t="shared" si="10"/>
        <v>1575</v>
      </c>
      <c r="I60" s="1"/>
      <c r="J60" s="156" t="s">
        <v>237</v>
      </c>
      <c r="K60" s="157"/>
      <c r="L60" s="157"/>
      <c r="M60" s="157"/>
      <c r="N60" s="157"/>
      <c r="O60" s="157"/>
      <c r="P60" s="157"/>
      <c r="Q60" s="63">
        <f>Q11</f>
        <v>1925</v>
      </c>
      <c r="R60" s="4"/>
      <c r="S60" s="1"/>
    </row>
    <row r="61" spans="1:19" x14ac:dyDescent="0.25">
      <c r="A61" s="7" t="s">
        <v>36</v>
      </c>
      <c r="B61" s="11">
        <v>22</v>
      </c>
      <c r="C61" s="11">
        <v>15</v>
      </c>
      <c r="D61" s="23">
        <v>16</v>
      </c>
      <c r="E61" s="66">
        <v>0</v>
      </c>
      <c r="F61" s="66">
        <v>2</v>
      </c>
      <c r="G61" s="66">
        <v>0</v>
      </c>
      <c r="H61" s="26">
        <f t="shared" si="10"/>
        <v>55</v>
      </c>
      <c r="I61" s="1"/>
      <c r="J61" s="156" t="s">
        <v>145</v>
      </c>
      <c r="K61" s="157"/>
      <c r="L61" s="157"/>
      <c r="M61" s="157"/>
      <c r="N61" s="157"/>
      <c r="O61" s="157"/>
      <c r="P61" s="157"/>
      <c r="Q61" s="41">
        <f>Q28</f>
        <v>419</v>
      </c>
      <c r="R61" s="4"/>
      <c r="S61" s="1"/>
    </row>
    <row r="62" spans="1:19" ht="15.75" thickBot="1" x14ac:dyDescent="0.3">
      <c r="A62" s="7" t="s">
        <v>119</v>
      </c>
      <c r="B62" s="11">
        <v>0</v>
      </c>
      <c r="C62" s="10">
        <v>0</v>
      </c>
      <c r="D62" s="23">
        <v>0</v>
      </c>
      <c r="E62" s="66">
        <v>0</v>
      </c>
      <c r="F62" s="66">
        <v>0</v>
      </c>
      <c r="G62" s="66">
        <v>0</v>
      </c>
      <c r="H62" s="26">
        <f>SUM(B62:G62)</f>
        <v>0</v>
      </c>
      <c r="I62" s="1"/>
      <c r="J62" s="178"/>
      <c r="K62" s="179"/>
      <c r="L62" s="179"/>
      <c r="M62" s="179"/>
      <c r="N62" s="179"/>
      <c r="O62" s="179"/>
      <c r="P62" s="179"/>
      <c r="Q62" s="64"/>
      <c r="R62" s="4"/>
      <c r="S62" s="1"/>
    </row>
    <row r="63" spans="1:19" ht="15.75" thickBot="1" x14ac:dyDescent="0.3">
      <c r="A63" s="7" t="s">
        <v>118</v>
      </c>
      <c r="B63" s="11">
        <v>22</v>
      </c>
      <c r="C63" s="11">
        <v>4</v>
      </c>
      <c r="D63" s="23">
        <v>6</v>
      </c>
      <c r="E63" s="66">
        <v>0</v>
      </c>
      <c r="F63" s="66">
        <v>2</v>
      </c>
      <c r="G63" s="66">
        <v>0</v>
      </c>
      <c r="H63" s="33">
        <f>SUM(B63:G63)</f>
        <v>34</v>
      </c>
      <c r="I63" s="1"/>
      <c r="M63" s="53"/>
      <c r="N63" s="53"/>
      <c r="O63" s="53"/>
      <c r="P63" s="39" t="s">
        <v>11</v>
      </c>
      <c r="Q63" s="61">
        <f>SUM(Q54:Q62)</f>
        <v>38183</v>
      </c>
      <c r="R63" s="4"/>
      <c r="S63" s="1"/>
    </row>
    <row r="64" spans="1:19" x14ac:dyDescent="0.25">
      <c r="A64" s="8" t="s">
        <v>37</v>
      </c>
      <c r="B64" s="31">
        <v>57</v>
      </c>
      <c r="C64" s="20">
        <v>108</v>
      </c>
      <c r="D64" s="42">
        <v>34</v>
      </c>
      <c r="E64" s="65">
        <v>0</v>
      </c>
      <c r="F64" s="65">
        <v>1</v>
      </c>
      <c r="G64" s="65">
        <v>0</v>
      </c>
      <c r="H64" s="26">
        <f t="shared" si="10"/>
        <v>200</v>
      </c>
      <c r="I64" s="1"/>
      <c r="P64" s="1"/>
      <c r="Q64" s="1"/>
      <c r="R64" s="4"/>
      <c r="S64" s="1"/>
    </row>
    <row r="65" spans="1:19" x14ac:dyDescent="0.25">
      <c r="A65" s="7" t="s">
        <v>38</v>
      </c>
      <c r="B65" s="11">
        <v>280</v>
      </c>
      <c r="C65" s="10">
        <v>474</v>
      </c>
      <c r="D65" s="23">
        <v>408</v>
      </c>
      <c r="E65" s="66">
        <v>13</v>
      </c>
      <c r="F65" s="66">
        <v>15</v>
      </c>
      <c r="G65" s="66">
        <v>0</v>
      </c>
      <c r="H65" s="26">
        <f t="shared" si="10"/>
        <v>1190</v>
      </c>
      <c r="I65" s="1"/>
      <c r="R65" s="4"/>
      <c r="S65" s="1"/>
    </row>
    <row r="66" spans="1:19" x14ac:dyDescent="0.25">
      <c r="A66" s="7" t="s">
        <v>73</v>
      </c>
      <c r="B66" s="11">
        <v>280</v>
      </c>
      <c r="C66" s="10">
        <v>474</v>
      </c>
      <c r="D66" s="23">
        <v>408</v>
      </c>
      <c r="E66" s="11">
        <v>13</v>
      </c>
      <c r="F66" s="11">
        <v>15</v>
      </c>
      <c r="G66" s="11">
        <v>0</v>
      </c>
      <c r="H66" s="26">
        <f t="shared" si="10"/>
        <v>1190</v>
      </c>
      <c r="I66" s="1"/>
      <c r="J66" s="1"/>
      <c r="K66" s="1"/>
      <c r="L66" s="1"/>
      <c r="M66" s="1"/>
      <c r="N66" s="1"/>
      <c r="O66" s="1"/>
      <c r="R66" s="4"/>
      <c r="S66" s="1"/>
    </row>
    <row r="67" spans="1:19" x14ac:dyDescent="0.25">
      <c r="A67" s="7" t="s">
        <v>39</v>
      </c>
      <c r="B67" s="11">
        <v>0</v>
      </c>
      <c r="C67" s="10">
        <v>0</v>
      </c>
      <c r="D67" s="23">
        <v>0</v>
      </c>
      <c r="E67" s="11">
        <v>0</v>
      </c>
      <c r="F67" s="11">
        <v>0</v>
      </c>
      <c r="G67" s="11">
        <v>0</v>
      </c>
      <c r="H67" s="26">
        <f t="shared" si="10"/>
        <v>0</v>
      </c>
      <c r="I67" s="1"/>
      <c r="R67" s="4"/>
      <c r="S67" s="1"/>
    </row>
    <row r="68" spans="1:19" x14ac:dyDescent="0.25">
      <c r="A68" s="18" t="s">
        <v>40</v>
      </c>
      <c r="B68" s="19">
        <v>0</v>
      </c>
      <c r="C68" s="21">
        <v>16</v>
      </c>
      <c r="D68" s="43">
        <v>0</v>
      </c>
      <c r="E68" s="19">
        <v>0</v>
      </c>
      <c r="F68" s="19">
        <v>0</v>
      </c>
      <c r="G68" s="19">
        <v>0</v>
      </c>
      <c r="H68" s="26">
        <f t="shared" si="10"/>
        <v>16</v>
      </c>
      <c r="I68" s="1"/>
      <c r="R68" s="4"/>
      <c r="S68" s="1"/>
    </row>
    <row r="69" spans="1:19" x14ac:dyDescent="0.25">
      <c r="A69" s="73" t="s">
        <v>54</v>
      </c>
      <c r="B69" s="74">
        <f>SUM(B70:B81)</f>
        <v>470</v>
      </c>
      <c r="C69" s="74">
        <f t="shared" ref="C69:G69" si="11">SUM(C70:C81)</f>
        <v>16</v>
      </c>
      <c r="D69" s="74">
        <f t="shared" si="11"/>
        <v>169</v>
      </c>
      <c r="E69" s="74">
        <f t="shared" si="11"/>
        <v>23</v>
      </c>
      <c r="F69" s="74">
        <f t="shared" si="11"/>
        <v>0</v>
      </c>
      <c r="G69" s="76">
        <f t="shared" si="11"/>
        <v>0</v>
      </c>
      <c r="H69" s="75">
        <f t="shared" si="10"/>
        <v>678</v>
      </c>
      <c r="I69" s="1"/>
      <c r="R69" s="4"/>
      <c r="S69" s="1"/>
    </row>
    <row r="70" spans="1:19" x14ac:dyDescent="0.25">
      <c r="A70" s="52" t="s">
        <v>55</v>
      </c>
      <c r="B70" s="65">
        <v>101</v>
      </c>
      <c r="C70" s="10">
        <v>13</v>
      </c>
      <c r="D70" s="65">
        <v>134</v>
      </c>
      <c r="E70" s="65">
        <v>9</v>
      </c>
      <c r="F70" s="11">
        <v>0</v>
      </c>
      <c r="G70" s="65">
        <v>0</v>
      </c>
      <c r="H70" s="26">
        <f t="shared" si="10"/>
        <v>257</v>
      </c>
      <c r="I70" s="1"/>
      <c r="R70" s="4"/>
      <c r="S70" s="1"/>
    </row>
    <row r="71" spans="1:19" x14ac:dyDescent="0.25">
      <c r="A71" s="52" t="s">
        <v>56</v>
      </c>
      <c r="B71" s="66">
        <v>62</v>
      </c>
      <c r="C71" s="91">
        <v>0</v>
      </c>
      <c r="D71" s="66">
        <v>3</v>
      </c>
      <c r="E71" s="66">
        <v>0</v>
      </c>
      <c r="F71" s="11">
        <v>0</v>
      </c>
      <c r="G71" s="66">
        <v>0</v>
      </c>
      <c r="H71" s="26">
        <f t="shared" si="10"/>
        <v>65</v>
      </c>
      <c r="I71" s="1"/>
      <c r="R71" s="4"/>
      <c r="S71" s="1"/>
    </row>
    <row r="72" spans="1:19" x14ac:dyDescent="0.25">
      <c r="A72" s="52" t="s">
        <v>58</v>
      </c>
      <c r="B72" s="66">
        <v>12</v>
      </c>
      <c r="C72" s="10">
        <v>0</v>
      </c>
      <c r="D72" s="66">
        <v>0</v>
      </c>
      <c r="E72" s="66">
        <v>0</v>
      </c>
      <c r="F72" s="11">
        <v>0</v>
      </c>
      <c r="G72" s="66">
        <v>0</v>
      </c>
      <c r="H72" s="26">
        <f t="shared" si="10"/>
        <v>12</v>
      </c>
      <c r="I72" s="1"/>
      <c r="R72" s="4"/>
      <c r="S72" s="1"/>
    </row>
    <row r="73" spans="1:19" x14ac:dyDescent="0.25">
      <c r="A73" s="52" t="s">
        <v>68</v>
      </c>
      <c r="B73" s="66">
        <v>85</v>
      </c>
      <c r="C73" s="91">
        <v>0</v>
      </c>
      <c r="D73" s="66">
        <v>10</v>
      </c>
      <c r="E73" s="66">
        <v>6</v>
      </c>
      <c r="F73" s="92">
        <v>0</v>
      </c>
      <c r="G73" s="66">
        <v>0</v>
      </c>
      <c r="H73" s="26">
        <f t="shared" si="10"/>
        <v>101</v>
      </c>
      <c r="I73" s="1"/>
      <c r="R73" s="4"/>
      <c r="S73" s="1"/>
    </row>
    <row r="74" spans="1:19" x14ac:dyDescent="0.25">
      <c r="A74" s="52" t="s">
        <v>69</v>
      </c>
      <c r="B74" s="66">
        <v>30</v>
      </c>
      <c r="C74" s="91">
        <v>0</v>
      </c>
      <c r="D74" s="66">
        <v>1</v>
      </c>
      <c r="E74" s="66">
        <v>0</v>
      </c>
      <c r="F74" s="92">
        <v>0</v>
      </c>
      <c r="G74" s="66">
        <v>0</v>
      </c>
      <c r="H74" s="26">
        <f t="shared" si="10"/>
        <v>31</v>
      </c>
      <c r="I74" s="1"/>
      <c r="R74" s="4"/>
      <c r="S74" s="1"/>
    </row>
    <row r="75" spans="1:19" x14ac:dyDescent="0.25">
      <c r="A75" s="52" t="s">
        <v>57</v>
      </c>
      <c r="B75" s="66">
        <v>6</v>
      </c>
      <c r="C75" s="91">
        <v>3</v>
      </c>
      <c r="D75" s="66">
        <v>6</v>
      </c>
      <c r="E75" s="66">
        <v>0</v>
      </c>
      <c r="F75" s="91">
        <v>0</v>
      </c>
      <c r="G75" s="66">
        <v>0</v>
      </c>
      <c r="H75" s="26">
        <f t="shared" si="10"/>
        <v>15</v>
      </c>
      <c r="I75" s="1"/>
      <c r="R75" s="4"/>
      <c r="S75" s="1"/>
    </row>
    <row r="76" spans="1:19" x14ac:dyDescent="0.25">
      <c r="A76" s="52" t="s">
        <v>142</v>
      </c>
      <c r="B76" s="66">
        <v>47</v>
      </c>
      <c r="C76" s="91">
        <v>0</v>
      </c>
      <c r="D76" s="66">
        <v>3</v>
      </c>
      <c r="E76" s="66">
        <v>2</v>
      </c>
      <c r="F76" s="92">
        <v>0</v>
      </c>
      <c r="G76" s="66">
        <v>0</v>
      </c>
      <c r="H76" s="26">
        <f t="shared" si="10"/>
        <v>52</v>
      </c>
      <c r="I76" s="1"/>
      <c r="R76" s="4"/>
      <c r="S76" s="1"/>
    </row>
    <row r="77" spans="1:19" x14ac:dyDescent="0.25">
      <c r="A77" s="52" t="s">
        <v>59</v>
      </c>
      <c r="B77" s="66">
        <v>9</v>
      </c>
      <c r="C77" s="91">
        <v>0</v>
      </c>
      <c r="D77" s="66">
        <v>7</v>
      </c>
      <c r="E77" s="66">
        <v>1</v>
      </c>
      <c r="F77" s="92">
        <v>0</v>
      </c>
      <c r="G77" s="66">
        <v>0</v>
      </c>
      <c r="H77" s="26">
        <f t="shared" si="10"/>
        <v>17</v>
      </c>
      <c r="I77" s="1"/>
      <c r="R77" s="4"/>
      <c r="S77" s="1"/>
    </row>
    <row r="78" spans="1:19" x14ac:dyDescent="0.25">
      <c r="A78" s="52" t="s">
        <v>60</v>
      </c>
      <c r="B78" s="66">
        <v>32</v>
      </c>
      <c r="C78" s="91">
        <v>0</v>
      </c>
      <c r="D78" s="66">
        <v>3</v>
      </c>
      <c r="E78" s="66">
        <v>2</v>
      </c>
      <c r="F78" s="91">
        <v>0</v>
      </c>
      <c r="G78" s="66">
        <v>0</v>
      </c>
      <c r="H78" s="26">
        <f t="shared" si="10"/>
        <v>37</v>
      </c>
      <c r="I78" s="1"/>
      <c r="R78" s="4"/>
      <c r="S78" s="1"/>
    </row>
    <row r="79" spans="1:19" x14ac:dyDescent="0.25">
      <c r="A79" s="52" t="s">
        <v>106</v>
      </c>
      <c r="B79" s="66">
        <v>19</v>
      </c>
      <c r="C79" s="91">
        <v>0</v>
      </c>
      <c r="D79" s="66">
        <v>0</v>
      </c>
      <c r="E79" s="66">
        <v>1</v>
      </c>
      <c r="F79" s="91">
        <v>0</v>
      </c>
      <c r="G79" s="66">
        <v>0</v>
      </c>
      <c r="H79" s="26">
        <f t="shared" si="10"/>
        <v>20</v>
      </c>
      <c r="I79" s="1"/>
      <c r="R79" s="4"/>
      <c r="S79" s="1"/>
    </row>
    <row r="80" spans="1:19" x14ac:dyDescent="0.25">
      <c r="A80" s="52" t="s">
        <v>132</v>
      </c>
      <c r="B80" s="66">
        <v>30</v>
      </c>
      <c r="C80" s="91">
        <v>0</v>
      </c>
      <c r="D80" s="66">
        <v>1</v>
      </c>
      <c r="E80" s="66">
        <v>1</v>
      </c>
      <c r="F80" s="92">
        <v>0</v>
      </c>
      <c r="G80" s="66">
        <v>0</v>
      </c>
      <c r="H80" s="26">
        <f t="shared" si="10"/>
        <v>32</v>
      </c>
      <c r="I80" s="1"/>
      <c r="R80" s="4"/>
      <c r="S80" s="1"/>
    </row>
    <row r="81" spans="1:22" x14ac:dyDescent="0.25">
      <c r="A81" s="52" t="s">
        <v>133</v>
      </c>
      <c r="B81" s="93">
        <v>37</v>
      </c>
      <c r="C81" s="91">
        <v>0</v>
      </c>
      <c r="D81" s="93">
        <v>1</v>
      </c>
      <c r="E81" s="93">
        <v>1</v>
      </c>
      <c r="F81" s="92">
        <v>0</v>
      </c>
      <c r="G81" s="93">
        <v>0</v>
      </c>
      <c r="H81" s="26">
        <f t="shared" si="10"/>
        <v>39</v>
      </c>
      <c r="I81" s="1"/>
      <c r="R81" s="4"/>
      <c r="S81" s="1"/>
    </row>
    <row r="82" spans="1:22" x14ac:dyDescent="0.25">
      <c r="A82" s="73" t="s">
        <v>70</v>
      </c>
      <c r="B82" s="74">
        <f>SUM(B83:B94)</f>
        <v>204</v>
      </c>
      <c r="C82" s="74">
        <f t="shared" ref="C82:G82" si="12">SUM(C83:C94)</f>
        <v>653</v>
      </c>
      <c r="D82" s="74">
        <f t="shared" si="12"/>
        <v>907</v>
      </c>
      <c r="E82" s="74">
        <f t="shared" si="12"/>
        <v>58</v>
      </c>
      <c r="F82" s="74">
        <f t="shared" si="12"/>
        <v>8</v>
      </c>
      <c r="G82" s="74">
        <f t="shared" si="12"/>
        <v>1</v>
      </c>
      <c r="H82" s="75">
        <f>SUM(B82:G82)</f>
        <v>1831</v>
      </c>
      <c r="I82" s="1"/>
      <c r="R82" s="4"/>
      <c r="S82" s="1"/>
    </row>
    <row r="83" spans="1:22" x14ac:dyDescent="0.25">
      <c r="A83" s="22" t="s">
        <v>84</v>
      </c>
      <c r="B83" s="11">
        <v>22</v>
      </c>
      <c r="C83" s="10">
        <v>0</v>
      </c>
      <c r="D83" s="11">
        <v>61</v>
      </c>
      <c r="E83" s="11">
        <v>9</v>
      </c>
      <c r="F83" s="10">
        <v>1</v>
      </c>
      <c r="G83" s="11">
        <v>0</v>
      </c>
      <c r="H83" s="108">
        <f t="shared" si="10"/>
        <v>93</v>
      </c>
      <c r="I83" s="1"/>
      <c r="R83" s="4"/>
      <c r="S83" s="1"/>
    </row>
    <row r="84" spans="1:22" x14ac:dyDescent="0.25">
      <c r="A84" s="22" t="s">
        <v>114</v>
      </c>
      <c r="B84" s="11">
        <v>15</v>
      </c>
      <c r="C84" s="10">
        <v>0</v>
      </c>
      <c r="D84" s="11">
        <v>48</v>
      </c>
      <c r="E84" s="11">
        <v>8</v>
      </c>
      <c r="F84" s="10">
        <v>0</v>
      </c>
      <c r="G84" s="11">
        <v>0</v>
      </c>
      <c r="H84" s="26">
        <f t="shared" si="10"/>
        <v>71</v>
      </c>
      <c r="I84" s="1"/>
      <c r="R84" s="4"/>
      <c r="S84" s="1"/>
    </row>
    <row r="85" spans="1:22" ht="14.25" customHeight="1" x14ac:dyDescent="0.25">
      <c r="A85" s="22" t="s">
        <v>61</v>
      </c>
      <c r="B85" s="11">
        <v>4</v>
      </c>
      <c r="C85" s="10">
        <v>46</v>
      </c>
      <c r="D85" s="11">
        <v>3</v>
      </c>
      <c r="E85" s="11">
        <v>2</v>
      </c>
      <c r="F85" s="10">
        <v>0</v>
      </c>
      <c r="G85" s="11">
        <v>0</v>
      </c>
      <c r="H85" s="26">
        <f t="shared" si="10"/>
        <v>55</v>
      </c>
      <c r="I85" s="1"/>
      <c r="U85" s="1"/>
      <c r="V85" s="1"/>
    </row>
    <row r="86" spans="1:22" x14ac:dyDescent="0.25">
      <c r="A86" s="22" t="s">
        <v>62</v>
      </c>
      <c r="B86" s="11">
        <v>40</v>
      </c>
      <c r="C86" s="10">
        <v>0</v>
      </c>
      <c r="D86" s="11">
        <v>212</v>
      </c>
      <c r="E86" s="11">
        <v>7</v>
      </c>
      <c r="F86" s="10">
        <v>4</v>
      </c>
      <c r="G86" s="11">
        <v>0</v>
      </c>
      <c r="H86" s="26">
        <f t="shared" si="10"/>
        <v>263</v>
      </c>
      <c r="I86" s="1"/>
      <c r="J86" s="1"/>
      <c r="K86" s="1"/>
      <c r="L86" s="1"/>
      <c r="M86" s="176"/>
      <c r="N86" s="176"/>
      <c r="O86" s="176"/>
      <c r="P86" s="176"/>
      <c r="U86" s="1"/>
      <c r="V86" s="1"/>
    </row>
    <row r="87" spans="1:22" x14ac:dyDescent="0.25">
      <c r="A87" s="22" t="s">
        <v>93</v>
      </c>
      <c r="B87" s="11">
        <v>0</v>
      </c>
      <c r="C87" s="10">
        <v>0</v>
      </c>
      <c r="D87" s="11">
        <v>0</v>
      </c>
      <c r="E87" s="11">
        <v>0</v>
      </c>
      <c r="F87" s="10">
        <v>0</v>
      </c>
      <c r="G87" s="11">
        <v>0</v>
      </c>
      <c r="H87" s="26">
        <f t="shared" si="10"/>
        <v>0</v>
      </c>
      <c r="I87" s="1"/>
      <c r="J87" s="1"/>
      <c r="K87" s="1"/>
      <c r="L87" s="1"/>
      <c r="M87" s="176"/>
      <c r="U87" s="1"/>
      <c r="V87" s="1"/>
    </row>
    <row r="88" spans="1:22" x14ac:dyDescent="0.25">
      <c r="A88" s="22" t="s">
        <v>94</v>
      </c>
      <c r="B88" s="11">
        <v>0</v>
      </c>
      <c r="C88" s="10">
        <v>0</v>
      </c>
      <c r="D88" s="11">
        <v>0</v>
      </c>
      <c r="E88" s="11">
        <v>0</v>
      </c>
      <c r="F88" s="10">
        <v>0</v>
      </c>
      <c r="G88" s="11">
        <v>0</v>
      </c>
      <c r="H88" s="33">
        <f t="shared" si="10"/>
        <v>0</v>
      </c>
      <c r="I88" s="1"/>
      <c r="J88" s="1"/>
      <c r="K88" s="1"/>
      <c r="L88" s="1"/>
      <c r="M88" s="176"/>
      <c r="U88" s="1"/>
      <c r="V88" s="1"/>
    </row>
    <row r="89" spans="1:22" x14ac:dyDescent="0.25">
      <c r="A89" s="81" t="s">
        <v>108</v>
      </c>
      <c r="B89" s="82">
        <v>85</v>
      </c>
      <c r="C89" s="83">
        <v>598</v>
      </c>
      <c r="D89" s="82">
        <v>391</v>
      </c>
      <c r="E89" s="82">
        <v>25</v>
      </c>
      <c r="F89" s="85">
        <v>0</v>
      </c>
      <c r="G89" s="82">
        <v>1</v>
      </c>
      <c r="H89" s="84">
        <f>SUM(B89:G89)</f>
        <v>1100</v>
      </c>
      <c r="I89" s="1"/>
      <c r="J89" s="1"/>
      <c r="K89" s="1"/>
      <c r="L89" s="1"/>
      <c r="M89" s="176"/>
      <c r="U89" s="1"/>
      <c r="V89" s="1"/>
    </row>
    <row r="90" spans="1:22" x14ac:dyDescent="0.25">
      <c r="A90" s="32" t="s">
        <v>63</v>
      </c>
      <c r="B90" s="31">
        <v>1</v>
      </c>
      <c r="C90" s="20">
        <v>0</v>
      </c>
      <c r="D90" s="31">
        <v>1</v>
      </c>
      <c r="E90" s="31">
        <v>0</v>
      </c>
      <c r="F90" s="20">
        <v>0</v>
      </c>
      <c r="G90" s="31">
        <v>0</v>
      </c>
      <c r="H90" s="26">
        <f t="shared" si="10"/>
        <v>2</v>
      </c>
      <c r="I90" s="1"/>
      <c r="J90" s="1"/>
      <c r="K90" s="1"/>
      <c r="L90" s="1"/>
      <c r="M90" s="176"/>
      <c r="U90" s="1"/>
      <c r="V90" s="1"/>
    </row>
    <row r="91" spans="1:22" x14ac:dyDescent="0.25">
      <c r="A91" s="22" t="s">
        <v>153</v>
      </c>
      <c r="B91" s="11">
        <v>0</v>
      </c>
      <c r="C91" s="10">
        <v>0</v>
      </c>
      <c r="D91" s="11">
        <v>0</v>
      </c>
      <c r="E91" s="11">
        <v>0</v>
      </c>
      <c r="F91" s="10">
        <v>0</v>
      </c>
      <c r="G91" s="11">
        <v>0</v>
      </c>
      <c r="H91" s="26">
        <f t="shared" si="10"/>
        <v>0</v>
      </c>
      <c r="I91" s="1"/>
      <c r="J91" s="1"/>
      <c r="K91" s="1"/>
      <c r="L91" s="1"/>
      <c r="M91" s="176"/>
      <c r="U91" s="1"/>
      <c r="V91" s="1"/>
    </row>
    <row r="92" spans="1:22" x14ac:dyDescent="0.25">
      <c r="A92" s="22" t="s">
        <v>107</v>
      </c>
      <c r="B92" s="11">
        <v>24</v>
      </c>
      <c r="C92" s="10">
        <v>9</v>
      </c>
      <c r="D92" s="11">
        <v>155</v>
      </c>
      <c r="E92" s="11">
        <v>5</v>
      </c>
      <c r="F92" s="10">
        <v>3</v>
      </c>
      <c r="G92" s="11">
        <v>0</v>
      </c>
      <c r="H92" s="26">
        <f>SUM(B92:G92)</f>
        <v>196</v>
      </c>
      <c r="I92" s="1"/>
      <c r="J92" s="1"/>
      <c r="K92" s="1"/>
      <c r="L92" s="1"/>
      <c r="M92" s="176"/>
      <c r="R92" s="4"/>
      <c r="S92" s="1"/>
    </row>
    <row r="93" spans="1:22" x14ac:dyDescent="0.25">
      <c r="A93" s="22" t="s">
        <v>210</v>
      </c>
      <c r="B93" s="11">
        <v>0</v>
      </c>
      <c r="C93" s="10">
        <v>0</v>
      </c>
      <c r="D93" s="11">
        <v>0</v>
      </c>
      <c r="E93" s="11">
        <v>0</v>
      </c>
      <c r="F93" s="10">
        <v>0</v>
      </c>
      <c r="G93" s="11">
        <v>0</v>
      </c>
      <c r="H93" s="26">
        <f>SUM(B93:G93)</f>
        <v>0</v>
      </c>
      <c r="I93" s="1"/>
      <c r="R93" s="4"/>
      <c r="S93" s="1"/>
    </row>
    <row r="94" spans="1:22" x14ac:dyDescent="0.25">
      <c r="A94" s="22" t="s">
        <v>182</v>
      </c>
      <c r="B94" s="11">
        <v>13</v>
      </c>
      <c r="C94" s="10">
        <v>0</v>
      </c>
      <c r="D94" s="11">
        <v>36</v>
      </c>
      <c r="E94" s="11">
        <v>2</v>
      </c>
      <c r="F94" s="10">
        <v>0</v>
      </c>
      <c r="G94" s="11">
        <v>0</v>
      </c>
      <c r="H94" s="26">
        <f t="shared" si="10"/>
        <v>51</v>
      </c>
      <c r="I94" s="1"/>
      <c r="R94" s="4"/>
      <c r="S94" s="1"/>
    </row>
    <row r="95" spans="1:22" x14ac:dyDescent="0.25">
      <c r="A95" s="73" t="s">
        <v>3</v>
      </c>
      <c r="B95" s="74">
        <f>SUM(B96:B155)</f>
        <v>904</v>
      </c>
      <c r="C95" s="74">
        <f t="shared" ref="C95:G95" si="13">SUM(C96:C155)</f>
        <v>757</v>
      </c>
      <c r="D95" s="74">
        <f t="shared" si="13"/>
        <v>2507</v>
      </c>
      <c r="E95" s="74">
        <f t="shared" si="13"/>
        <v>25</v>
      </c>
      <c r="F95" s="74">
        <f t="shared" si="13"/>
        <v>65</v>
      </c>
      <c r="G95" s="74">
        <f t="shared" si="13"/>
        <v>0</v>
      </c>
      <c r="H95" s="75">
        <f t="shared" si="10"/>
        <v>4258</v>
      </c>
      <c r="I95" s="1"/>
      <c r="R95" s="4"/>
      <c r="S95" s="1"/>
    </row>
    <row r="96" spans="1:22" x14ac:dyDescent="0.25">
      <c r="A96" s="7" t="s">
        <v>113</v>
      </c>
      <c r="B96" s="11">
        <v>83</v>
      </c>
      <c r="C96" s="11">
        <v>213</v>
      </c>
      <c r="D96" s="11">
        <v>349</v>
      </c>
      <c r="E96" s="11">
        <v>1</v>
      </c>
      <c r="F96" s="17">
        <v>5</v>
      </c>
      <c r="G96" s="11">
        <v>0</v>
      </c>
      <c r="H96" s="14">
        <f t="shared" si="10"/>
        <v>651</v>
      </c>
      <c r="I96" s="1"/>
      <c r="R96" s="4"/>
      <c r="S96" s="1"/>
    </row>
    <row r="97" spans="1:19" x14ac:dyDescent="0.25">
      <c r="A97" s="7" t="s">
        <v>112</v>
      </c>
      <c r="B97" s="11">
        <v>0</v>
      </c>
      <c r="C97" s="11">
        <v>0</v>
      </c>
      <c r="D97" s="11">
        <v>0</v>
      </c>
      <c r="E97" s="11">
        <v>0</v>
      </c>
      <c r="F97" s="17">
        <v>0</v>
      </c>
      <c r="G97" s="11">
        <v>0</v>
      </c>
      <c r="H97" s="27">
        <f t="shared" si="10"/>
        <v>0</v>
      </c>
      <c r="I97" s="1"/>
      <c r="R97" s="4"/>
      <c r="S97" s="1"/>
    </row>
    <row r="98" spans="1:19" x14ac:dyDescent="0.25">
      <c r="A98" s="7" t="s">
        <v>41</v>
      </c>
      <c r="B98" s="11">
        <v>0</v>
      </c>
      <c r="C98" s="11">
        <v>0</v>
      </c>
      <c r="D98" s="11">
        <v>0</v>
      </c>
      <c r="E98" s="11">
        <v>0</v>
      </c>
      <c r="F98" s="17">
        <v>0</v>
      </c>
      <c r="G98" s="11">
        <v>0</v>
      </c>
      <c r="H98" s="27">
        <f t="shared" si="10"/>
        <v>0</v>
      </c>
      <c r="I98" s="1"/>
      <c r="R98" s="4"/>
      <c r="S98" s="1"/>
    </row>
    <row r="99" spans="1:19" x14ac:dyDescent="0.25">
      <c r="A99" s="7" t="s">
        <v>192</v>
      </c>
      <c r="B99" s="11">
        <v>0</v>
      </c>
      <c r="C99" s="11">
        <v>0</v>
      </c>
      <c r="D99" s="11">
        <v>0</v>
      </c>
      <c r="E99" s="11">
        <v>0</v>
      </c>
      <c r="F99" s="17">
        <v>0</v>
      </c>
      <c r="G99" s="11">
        <v>0</v>
      </c>
      <c r="H99" s="27">
        <f t="shared" si="10"/>
        <v>0</v>
      </c>
      <c r="I99" s="1"/>
      <c r="R99" s="4"/>
      <c r="S99" s="1"/>
    </row>
    <row r="100" spans="1:19" x14ac:dyDescent="0.25">
      <c r="A100" s="7" t="s">
        <v>213</v>
      </c>
      <c r="B100" s="11">
        <v>0</v>
      </c>
      <c r="C100" s="11">
        <v>0</v>
      </c>
      <c r="D100" s="11">
        <v>0</v>
      </c>
      <c r="E100" s="11">
        <v>0</v>
      </c>
      <c r="F100" s="17">
        <v>0</v>
      </c>
      <c r="G100" s="11">
        <v>0</v>
      </c>
      <c r="H100" s="27">
        <f t="shared" si="10"/>
        <v>0</v>
      </c>
      <c r="I100" s="1"/>
      <c r="R100" s="4"/>
      <c r="S100" s="1"/>
    </row>
    <row r="101" spans="1:19" x14ac:dyDescent="0.25">
      <c r="A101" s="7" t="s">
        <v>214</v>
      </c>
      <c r="B101" s="11">
        <v>0</v>
      </c>
      <c r="C101" s="11">
        <v>0</v>
      </c>
      <c r="D101" s="11">
        <v>0</v>
      </c>
      <c r="E101" s="11">
        <v>0</v>
      </c>
      <c r="F101" s="17">
        <v>0</v>
      </c>
      <c r="G101" s="11">
        <v>0</v>
      </c>
      <c r="H101" s="27">
        <f t="shared" si="10"/>
        <v>0</v>
      </c>
      <c r="I101" s="1"/>
      <c r="R101" s="4"/>
      <c r="S101" s="1"/>
    </row>
    <row r="102" spans="1:19" x14ac:dyDescent="0.25">
      <c r="A102" s="7" t="s">
        <v>215</v>
      </c>
      <c r="B102" s="11">
        <v>0</v>
      </c>
      <c r="C102" s="11">
        <v>0</v>
      </c>
      <c r="D102" s="11">
        <v>0</v>
      </c>
      <c r="E102" s="11">
        <v>0</v>
      </c>
      <c r="F102" s="17">
        <v>0</v>
      </c>
      <c r="G102" s="11">
        <v>0</v>
      </c>
      <c r="H102" s="27">
        <f t="shared" si="10"/>
        <v>0</v>
      </c>
      <c r="I102" s="1"/>
      <c r="R102" s="4"/>
      <c r="S102" s="1"/>
    </row>
    <row r="103" spans="1:19" x14ac:dyDescent="0.25">
      <c r="A103" s="7" t="s">
        <v>219</v>
      </c>
      <c r="B103" s="11">
        <v>0</v>
      </c>
      <c r="C103" s="11">
        <v>0</v>
      </c>
      <c r="D103" s="11">
        <v>0</v>
      </c>
      <c r="E103" s="11">
        <v>0</v>
      </c>
      <c r="F103" s="17">
        <v>0</v>
      </c>
      <c r="G103" s="11">
        <v>0</v>
      </c>
      <c r="H103" s="27">
        <f t="shared" si="10"/>
        <v>0</v>
      </c>
      <c r="I103" s="1"/>
      <c r="R103" s="4"/>
      <c r="S103" s="1"/>
    </row>
    <row r="104" spans="1:19" x14ac:dyDescent="0.25">
      <c r="A104" s="7" t="s">
        <v>220</v>
      </c>
      <c r="B104" s="11">
        <v>0</v>
      </c>
      <c r="C104" s="11">
        <v>0</v>
      </c>
      <c r="D104" s="11">
        <v>0</v>
      </c>
      <c r="E104" s="11">
        <v>0</v>
      </c>
      <c r="F104" s="17">
        <v>0</v>
      </c>
      <c r="G104" s="11">
        <v>0</v>
      </c>
      <c r="H104" s="27">
        <f t="shared" si="10"/>
        <v>0</v>
      </c>
      <c r="I104" s="1"/>
      <c r="R104" s="4"/>
      <c r="S104" s="1"/>
    </row>
    <row r="105" spans="1:19" x14ac:dyDescent="0.25">
      <c r="A105" s="7" t="s">
        <v>216</v>
      </c>
      <c r="B105" s="11">
        <v>0</v>
      </c>
      <c r="C105" s="11">
        <v>0</v>
      </c>
      <c r="D105" s="11">
        <v>0</v>
      </c>
      <c r="E105" s="11">
        <v>0</v>
      </c>
      <c r="F105" s="17">
        <v>0</v>
      </c>
      <c r="G105" s="11">
        <v>0</v>
      </c>
      <c r="H105" s="27">
        <f t="shared" si="10"/>
        <v>0</v>
      </c>
      <c r="I105" s="1"/>
      <c r="R105" s="4"/>
      <c r="S105" s="1"/>
    </row>
    <row r="106" spans="1:19" x14ac:dyDescent="0.25">
      <c r="A106" s="7" t="s">
        <v>174</v>
      </c>
      <c r="B106" s="11">
        <v>4</v>
      </c>
      <c r="C106" s="11">
        <v>0</v>
      </c>
      <c r="D106" s="11">
        <v>33</v>
      </c>
      <c r="E106" s="11">
        <v>0</v>
      </c>
      <c r="F106" s="17">
        <v>1</v>
      </c>
      <c r="G106" s="11">
        <v>0</v>
      </c>
      <c r="H106" s="27">
        <f t="shared" si="10"/>
        <v>38</v>
      </c>
      <c r="I106" s="1"/>
      <c r="R106" s="4"/>
      <c r="S106" s="1"/>
    </row>
    <row r="107" spans="1:19" x14ac:dyDescent="0.25">
      <c r="A107" s="7" t="s">
        <v>175</v>
      </c>
      <c r="B107" s="11">
        <v>4</v>
      </c>
      <c r="C107" s="11">
        <v>0</v>
      </c>
      <c r="D107" s="11">
        <v>33</v>
      </c>
      <c r="E107" s="19">
        <v>0</v>
      </c>
      <c r="F107" s="17">
        <v>0</v>
      </c>
      <c r="G107" s="11">
        <v>0</v>
      </c>
      <c r="H107" s="27">
        <f t="shared" si="10"/>
        <v>37</v>
      </c>
      <c r="I107" s="1"/>
      <c r="R107" s="4"/>
      <c r="S107" s="1"/>
    </row>
    <row r="108" spans="1:19" x14ac:dyDescent="0.25">
      <c r="A108" s="177" t="s">
        <v>109</v>
      </c>
      <c r="B108" s="177"/>
      <c r="C108" s="177"/>
      <c r="D108" s="177"/>
      <c r="E108" s="177"/>
      <c r="F108" s="177"/>
      <c r="G108" s="177"/>
      <c r="H108" s="177"/>
      <c r="I108" s="1"/>
      <c r="R108" s="4"/>
      <c r="S108" s="1"/>
    </row>
    <row r="109" spans="1:19" x14ac:dyDescent="0.25">
      <c r="A109" s="7" t="s">
        <v>123</v>
      </c>
      <c r="B109" s="11">
        <v>14</v>
      </c>
      <c r="C109" s="11">
        <v>33</v>
      </c>
      <c r="D109" s="11">
        <v>67</v>
      </c>
      <c r="E109" s="11">
        <v>0</v>
      </c>
      <c r="F109" s="11">
        <v>8</v>
      </c>
      <c r="G109" s="11">
        <v>0</v>
      </c>
      <c r="H109" s="28">
        <f t="shared" si="10"/>
        <v>122</v>
      </c>
      <c r="I109" s="1"/>
      <c r="R109" s="4"/>
      <c r="S109" s="1"/>
    </row>
    <row r="110" spans="1:19" x14ac:dyDescent="0.25">
      <c r="A110" s="7" t="s">
        <v>122</v>
      </c>
      <c r="B110" s="11">
        <v>70</v>
      </c>
      <c r="C110" s="11">
        <v>207</v>
      </c>
      <c r="D110" s="10">
        <v>388</v>
      </c>
      <c r="E110" s="11">
        <v>2</v>
      </c>
      <c r="F110" s="11">
        <v>13</v>
      </c>
      <c r="G110" s="11">
        <v>0</v>
      </c>
      <c r="H110" s="14">
        <f t="shared" si="10"/>
        <v>680</v>
      </c>
      <c r="I110" s="1"/>
      <c r="J110" s="176"/>
      <c r="K110" s="176"/>
      <c r="R110" s="4"/>
      <c r="S110" s="1"/>
    </row>
    <row r="111" spans="1:19" x14ac:dyDescent="0.25">
      <c r="A111" s="7" t="s">
        <v>121</v>
      </c>
      <c r="B111" s="11">
        <v>56</v>
      </c>
      <c r="C111" s="11">
        <v>80</v>
      </c>
      <c r="D111" s="11">
        <v>197</v>
      </c>
      <c r="E111" s="11">
        <v>2</v>
      </c>
      <c r="F111" s="11">
        <v>7</v>
      </c>
      <c r="G111" s="11">
        <v>0</v>
      </c>
      <c r="H111" s="14">
        <f t="shared" si="10"/>
        <v>342</v>
      </c>
      <c r="I111" s="1"/>
      <c r="J111" s="176"/>
      <c r="K111" s="176"/>
      <c r="R111" s="4"/>
      <c r="S111" s="1"/>
    </row>
    <row r="112" spans="1:19" x14ac:dyDescent="0.25">
      <c r="A112" s="7" t="s">
        <v>120</v>
      </c>
      <c r="B112" s="11">
        <v>68</v>
      </c>
      <c r="C112" s="11">
        <v>56</v>
      </c>
      <c r="D112" s="11">
        <v>172</v>
      </c>
      <c r="E112" s="11">
        <v>1</v>
      </c>
      <c r="F112" s="11">
        <v>6</v>
      </c>
      <c r="G112" s="11">
        <v>0</v>
      </c>
      <c r="H112" s="14">
        <f t="shared" si="10"/>
        <v>303</v>
      </c>
      <c r="I112" s="1"/>
      <c r="R112" s="4"/>
      <c r="S112" s="1"/>
    </row>
    <row r="113" spans="1:19" x14ac:dyDescent="0.25">
      <c r="A113" s="7" t="s">
        <v>124</v>
      </c>
      <c r="B113" s="11">
        <v>19</v>
      </c>
      <c r="C113" s="11">
        <v>0</v>
      </c>
      <c r="D113" s="11">
        <v>24</v>
      </c>
      <c r="E113" s="11">
        <v>0</v>
      </c>
      <c r="F113" s="11">
        <v>0</v>
      </c>
      <c r="G113" s="11">
        <v>0</v>
      </c>
      <c r="H113" s="14">
        <f t="shared" si="10"/>
        <v>43</v>
      </c>
      <c r="I113" s="1"/>
      <c r="R113" s="4"/>
      <c r="S113" s="1"/>
    </row>
    <row r="114" spans="1:19" x14ac:dyDescent="0.25">
      <c r="A114" s="7" t="s">
        <v>48</v>
      </c>
      <c r="B114" s="11">
        <v>2</v>
      </c>
      <c r="C114" s="11">
        <v>2</v>
      </c>
      <c r="D114" s="11">
        <v>1</v>
      </c>
      <c r="E114" s="11">
        <v>0</v>
      </c>
      <c r="F114" s="11">
        <v>0</v>
      </c>
      <c r="G114" s="11">
        <v>0</v>
      </c>
      <c r="H114" s="14">
        <f>SUM(B114:G114)</f>
        <v>5</v>
      </c>
      <c r="I114" s="1"/>
      <c r="R114" s="4"/>
      <c r="S114" s="1"/>
    </row>
    <row r="115" spans="1:19" x14ac:dyDescent="0.25">
      <c r="A115" s="173" t="s">
        <v>110</v>
      </c>
      <c r="B115" s="174"/>
      <c r="C115" s="174"/>
      <c r="D115" s="174"/>
      <c r="E115" s="174"/>
      <c r="F115" s="174"/>
      <c r="G115" s="174"/>
      <c r="H115" s="175"/>
      <c r="I115" s="1"/>
      <c r="R115" s="4"/>
      <c r="S115" s="1"/>
    </row>
    <row r="116" spans="1:19" x14ac:dyDescent="0.25">
      <c r="A116" s="32" t="s">
        <v>111</v>
      </c>
      <c r="B116" s="42">
        <v>52</v>
      </c>
      <c r="C116" s="31">
        <v>2</v>
      </c>
      <c r="D116" s="31">
        <v>257</v>
      </c>
      <c r="E116" s="31">
        <v>1</v>
      </c>
      <c r="F116" s="42">
        <v>1</v>
      </c>
      <c r="G116" s="31">
        <v>0</v>
      </c>
      <c r="H116" s="26">
        <f t="shared" ref="H116:H152" si="14">SUM(B116:G116)</f>
        <v>313</v>
      </c>
      <c r="I116" s="1"/>
      <c r="R116" s="4"/>
      <c r="S116" s="1"/>
    </row>
    <row r="117" spans="1:19" x14ac:dyDescent="0.25">
      <c r="A117" s="22" t="s">
        <v>158</v>
      </c>
      <c r="B117" s="23">
        <v>12</v>
      </c>
      <c r="C117" s="11">
        <v>0</v>
      </c>
      <c r="D117" s="11">
        <v>21</v>
      </c>
      <c r="E117" s="11">
        <v>0</v>
      </c>
      <c r="F117" s="23">
        <v>0</v>
      </c>
      <c r="G117" s="11">
        <v>0</v>
      </c>
      <c r="H117" s="26">
        <f t="shared" si="14"/>
        <v>33</v>
      </c>
      <c r="I117" s="1"/>
      <c r="R117" s="4"/>
      <c r="S117" s="1"/>
    </row>
    <row r="118" spans="1:19" x14ac:dyDescent="0.25">
      <c r="A118" s="22" t="s">
        <v>156</v>
      </c>
      <c r="B118" s="23">
        <v>4</v>
      </c>
      <c r="C118" s="11">
        <v>0</v>
      </c>
      <c r="D118" s="11">
        <v>4</v>
      </c>
      <c r="E118" s="11">
        <v>0</v>
      </c>
      <c r="F118" s="23">
        <v>0</v>
      </c>
      <c r="G118" s="11">
        <v>0</v>
      </c>
      <c r="H118" s="26">
        <f t="shared" si="14"/>
        <v>8</v>
      </c>
      <c r="I118" s="1"/>
      <c r="R118" s="4"/>
      <c r="S118" s="1"/>
    </row>
    <row r="119" spans="1:19" x14ac:dyDescent="0.25">
      <c r="A119" s="22" t="s">
        <v>187</v>
      </c>
      <c r="B119" s="23">
        <v>0</v>
      </c>
      <c r="C119" s="11">
        <v>0</v>
      </c>
      <c r="D119" s="11">
        <v>0</v>
      </c>
      <c r="E119" s="11">
        <v>0</v>
      </c>
      <c r="F119" s="23">
        <v>0</v>
      </c>
      <c r="G119" s="11">
        <v>0</v>
      </c>
      <c r="H119" s="26">
        <f t="shared" si="14"/>
        <v>0</v>
      </c>
      <c r="I119" s="1"/>
      <c r="R119" s="4"/>
      <c r="S119" s="1"/>
    </row>
    <row r="120" spans="1:19" x14ac:dyDescent="0.25">
      <c r="A120" s="22" t="s">
        <v>157</v>
      </c>
      <c r="B120" s="23">
        <v>18</v>
      </c>
      <c r="C120" s="11">
        <v>0</v>
      </c>
      <c r="D120" s="11">
        <v>25</v>
      </c>
      <c r="E120" s="11">
        <v>1</v>
      </c>
      <c r="F120" s="23">
        <v>0</v>
      </c>
      <c r="G120" s="11">
        <v>0</v>
      </c>
      <c r="H120" s="26">
        <f t="shared" si="14"/>
        <v>44</v>
      </c>
      <c r="I120" s="1"/>
      <c r="R120" s="4"/>
      <c r="S120" s="1"/>
    </row>
    <row r="121" spans="1:19" x14ac:dyDescent="0.25">
      <c r="A121" s="22" t="s">
        <v>125</v>
      </c>
      <c r="B121" s="23">
        <v>10</v>
      </c>
      <c r="C121" s="11">
        <v>0</v>
      </c>
      <c r="D121" s="11">
        <v>19</v>
      </c>
      <c r="E121" s="11">
        <v>0</v>
      </c>
      <c r="F121" s="23">
        <v>2</v>
      </c>
      <c r="G121" s="11">
        <v>0</v>
      </c>
      <c r="H121" s="26">
        <f t="shared" si="14"/>
        <v>31</v>
      </c>
      <c r="I121" s="1"/>
      <c r="R121" s="4"/>
      <c r="S121" s="1"/>
    </row>
    <row r="122" spans="1:19" x14ac:dyDescent="0.25">
      <c r="A122" s="22" t="s">
        <v>126</v>
      </c>
      <c r="B122" s="23">
        <v>31</v>
      </c>
      <c r="C122" s="11">
        <v>1</v>
      </c>
      <c r="D122" s="11">
        <v>34</v>
      </c>
      <c r="E122" s="11">
        <v>0</v>
      </c>
      <c r="F122" s="23">
        <v>0</v>
      </c>
      <c r="G122" s="11">
        <v>0</v>
      </c>
      <c r="H122" s="26">
        <f t="shared" si="14"/>
        <v>66</v>
      </c>
      <c r="I122" s="1"/>
      <c r="R122" s="4"/>
      <c r="S122" s="1"/>
    </row>
    <row r="123" spans="1:19" x14ac:dyDescent="0.25">
      <c r="A123" s="22" t="s">
        <v>103</v>
      </c>
      <c r="B123" s="23">
        <v>26</v>
      </c>
      <c r="C123" s="11">
        <v>1</v>
      </c>
      <c r="D123" s="11">
        <v>52</v>
      </c>
      <c r="E123" s="11">
        <v>1</v>
      </c>
      <c r="F123" s="23">
        <v>1</v>
      </c>
      <c r="G123" s="11">
        <v>0</v>
      </c>
      <c r="H123" s="26">
        <f t="shared" si="14"/>
        <v>81</v>
      </c>
      <c r="I123" s="1"/>
      <c r="R123" s="4"/>
      <c r="S123" s="1"/>
    </row>
    <row r="124" spans="1:19" x14ac:dyDescent="0.25">
      <c r="A124" s="22" t="s">
        <v>127</v>
      </c>
      <c r="B124" s="23">
        <v>0</v>
      </c>
      <c r="C124" s="11">
        <v>0</v>
      </c>
      <c r="D124" s="11">
        <v>0</v>
      </c>
      <c r="E124" s="11">
        <v>0</v>
      </c>
      <c r="F124" s="23">
        <v>0</v>
      </c>
      <c r="G124" s="11">
        <v>0</v>
      </c>
      <c r="H124" s="26">
        <f t="shared" si="14"/>
        <v>0</v>
      </c>
      <c r="I124" s="1"/>
      <c r="R124" s="4"/>
      <c r="S124" s="1"/>
    </row>
    <row r="125" spans="1:19" x14ac:dyDescent="0.25">
      <c r="A125" s="22" t="s">
        <v>128</v>
      </c>
      <c r="B125" s="23">
        <v>12</v>
      </c>
      <c r="C125" s="11">
        <v>0</v>
      </c>
      <c r="D125" s="11">
        <v>22</v>
      </c>
      <c r="E125" s="11">
        <v>0</v>
      </c>
      <c r="F125" s="23">
        <v>0</v>
      </c>
      <c r="G125" s="11">
        <v>0</v>
      </c>
      <c r="H125" s="26">
        <f t="shared" si="14"/>
        <v>34</v>
      </c>
      <c r="I125" s="1"/>
      <c r="R125" s="4"/>
      <c r="S125" s="1"/>
    </row>
    <row r="126" spans="1:19" x14ac:dyDescent="0.25">
      <c r="A126" s="22" t="s">
        <v>129</v>
      </c>
      <c r="B126" s="23">
        <v>28</v>
      </c>
      <c r="C126" s="11">
        <v>1</v>
      </c>
      <c r="D126" s="11">
        <v>39</v>
      </c>
      <c r="E126" s="11">
        <v>0</v>
      </c>
      <c r="F126" s="23">
        <v>0</v>
      </c>
      <c r="G126" s="11">
        <v>0</v>
      </c>
      <c r="H126" s="26">
        <f t="shared" si="14"/>
        <v>68</v>
      </c>
      <c r="I126" s="1"/>
      <c r="R126" s="4"/>
      <c r="S126" s="1"/>
    </row>
    <row r="127" spans="1:19" x14ac:dyDescent="0.25">
      <c r="A127" s="22" t="s">
        <v>44</v>
      </c>
      <c r="B127" s="23">
        <v>11</v>
      </c>
      <c r="C127" s="11">
        <v>2</v>
      </c>
      <c r="D127" s="11">
        <v>68</v>
      </c>
      <c r="E127" s="11">
        <v>1</v>
      </c>
      <c r="F127" s="23">
        <v>2</v>
      </c>
      <c r="G127" s="11">
        <v>0</v>
      </c>
      <c r="H127" s="26">
        <f t="shared" si="14"/>
        <v>84</v>
      </c>
      <c r="I127" s="1"/>
      <c r="R127" s="4"/>
      <c r="S127" s="1"/>
    </row>
    <row r="128" spans="1:19" x14ac:dyDescent="0.25">
      <c r="A128" s="22" t="s">
        <v>92</v>
      </c>
      <c r="B128" s="23">
        <v>5</v>
      </c>
      <c r="C128" s="11">
        <v>0</v>
      </c>
      <c r="D128" s="11">
        <v>34</v>
      </c>
      <c r="E128" s="11">
        <v>1</v>
      </c>
      <c r="F128" s="23">
        <v>2</v>
      </c>
      <c r="G128" s="11">
        <v>0</v>
      </c>
      <c r="H128" s="26">
        <f t="shared" si="14"/>
        <v>42</v>
      </c>
      <c r="I128" s="1"/>
      <c r="R128" s="4"/>
      <c r="S128" s="1"/>
    </row>
    <row r="129" spans="1:19" x14ac:dyDescent="0.25">
      <c r="A129" s="22" t="s">
        <v>45</v>
      </c>
      <c r="B129" s="23">
        <v>0</v>
      </c>
      <c r="C129" s="11">
        <v>0</v>
      </c>
      <c r="D129" s="11">
        <v>0</v>
      </c>
      <c r="E129" s="11">
        <v>0</v>
      </c>
      <c r="F129" s="23">
        <v>0</v>
      </c>
      <c r="G129" s="11">
        <v>0</v>
      </c>
      <c r="H129" s="26">
        <f t="shared" si="14"/>
        <v>0</v>
      </c>
      <c r="I129" s="1"/>
      <c r="R129" s="4"/>
      <c r="S129" s="1"/>
    </row>
    <row r="130" spans="1:19" x14ac:dyDescent="0.25">
      <c r="A130" s="22" t="s">
        <v>99</v>
      </c>
      <c r="B130" s="23">
        <v>69</v>
      </c>
      <c r="C130" s="11">
        <v>43</v>
      </c>
      <c r="D130" s="11">
        <v>9</v>
      </c>
      <c r="E130" s="11">
        <v>0</v>
      </c>
      <c r="F130" s="23">
        <v>1</v>
      </c>
      <c r="G130" s="11">
        <v>0</v>
      </c>
      <c r="H130" s="26">
        <f t="shared" si="14"/>
        <v>122</v>
      </c>
      <c r="I130" s="1"/>
      <c r="R130" s="4"/>
      <c r="S130" s="1"/>
    </row>
    <row r="131" spans="1:19" x14ac:dyDescent="0.25">
      <c r="A131" s="22" t="s">
        <v>100</v>
      </c>
      <c r="B131" s="23">
        <v>5</v>
      </c>
      <c r="C131" s="11">
        <v>0</v>
      </c>
      <c r="D131" s="11">
        <v>22</v>
      </c>
      <c r="E131" s="11">
        <v>0</v>
      </c>
      <c r="F131" s="23">
        <v>1</v>
      </c>
      <c r="G131" s="11">
        <v>0</v>
      </c>
      <c r="H131" s="26">
        <f t="shared" si="14"/>
        <v>28</v>
      </c>
      <c r="I131" s="1"/>
      <c r="R131" s="4"/>
      <c r="S131" s="1"/>
    </row>
    <row r="132" spans="1:19" x14ac:dyDescent="0.25">
      <c r="A132" s="22" t="s">
        <v>46</v>
      </c>
      <c r="B132" s="23">
        <v>5</v>
      </c>
      <c r="C132" s="11">
        <v>0</v>
      </c>
      <c r="D132" s="11">
        <v>6</v>
      </c>
      <c r="E132" s="11">
        <v>0</v>
      </c>
      <c r="F132" s="23">
        <v>0</v>
      </c>
      <c r="G132" s="11">
        <v>0</v>
      </c>
      <c r="H132" s="26">
        <f t="shared" si="14"/>
        <v>11</v>
      </c>
      <c r="I132" s="1"/>
      <c r="R132" s="4"/>
      <c r="S132" s="1"/>
    </row>
    <row r="133" spans="1:19" x14ac:dyDescent="0.25">
      <c r="A133" s="22" t="s">
        <v>47</v>
      </c>
      <c r="B133" s="23">
        <v>0</v>
      </c>
      <c r="C133" s="11">
        <v>0</v>
      </c>
      <c r="D133" s="11">
        <v>0</v>
      </c>
      <c r="E133" s="11">
        <v>0</v>
      </c>
      <c r="F133" s="23">
        <v>0</v>
      </c>
      <c r="G133" s="11">
        <v>0</v>
      </c>
      <c r="H133" s="26">
        <f t="shared" si="14"/>
        <v>0</v>
      </c>
      <c r="I133" s="1"/>
      <c r="R133" s="4"/>
      <c r="S133" s="1"/>
    </row>
    <row r="134" spans="1:19" x14ac:dyDescent="0.25">
      <c r="A134" s="22" t="s">
        <v>53</v>
      </c>
      <c r="B134" s="23">
        <v>0</v>
      </c>
      <c r="C134" s="11">
        <v>0</v>
      </c>
      <c r="D134" s="11">
        <v>0</v>
      </c>
      <c r="E134" s="11">
        <v>0</v>
      </c>
      <c r="F134" s="23">
        <v>0</v>
      </c>
      <c r="G134" s="11">
        <v>0</v>
      </c>
      <c r="H134" s="26">
        <f t="shared" si="14"/>
        <v>0</v>
      </c>
      <c r="I134" s="1"/>
      <c r="R134" s="4"/>
      <c r="S134" s="1"/>
    </row>
    <row r="135" spans="1:19" x14ac:dyDescent="0.25">
      <c r="A135" s="22" t="s">
        <v>134</v>
      </c>
      <c r="B135" s="23">
        <v>54</v>
      </c>
      <c r="C135" s="11">
        <v>10</v>
      </c>
      <c r="D135" s="11">
        <v>105</v>
      </c>
      <c r="E135" s="11">
        <v>0</v>
      </c>
      <c r="F135" s="23">
        <v>2</v>
      </c>
      <c r="G135" s="11">
        <v>0</v>
      </c>
      <c r="H135" s="26">
        <f t="shared" si="14"/>
        <v>171</v>
      </c>
      <c r="I135" s="1"/>
      <c r="R135" s="4"/>
      <c r="S135" s="1"/>
    </row>
    <row r="136" spans="1:19" x14ac:dyDescent="0.25">
      <c r="A136" s="22" t="s">
        <v>135</v>
      </c>
      <c r="B136" s="23">
        <v>61</v>
      </c>
      <c r="C136" s="11">
        <v>12</v>
      </c>
      <c r="D136" s="11">
        <v>168</v>
      </c>
      <c r="E136" s="11">
        <v>4</v>
      </c>
      <c r="F136" s="23">
        <v>6</v>
      </c>
      <c r="G136" s="11">
        <v>0</v>
      </c>
      <c r="H136" s="26">
        <f t="shared" si="14"/>
        <v>251</v>
      </c>
      <c r="I136" s="1"/>
      <c r="R136" s="4"/>
      <c r="S136" s="1"/>
    </row>
    <row r="137" spans="1:19" x14ac:dyDescent="0.25">
      <c r="A137" s="22" t="s">
        <v>49</v>
      </c>
      <c r="B137" s="23">
        <v>61</v>
      </c>
      <c r="C137" s="11">
        <v>12</v>
      </c>
      <c r="D137" s="11">
        <v>175</v>
      </c>
      <c r="E137" s="11">
        <v>4</v>
      </c>
      <c r="F137" s="23">
        <v>6</v>
      </c>
      <c r="G137" s="11">
        <v>0</v>
      </c>
      <c r="H137" s="26">
        <f t="shared" si="14"/>
        <v>258</v>
      </c>
      <c r="I137" s="1"/>
      <c r="R137" s="4"/>
      <c r="S137" s="1"/>
    </row>
    <row r="138" spans="1:19" x14ac:dyDescent="0.25">
      <c r="A138" s="22" t="s">
        <v>189</v>
      </c>
      <c r="B138" s="23">
        <v>10</v>
      </c>
      <c r="C138" s="11">
        <v>1</v>
      </c>
      <c r="D138" s="11">
        <v>79</v>
      </c>
      <c r="E138" s="11">
        <v>0</v>
      </c>
      <c r="F138" s="23">
        <v>0</v>
      </c>
      <c r="G138" s="11">
        <v>0</v>
      </c>
      <c r="H138" s="26">
        <f t="shared" si="14"/>
        <v>90</v>
      </c>
      <c r="I138" s="1"/>
    </row>
    <row r="139" spans="1:19" x14ac:dyDescent="0.25">
      <c r="A139" s="22" t="s">
        <v>50</v>
      </c>
      <c r="B139" s="23">
        <v>22</v>
      </c>
      <c r="C139" s="11">
        <v>74</v>
      </c>
      <c r="D139" s="11">
        <v>1</v>
      </c>
      <c r="E139" s="11">
        <v>0</v>
      </c>
      <c r="F139" s="23">
        <v>0</v>
      </c>
      <c r="G139" s="11">
        <v>0</v>
      </c>
      <c r="H139" s="26">
        <f t="shared" si="14"/>
        <v>97</v>
      </c>
      <c r="I139" s="1"/>
    </row>
    <row r="140" spans="1:19" x14ac:dyDescent="0.25">
      <c r="A140" s="22" t="s">
        <v>104</v>
      </c>
      <c r="B140" s="23">
        <v>12</v>
      </c>
      <c r="C140" s="11">
        <v>0</v>
      </c>
      <c r="D140" s="11">
        <v>7</v>
      </c>
      <c r="E140" s="11">
        <v>0</v>
      </c>
      <c r="F140" s="23">
        <v>0</v>
      </c>
      <c r="G140" s="11">
        <v>0</v>
      </c>
      <c r="H140" s="26">
        <f t="shared" si="14"/>
        <v>19</v>
      </c>
      <c r="I140" s="1"/>
    </row>
    <row r="141" spans="1:19" x14ac:dyDescent="0.25">
      <c r="A141" s="22" t="s">
        <v>51</v>
      </c>
      <c r="B141" s="23">
        <v>12</v>
      </c>
      <c r="C141" s="11">
        <v>0</v>
      </c>
      <c r="D141" s="11">
        <v>10</v>
      </c>
      <c r="E141" s="11">
        <v>0</v>
      </c>
      <c r="F141" s="23">
        <v>0</v>
      </c>
      <c r="G141" s="11">
        <v>0</v>
      </c>
      <c r="H141" s="26">
        <f t="shared" si="14"/>
        <v>22</v>
      </c>
      <c r="I141" s="1"/>
    </row>
    <row r="142" spans="1:19" x14ac:dyDescent="0.25">
      <c r="A142" s="22" t="s">
        <v>52</v>
      </c>
      <c r="B142" s="23">
        <v>4</v>
      </c>
      <c r="C142" s="11">
        <v>0</v>
      </c>
      <c r="D142" s="11">
        <v>2</v>
      </c>
      <c r="E142" s="11">
        <v>0</v>
      </c>
      <c r="F142" s="23">
        <v>0</v>
      </c>
      <c r="G142" s="11">
        <v>0</v>
      </c>
      <c r="H142" s="14">
        <f t="shared" si="14"/>
        <v>6</v>
      </c>
    </row>
    <row r="143" spans="1:19" x14ac:dyDescent="0.25">
      <c r="A143" s="22" t="s">
        <v>115</v>
      </c>
      <c r="B143" s="23">
        <v>8</v>
      </c>
      <c r="C143" s="11">
        <v>0</v>
      </c>
      <c r="D143" s="11">
        <v>3</v>
      </c>
      <c r="E143" s="11">
        <v>0</v>
      </c>
      <c r="F143" s="23">
        <v>0</v>
      </c>
      <c r="G143" s="11">
        <v>0</v>
      </c>
      <c r="H143" s="26">
        <f t="shared" si="14"/>
        <v>11</v>
      </c>
    </row>
    <row r="144" spans="1:19" x14ac:dyDescent="0.25">
      <c r="A144" s="22" t="s">
        <v>116</v>
      </c>
      <c r="B144" s="23">
        <v>4</v>
      </c>
      <c r="C144" s="11">
        <v>0</v>
      </c>
      <c r="D144" s="11">
        <v>8</v>
      </c>
      <c r="E144" s="11">
        <v>2</v>
      </c>
      <c r="F144" s="23">
        <v>0</v>
      </c>
      <c r="G144" s="11">
        <v>0</v>
      </c>
      <c r="H144" s="26">
        <f t="shared" si="14"/>
        <v>14</v>
      </c>
    </row>
    <row r="145" spans="1:8" x14ac:dyDescent="0.25">
      <c r="A145" s="22" t="s">
        <v>102</v>
      </c>
      <c r="B145" s="23">
        <v>14</v>
      </c>
      <c r="C145" s="11">
        <v>3</v>
      </c>
      <c r="D145" s="11">
        <v>0</v>
      </c>
      <c r="E145" s="11">
        <v>1</v>
      </c>
      <c r="F145" s="23">
        <v>1</v>
      </c>
      <c r="G145" s="11">
        <v>0</v>
      </c>
      <c r="H145" s="26">
        <f t="shared" si="14"/>
        <v>19</v>
      </c>
    </row>
    <row r="146" spans="1:8" x14ac:dyDescent="0.25">
      <c r="A146" s="22" t="s">
        <v>203</v>
      </c>
      <c r="B146" s="23">
        <v>8</v>
      </c>
      <c r="C146" s="11">
        <v>0</v>
      </c>
      <c r="D146" s="11">
        <v>31</v>
      </c>
      <c r="E146" s="11">
        <v>0</v>
      </c>
      <c r="F146" s="23">
        <v>0</v>
      </c>
      <c r="G146" s="11">
        <v>0</v>
      </c>
      <c r="H146" s="26">
        <f t="shared" si="14"/>
        <v>39</v>
      </c>
    </row>
    <row r="147" spans="1:8" x14ac:dyDescent="0.25">
      <c r="A147" s="22" t="s">
        <v>197</v>
      </c>
      <c r="B147" s="23">
        <v>5</v>
      </c>
      <c r="C147" s="11">
        <v>0</v>
      </c>
      <c r="D147" s="11">
        <v>3</v>
      </c>
      <c r="E147" s="11">
        <v>0</v>
      </c>
      <c r="F147" s="23">
        <v>0</v>
      </c>
      <c r="G147" s="11">
        <v>0</v>
      </c>
      <c r="H147" s="26">
        <f t="shared" si="14"/>
        <v>8</v>
      </c>
    </row>
    <row r="148" spans="1:8" x14ac:dyDescent="0.25">
      <c r="A148" s="7" t="s">
        <v>217</v>
      </c>
      <c r="B148" s="23">
        <v>0</v>
      </c>
      <c r="C148" s="11">
        <v>0</v>
      </c>
      <c r="D148" s="11">
        <v>0</v>
      </c>
      <c r="E148" s="11">
        <v>0</v>
      </c>
      <c r="F148" s="23">
        <v>0</v>
      </c>
      <c r="G148" s="11">
        <v>0</v>
      </c>
      <c r="H148" s="26">
        <f t="shared" si="14"/>
        <v>0</v>
      </c>
    </row>
    <row r="149" spans="1:8" x14ac:dyDescent="0.25">
      <c r="A149" s="7" t="s">
        <v>198</v>
      </c>
      <c r="B149" s="23">
        <v>0</v>
      </c>
      <c r="C149" s="11">
        <v>0</v>
      </c>
      <c r="D149" s="11">
        <v>4</v>
      </c>
      <c r="E149" s="11">
        <v>1</v>
      </c>
      <c r="F149" s="23">
        <v>0</v>
      </c>
      <c r="G149" s="11">
        <v>0</v>
      </c>
      <c r="H149" s="26">
        <f t="shared" si="14"/>
        <v>5</v>
      </c>
    </row>
    <row r="150" spans="1:8" x14ac:dyDescent="0.25">
      <c r="A150" s="7" t="s">
        <v>199</v>
      </c>
      <c r="B150" s="23">
        <v>0</v>
      </c>
      <c r="C150" s="11">
        <v>0</v>
      </c>
      <c r="D150" s="11">
        <v>2</v>
      </c>
      <c r="E150" s="11">
        <v>1</v>
      </c>
      <c r="F150" s="23">
        <v>0</v>
      </c>
      <c r="G150" s="11">
        <v>0</v>
      </c>
      <c r="H150" s="26">
        <f t="shared" si="14"/>
        <v>3</v>
      </c>
    </row>
    <row r="151" spans="1:8" x14ac:dyDescent="0.25">
      <c r="A151" s="7" t="s">
        <v>200</v>
      </c>
      <c r="B151" s="23">
        <v>0</v>
      </c>
      <c r="C151" s="11">
        <v>0</v>
      </c>
      <c r="D151" s="11">
        <v>0</v>
      </c>
      <c r="E151" s="11">
        <v>0</v>
      </c>
      <c r="F151" s="23">
        <v>0</v>
      </c>
      <c r="G151" s="11">
        <v>0</v>
      </c>
      <c r="H151" s="26">
        <f t="shared" si="14"/>
        <v>0</v>
      </c>
    </row>
    <row r="152" spans="1:8" x14ac:dyDescent="0.25">
      <c r="A152" s="7" t="s">
        <v>222</v>
      </c>
      <c r="B152" s="23">
        <v>0</v>
      </c>
      <c r="C152" s="11">
        <v>1</v>
      </c>
      <c r="D152" s="11">
        <v>2</v>
      </c>
      <c r="E152" s="11">
        <v>0</v>
      </c>
      <c r="F152" s="23">
        <v>0</v>
      </c>
      <c r="G152" s="11">
        <v>0</v>
      </c>
      <c r="H152" s="26">
        <f t="shared" si="14"/>
        <v>3</v>
      </c>
    </row>
    <row r="153" spans="1:8" x14ac:dyDescent="0.25">
      <c r="A153" s="7" t="s">
        <v>105</v>
      </c>
      <c r="B153" s="23">
        <v>19</v>
      </c>
      <c r="C153" s="11">
        <v>3</v>
      </c>
      <c r="D153" s="11">
        <v>29</v>
      </c>
      <c r="E153" s="11">
        <v>1</v>
      </c>
      <c r="F153" s="23">
        <v>0</v>
      </c>
      <c r="G153" s="11">
        <v>0</v>
      </c>
      <c r="H153" s="26">
        <f>SUM(B153:G153)</f>
        <v>52</v>
      </c>
    </row>
    <row r="154" spans="1:8" x14ac:dyDescent="0.25">
      <c r="A154" s="7" t="s">
        <v>206</v>
      </c>
      <c r="B154" s="23">
        <v>2</v>
      </c>
      <c r="C154" s="11">
        <v>0</v>
      </c>
      <c r="D154" s="11">
        <v>2</v>
      </c>
      <c r="E154" s="11">
        <v>0</v>
      </c>
      <c r="F154" s="23">
        <v>0</v>
      </c>
      <c r="G154" s="11">
        <v>0</v>
      </c>
      <c r="H154" s="26">
        <f t="shared" ref="H154:H155" si="15">SUM(B154:G154)</f>
        <v>4</v>
      </c>
    </row>
    <row r="155" spans="1:8" x14ac:dyDescent="0.25">
      <c r="A155" s="107" t="s">
        <v>207</v>
      </c>
      <c r="B155" s="116">
        <v>0</v>
      </c>
      <c r="C155" s="93">
        <v>0</v>
      </c>
      <c r="D155" s="93">
        <v>0</v>
      </c>
      <c r="E155" s="93">
        <v>0</v>
      </c>
      <c r="F155" s="116">
        <v>0</v>
      </c>
      <c r="G155" s="93">
        <v>0</v>
      </c>
      <c r="H155" s="26">
        <f t="shared" si="15"/>
        <v>0</v>
      </c>
    </row>
  </sheetData>
  <mergeCells count="29">
    <mergeCell ref="A3:R3"/>
    <mergeCell ref="B4:J4"/>
    <mergeCell ref="L4:R4"/>
    <mergeCell ref="A9:A10"/>
    <mergeCell ref="B9:H9"/>
    <mergeCell ref="J9:J10"/>
    <mergeCell ref="K9:Q9"/>
    <mergeCell ref="J58:P58"/>
    <mergeCell ref="J26:J27"/>
    <mergeCell ref="K26:Q26"/>
    <mergeCell ref="J39:J40"/>
    <mergeCell ref="K39:Q39"/>
    <mergeCell ref="J50:M50"/>
    <mergeCell ref="J52:Q52"/>
    <mergeCell ref="J53:P53"/>
    <mergeCell ref="J54:P54"/>
    <mergeCell ref="J55:P55"/>
    <mergeCell ref="J56:P56"/>
    <mergeCell ref="J57:P57"/>
    <mergeCell ref="J110:J111"/>
    <mergeCell ref="K110:K111"/>
    <mergeCell ref="A108:H108"/>
    <mergeCell ref="A115:H115"/>
    <mergeCell ref="J59:P59"/>
    <mergeCell ref="J60:P60"/>
    <mergeCell ref="J61:P61"/>
    <mergeCell ref="J62:P62"/>
    <mergeCell ref="M86:M92"/>
    <mergeCell ref="N86:P86"/>
  </mergeCells>
  <pageMargins left="0.23622047244094491" right="0.23622047244094491" top="0.35433070866141736" bottom="0.35433070866141736" header="0.31496062992125984" footer="0.31496062992125984"/>
  <pageSetup paperSize="9" scale="55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168"/>
  <sheetViews>
    <sheetView zoomScale="80" zoomScaleNormal="80" workbookViewId="0">
      <selection activeCell="F25" sqref="F25"/>
    </sheetView>
  </sheetViews>
  <sheetFormatPr baseColWidth="10" defaultRowHeight="15" x14ac:dyDescent="0.25"/>
  <cols>
    <col min="1" max="1" width="49.85546875" customWidth="1"/>
    <col min="2" max="6" width="9.85546875" customWidth="1"/>
    <col min="7" max="7" width="13.5703125" customWidth="1"/>
    <col min="8" max="8" width="9.28515625" customWidth="1"/>
    <col min="9" max="9" width="9.42578125" customWidth="1"/>
    <col min="10" max="10" width="43.7109375" customWidth="1"/>
    <col min="11" max="15" width="9.28515625" customWidth="1"/>
    <col min="16" max="16" width="10.42578125" customWidth="1"/>
    <col min="17" max="17" width="10" customWidth="1"/>
    <col min="18" max="18" width="2.85546875" customWidth="1"/>
  </cols>
  <sheetData>
    <row r="3" spans="1:19" ht="26.25" x14ac:dyDescent="0.25">
      <c r="A3" s="161"/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"/>
    </row>
    <row r="4" spans="1:19" ht="15.75" x14ac:dyDescent="0.25">
      <c r="A4" s="1" t="s">
        <v>12</v>
      </c>
      <c r="B4" s="170" t="s">
        <v>16</v>
      </c>
      <c r="C4" s="171"/>
      <c r="D4" s="171"/>
      <c r="E4" s="171"/>
      <c r="F4" s="171"/>
      <c r="G4" s="171"/>
      <c r="H4" s="171"/>
      <c r="I4" s="171"/>
      <c r="J4" s="172"/>
      <c r="K4" s="9" t="s">
        <v>14</v>
      </c>
      <c r="L4" s="162" t="s">
        <v>173</v>
      </c>
      <c r="M4" s="163"/>
      <c r="N4" s="163"/>
      <c r="O4" s="163"/>
      <c r="P4" s="163"/>
      <c r="Q4" s="163"/>
      <c r="R4" s="164"/>
      <c r="S4" s="1"/>
    </row>
    <row r="5" spans="1:19" x14ac:dyDescent="0.25">
      <c r="A5" s="1"/>
      <c r="B5" s="1"/>
      <c r="C5" s="1"/>
      <c r="D5" s="10"/>
      <c r="E5" s="1"/>
      <c r="F5" s="1"/>
      <c r="G5" s="1"/>
      <c r="H5" s="1"/>
      <c r="I5" s="1"/>
      <c r="J5" s="1"/>
      <c r="K5" s="9"/>
      <c r="L5" s="10"/>
      <c r="M5" s="10"/>
      <c r="N5" s="10"/>
      <c r="O5" s="10"/>
      <c r="P5" s="10"/>
      <c r="Q5" s="10"/>
      <c r="R5" s="10"/>
      <c r="S5" s="1"/>
    </row>
    <row r="6" spans="1:19" x14ac:dyDescent="0.25">
      <c r="A6" s="1" t="s">
        <v>15</v>
      </c>
      <c r="B6" s="30">
        <v>3</v>
      </c>
      <c r="C6" s="1"/>
      <c r="D6" s="10"/>
      <c r="E6" s="1"/>
      <c r="F6" s="1"/>
      <c r="G6" s="1"/>
      <c r="H6" s="1"/>
      <c r="I6" s="1"/>
      <c r="J6" s="1"/>
      <c r="K6" s="9" t="s">
        <v>13</v>
      </c>
      <c r="L6" s="30"/>
      <c r="M6" s="1"/>
      <c r="N6" s="1"/>
      <c r="O6" s="1"/>
      <c r="P6" s="1"/>
      <c r="Q6" s="1"/>
      <c r="R6" s="1"/>
      <c r="S6" s="1"/>
    </row>
    <row r="7" spans="1:19" x14ac:dyDescent="0.25">
      <c r="A7" s="1"/>
      <c r="B7" s="1"/>
      <c r="C7" s="1"/>
      <c r="D7" s="10"/>
      <c r="E7" s="1"/>
      <c r="F7" s="1"/>
      <c r="G7" s="1"/>
      <c r="H7" s="1"/>
      <c r="I7" s="1"/>
      <c r="J7" s="1"/>
      <c r="K7" s="1"/>
      <c r="L7" s="44"/>
      <c r="M7" s="1"/>
      <c r="N7" s="1"/>
      <c r="O7" s="1"/>
      <c r="P7" s="1"/>
      <c r="Q7" s="1"/>
      <c r="R7" s="1"/>
      <c r="S7" s="1"/>
    </row>
    <row r="8" spans="1:19" ht="15.75" thickBot="1" x14ac:dyDescent="0.3">
      <c r="A8" s="2"/>
      <c r="B8" s="2"/>
      <c r="C8" s="2"/>
      <c r="D8" s="2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3"/>
      <c r="S8" s="1"/>
    </row>
    <row r="9" spans="1:19" x14ac:dyDescent="0.25">
      <c r="A9" s="165" t="s">
        <v>148</v>
      </c>
      <c r="B9" s="167" t="s">
        <v>11</v>
      </c>
      <c r="C9" s="167"/>
      <c r="D9" s="167"/>
      <c r="E9" s="167"/>
      <c r="F9" s="167"/>
      <c r="G9" s="167"/>
      <c r="H9" s="167"/>
      <c r="I9" s="1"/>
      <c r="J9" s="168" t="s">
        <v>149</v>
      </c>
      <c r="K9" s="153" t="s">
        <v>11</v>
      </c>
      <c r="L9" s="153"/>
      <c r="M9" s="153"/>
      <c r="N9" s="153"/>
      <c r="O9" s="153"/>
      <c r="P9" s="153"/>
      <c r="Q9" s="154"/>
      <c r="R9" s="4"/>
      <c r="S9" s="1"/>
    </row>
    <row r="10" spans="1:19" x14ac:dyDescent="0.25">
      <c r="A10" s="166"/>
      <c r="B10" s="30" t="s">
        <v>8</v>
      </c>
      <c r="C10" s="30" t="s">
        <v>9</v>
      </c>
      <c r="D10" s="30" t="s">
        <v>10</v>
      </c>
      <c r="E10" s="30" t="s">
        <v>154</v>
      </c>
      <c r="F10" s="30" t="s">
        <v>155</v>
      </c>
      <c r="G10" s="30" t="s">
        <v>147</v>
      </c>
      <c r="H10" s="30" t="s">
        <v>11</v>
      </c>
      <c r="I10" s="1"/>
      <c r="J10" s="169"/>
      <c r="K10" s="30" t="s">
        <v>8</v>
      </c>
      <c r="L10" s="30" t="s">
        <v>9</v>
      </c>
      <c r="M10" s="30" t="s">
        <v>10</v>
      </c>
      <c r="N10" s="30" t="s">
        <v>154</v>
      </c>
      <c r="O10" s="30" t="s">
        <v>155</v>
      </c>
      <c r="P10" s="30" t="s">
        <v>147</v>
      </c>
      <c r="Q10" s="54" t="s">
        <v>11</v>
      </c>
      <c r="R10" s="4"/>
      <c r="S10" s="1"/>
    </row>
    <row r="11" spans="1:19" x14ac:dyDescent="0.25">
      <c r="A11" s="15" t="s">
        <v>0</v>
      </c>
      <c r="B11" s="16">
        <f>B12+B51+B69+B82+B95+K11+K28+K41</f>
        <v>0</v>
      </c>
      <c r="C11" s="16">
        <f t="shared" ref="C11:G11" si="0">C12+C51+C69+C82+C95+L11+L28+L41</f>
        <v>0</v>
      </c>
      <c r="D11" s="16">
        <f t="shared" si="0"/>
        <v>0</v>
      </c>
      <c r="E11" s="16">
        <f t="shared" si="0"/>
        <v>0</v>
      </c>
      <c r="F11" s="16">
        <f t="shared" si="0"/>
        <v>0</v>
      </c>
      <c r="G11" s="16">
        <f t="shared" si="0"/>
        <v>0</v>
      </c>
      <c r="H11" s="12">
        <f>SUM(B11:G11)</f>
        <v>0</v>
      </c>
      <c r="I11" s="1"/>
      <c r="J11" s="79" t="s">
        <v>85</v>
      </c>
      <c r="K11" s="74">
        <f>SUM(K12:K23)</f>
        <v>0</v>
      </c>
      <c r="L11" s="74">
        <f t="shared" ref="L11:P11" si="1">SUM(L12:L23)</f>
        <v>0</v>
      </c>
      <c r="M11" s="74">
        <f t="shared" si="1"/>
        <v>0</v>
      </c>
      <c r="N11" s="74">
        <f t="shared" si="1"/>
        <v>0</v>
      </c>
      <c r="O11" s="74">
        <f t="shared" si="1"/>
        <v>0</v>
      </c>
      <c r="P11" s="74">
        <f t="shared" si="1"/>
        <v>0</v>
      </c>
      <c r="Q11" s="80">
        <f t="shared" ref="Q11:Q23" si="2">SUM(K11:P11)</f>
        <v>0</v>
      </c>
      <c r="R11" s="4"/>
      <c r="S11" s="1"/>
    </row>
    <row r="12" spans="1:19" x14ac:dyDescent="0.25">
      <c r="A12" s="73" t="s">
        <v>1</v>
      </c>
      <c r="B12" s="74">
        <f>SUM(B13:B50)</f>
        <v>0</v>
      </c>
      <c r="C12" s="74">
        <f t="shared" ref="C12:G12" si="3">SUM(C13:C50)</f>
        <v>0</v>
      </c>
      <c r="D12" s="74">
        <f t="shared" si="3"/>
        <v>0</v>
      </c>
      <c r="E12" s="74">
        <f t="shared" si="3"/>
        <v>0</v>
      </c>
      <c r="F12" s="74">
        <f t="shared" si="3"/>
        <v>0</v>
      </c>
      <c r="G12" s="74">
        <f t="shared" si="3"/>
        <v>0</v>
      </c>
      <c r="H12" s="74">
        <f>SUM(B12:G12)</f>
        <v>0</v>
      </c>
      <c r="I12" s="1"/>
      <c r="J12" s="55" t="s">
        <v>4</v>
      </c>
      <c r="K12" s="68"/>
      <c r="L12" s="68"/>
      <c r="M12" s="68"/>
      <c r="N12" s="68"/>
      <c r="O12" s="68"/>
      <c r="P12" s="68"/>
      <c r="Q12" s="40">
        <f t="shared" si="2"/>
        <v>0</v>
      </c>
      <c r="R12" s="4"/>
      <c r="S12" s="1"/>
    </row>
    <row r="13" spans="1:19" x14ac:dyDescent="0.25">
      <c r="A13" s="8" t="s">
        <v>17</v>
      </c>
      <c r="B13" s="17"/>
      <c r="C13" s="11"/>
      <c r="D13" s="11"/>
      <c r="E13" s="11"/>
      <c r="F13" s="11"/>
      <c r="G13" s="11"/>
      <c r="H13" s="12">
        <f>SUM(B13:G13)</f>
        <v>0</v>
      </c>
      <c r="I13" s="1"/>
      <c r="J13" s="55" t="s">
        <v>81</v>
      </c>
      <c r="K13" s="68"/>
      <c r="L13" s="68"/>
      <c r="M13" s="68"/>
      <c r="N13" s="68"/>
      <c r="O13" s="68"/>
      <c r="P13" s="68"/>
      <c r="Q13" s="40">
        <f t="shared" si="2"/>
        <v>0</v>
      </c>
      <c r="R13" s="4"/>
      <c r="S13" s="1"/>
    </row>
    <row r="14" spans="1:19" x14ac:dyDescent="0.25">
      <c r="A14" s="7" t="s">
        <v>18</v>
      </c>
      <c r="B14" s="17"/>
      <c r="C14" s="11"/>
      <c r="D14" s="11"/>
      <c r="E14" s="11"/>
      <c r="F14" s="11"/>
      <c r="G14" s="11"/>
      <c r="H14" s="12">
        <f t="shared" ref="H14:H48" si="4">SUM(B14:G14)</f>
        <v>0</v>
      </c>
      <c r="I14" s="1"/>
      <c r="J14" s="56" t="s">
        <v>5</v>
      </c>
      <c r="K14" s="68"/>
      <c r="L14" s="68"/>
      <c r="M14" s="68"/>
      <c r="N14" s="68"/>
      <c r="O14" s="68"/>
      <c r="P14" s="68"/>
      <c r="Q14" s="40">
        <f>SUM(K14:P14)</f>
        <v>0</v>
      </c>
      <c r="R14" s="4"/>
      <c r="S14" s="1"/>
    </row>
    <row r="15" spans="1:19" x14ac:dyDescent="0.25">
      <c r="A15" s="7" t="s">
        <v>19</v>
      </c>
      <c r="B15" s="17"/>
      <c r="C15" s="11"/>
      <c r="D15" s="13"/>
      <c r="E15" s="13"/>
      <c r="F15" s="13"/>
      <c r="G15" s="13"/>
      <c r="H15" s="12">
        <f>SUM(B15:G15)</f>
        <v>0</v>
      </c>
      <c r="I15" s="1"/>
      <c r="J15" s="56" t="s">
        <v>80</v>
      </c>
      <c r="K15" s="68"/>
      <c r="L15" s="68"/>
      <c r="M15" s="68"/>
      <c r="N15" s="68"/>
      <c r="O15" s="68"/>
      <c r="P15" s="68"/>
      <c r="Q15" s="40">
        <f t="shared" si="2"/>
        <v>0</v>
      </c>
      <c r="R15" s="4"/>
      <c r="S15" s="1"/>
    </row>
    <row r="16" spans="1:19" x14ac:dyDescent="0.25">
      <c r="A16" s="7" t="s">
        <v>27</v>
      </c>
      <c r="B16" s="10"/>
      <c r="C16" s="11"/>
      <c r="D16" s="11"/>
      <c r="E16" s="11"/>
      <c r="F16" s="11"/>
      <c r="G16" s="11"/>
      <c r="H16" s="12">
        <f t="shared" si="4"/>
        <v>0</v>
      </c>
      <c r="I16" s="1"/>
      <c r="J16" s="57" t="s">
        <v>83</v>
      </c>
      <c r="K16" s="69"/>
      <c r="L16" s="69"/>
      <c r="M16" s="69"/>
      <c r="N16" s="69"/>
      <c r="O16" s="69"/>
      <c r="P16" s="69"/>
      <c r="Q16" s="40">
        <f t="shared" si="2"/>
        <v>0</v>
      </c>
      <c r="R16" s="4"/>
      <c r="S16" s="1"/>
    </row>
    <row r="17" spans="1:19" x14ac:dyDescent="0.25">
      <c r="A17" s="7" t="s">
        <v>186</v>
      </c>
      <c r="B17" s="10"/>
      <c r="C17" s="11"/>
      <c r="D17" s="11"/>
      <c r="E17" s="11"/>
      <c r="F17" s="11"/>
      <c r="G17" s="11"/>
      <c r="H17" s="12">
        <f t="shared" si="4"/>
        <v>0</v>
      </c>
      <c r="I17" s="1"/>
      <c r="J17" s="50" t="s">
        <v>162</v>
      </c>
      <c r="K17" s="69"/>
      <c r="L17" s="69"/>
      <c r="M17" s="69"/>
      <c r="N17" s="69"/>
      <c r="O17" s="69"/>
      <c r="P17" s="69"/>
      <c r="Q17" s="40">
        <f t="shared" si="2"/>
        <v>0</v>
      </c>
      <c r="R17" s="4"/>
      <c r="S17" s="1"/>
    </row>
    <row r="18" spans="1:19" x14ac:dyDescent="0.25">
      <c r="A18" s="7" t="s">
        <v>188</v>
      </c>
      <c r="B18" s="10"/>
      <c r="C18" s="11"/>
      <c r="D18" s="11"/>
      <c r="E18" s="11"/>
      <c r="F18" s="11"/>
      <c r="G18" s="11"/>
      <c r="H18" s="12">
        <f t="shared" si="4"/>
        <v>0</v>
      </c>
      <c r="I18" s="1"/>
      <c r="J18" s="50" t="s">
        <v>163</v>
      </c>
      <c r="K18" s="69"/>
      <c r="L18" s="69"/>
      <c r="M18" s="69"/>
      <c r="N18" s="69"/>
      <c r="O18" s="69"/>
      <c r="P18" s="69"/>
      <c r="Q18" s="40">
        <f t="shared" si="2"/>
        <v>0</v>
      </c>
      <c r="R18" s="4"/>
      <c r="S18" s="1"/>
    </row>
    <row r="19" spans="1:19" x14ac:dyDescent="0.25">
      <c r="A19" s="7" t="s">
        <v>28</v>
      </c>
      <c r="B19" s="17"/>
      <c r="C19" s="11"/>
      <c r="D19" s="11"/>
      <c r="E19" s="11"/>
      <c r="F19" s="11"/>
      <c r="G19" s="11"/>
      <c r="H19" s="12">
        <f t="shared" si="4"/>
        <v>0</v>
      </c>
      <c r="I19" s="1"/>
      <c r="J19" s="50" t="s">
        <v>164</v>
      </c>
      <c r="K19" s="69"/>
      <c r="L19" s="69"/>
      <c r="M19" s="69"/>
      <c r="N19" s="69"/>
      <c r="O19" s="69"/>
      <c r="P19" s="69"/>
      <c r="Q19" s="40">
        <f t="shared" si="2"/>
        <v>0</v>
      </c>
      <c r="R19" s="4"/>
      <c r="S19" s="1"/>
    </row>
    <row r="20" spans="1:19" x14ac:dyDescent="0.25">
      <c r="A20" s="7" t="s">
        <v>29</v>
      </c>
      <c r="B20" s="10"/>
      <c r="C20" s="11"/>
      <c r="D20" s="11"/>
      <c r="E20" s="11"/>
      <c r="F20" s="11"/>
      <c r="G20" s="11"/>
      <c r="H20" s="12">
        <f t="shared" si="4"/>
        <v>0</v>
      </c>
      <c r="I20" s="1"/>
      <c r="J20" s="50" t="s">
        <v>194</v>
      </c>
      <c r="K20" s="69"/>
      <c r="L20" s="69"/>
      <c r="M20" s="69"/>
      <c r="N20" s="69"/>
      <c r="O20" s="69"/>
      <c r="P20" s="69"/>
      <c r="Q20" s="40">
        <f t="shared" si="2"/>
        <v>0</v>
      </c>
      <c r="R20" s="4"/>
      <c r="S20" s="1"/>
    </row>
    <row r="21" spans="1:19" x14ac:dyDescent="0.25">
      <c r="A21" s="7" t="s">
        <v>20</v>
      </c>
      <c r="B21" s="17"/>
      <c r="C21" s="11"/>
      <c r="D21" s="11"/>
      <c r="E21" s="11"/>
      <c r="F21" s="11"/>
      <c r="G21" s="11"/>
      <c r="H21" s="12">
        <f t="shared" si="4"/>
        <v>0</v>
      </c>
      <c r="I21" s="1"/>
      <c r="J21" s="50" t="s">
        <v>221</v>
      </c>
      <c r="K21" s="69"/>
      <c r="L21" s="69"/>
      <c r="M21" s="69"/>
      <c r="N21" s="69"/>
      <c r="O21" s="69"/>
      <c r="P21" s="69"/>
      <c r="Q21" s="40"/>
      <c r="R21" s="4"/>
      <c r="S21" s="1"/>
    </row>
    <row r="22" spans="1:19" x14ac:dyDescent="0.25">
      <c r="A22" s="7" t="s">
        <v>25</v>
      </c>
      <c r="B22" s="17"/>
      <c r="C22" s="11"/>
      <c r="D22" s="11"/>
      <c r="E22" s="11"/>
      <c r="F22" s="11"/>
      <c r="G22" s="11"/>
      <c r="H22" s="12">
        <f t="shared" si="4"/>
        <v>0</v>
      </c>
      <c r="I22" s="1"/>
      <c r="J22" s="58" t="s">
        <v>6</v>
      </c>
      <c r="K22" s="68"/>
      <c r="L22" s="68"/>
      <c r="M22" s="68"/>
      <c r="N22" s="68"/>
      <c r="O22" s="68"/>
      <c r="P22" s="68"/>
      <c r="Q22" s="40">
        <f t="shared" si="2"/>
        <v>0</v>
      </c>
      <c r="R22" s="4"/>
      <c r="S22" s="1"/>
    </row>
    <row r="23" spans="1:19" ht="15.75" thickBot="1" x14ac:dyDescent="0.3">
      <c r="A23" s="7"/>
      <c r="B23" s="17"/>
      <c r="C23" s="11"/>
      <c r="D23" s="11"/>
      <c r="E23" s="11"/>
      <c r="F23" s="11"/>
      <c r="G23" s="11"/>
      <c r="H23" s="12"/>
      <c r="I23" s="1"/>
      <c r="J23" s="59" t="s">
        <v>7</v>
      </c>
      <c r="K23" s="94"/>
      <c r="L23" s="94"/>
      <c r="M23" s="94"/>
      <c r="N23" s="94"/>
      <c r="O23" s="94"/>
      <c r="P23" s="94"/>
      <c r="Q23" s="46">
        <f t="shared" si="2"/>
        <v>0</v>
      </c>
      <c r="R23" s="4"/>
      <c r="S23" s="1"/>
    </row>
    <row r="24" spans="1:19" x14ac:dyDescent="0.25">
      <c r="A24" s="7" t="s">
        <v>21</v>
      </c>
      <c r="B24" s="17"/>
      <c r="C24" s="11"/>
      <c r="D24" s="11"/>
      <c r="E24" s="11"/>
      <c r="F24" s="11"/>
      <c r="G24" s="11"/>
      <c r="H24" s="12">
        <f t="shared" si="4"/>
        <v>0</v>
      </c>
      <c r="I24" s="1"/>
      <c r="J24" s="1"/>
      <c r="K24" s="1"/>
      <c r="L24" s="1"/>
      <c r="M24" s="1"/>
      <c r="N24" s="1"/>
      <c r="O24" s="1"/>
      <c r="P24" s="1"/>
      <c r="Q24" s="1"/>
      <c r="R24" s="4"/>
      <c r="S24" s="1"/>
    </row>
    <row r="25" spans="1:19" ht="15.75" thickBot="1" x14ac:dyDescent="0.3">
      <c r="A25" s="7" t="s">
        <v>24</v>
      </c>
      <c r="B25" s="17"/>
      <c r="C25" s="11"/>
      <c r="D25" s="11"/>
      <c r="E25" s="11"/>
      <c r="F25" s="11"/>
      <c r="G25" s="11"/>
      <c r="H25" s="12">
        <f t="shared" si="4"/>
        <v>0</v>
      </c>
      <c r="I25" s="1"/>
      <c r="J25" s="1"/>
      <c r="K25" s="1"/>
      <c r="L25" s="1"/>
      <c r="M25" s="1"/>
      <c r="N25" s="1"/>
      <c r="O25" s="1"/>
      <c r="P25" s="1"/>
      <c r="Q25" s="1"/>
      <c r="R25" s="4"/>
      <c r="S25" s="1"/>
    </row>
    <row r="26" spans="1:19" x14ac:dyDescent="0.25">
      <c r="A26" s="7" t="s">
        <v>79</v>
      </c>
      <c r="B26" s="17"/>
      <c r="C26" s="11"/>
      <c r="D26" s="11"/>
      <c r="E26" s="11"/>
      <c r="F26" s="11"/>
      <c r="G26" s="11"/>
      <c r="H26" s="12">
        <f t="shared" si="4"/>
        <v>0</v>
      </c>
      <c r="I26" s="1"/>
      <c r="J26" s="151" t="s">
        <v>169</v>
      </c>
      <c r="K26" s="153" t="s">
        <v>11</v>
      </c>
      <c r="L26" s="153"/>
      <c r="M26" s="153"/>
      <c r="N26" s="153"/>
      <c r="O26" s="153"/>
      <c r="P26" s="153"/>
      <c r="Q26" s="154"/>
      <c r="R26" s="4"/>
      <c r="S26" s="1"/>
    </row>
    <row r="27" spans="1:19" x14ac:dyDescent="0.25">
      <c r="A27" s="7" t="s">
        <v>75</v>
      </c>
      <c r="B27" s="17"/>
      <c r="C27" s="11"/>
      <c r="D27" s="11"/>
      <c r="E27" s="11"/>
      <c r="F27" s="11"/>
      <c r="G27" s="11"/>
      <c r="H27" s="12">
        <f t="shared" si="4"/>
        <v>0</v>
      </c>
      <c r="I27" s="1"/>
      <c r="J27" s="152"/>
      <c r="K27" s="30" t="s">
        <v>8</v>
      </c>
      <c r="L27" s="30" t="s">
        <v>9</v>
      </c>
      <c r="M27" s="30" t="s">
        <v>176</v>
      </c>
      <c r="N27" s="30" t="s">
        <v>154</v>
      </c>
      <c r="O27" s="30" t="s">
        <v>155</v>
      </c>
      <c r="P27" s="60" t="s">
        <v>147</v>
      </c>
      <c r="Q27" s="54" t="s">
        <v>11</v>
      </c>
      <c r="R27" s="4"/>
      <c r="S27" s="1"/>
    </row>
    <row r="28" spans="1:19" x14ac:dyDescent="0.25">
      <c r="A28" s="7" t="s">
        <v>76</v>
      </c>
      <c r="B28" s="17"/>
      <c r="C28" s="11"/>
      <c r="D28" s="11"/>
      <c r="E28" s="11"/>
      <c r="F28" s="11"/>
      <c r="G28" s="11"/>
      <c r="H28" s="12">
        <f t="shared" si="4"/>
        <v>0</v>
      </c>
      <c r="I28" s="1"/>
      <c r="J28" s="79" t="s">
        <v>146</v>
      </c>
      <c r="K28" s="74">
        <f>SUM(K29:K37)</f>
        <v>0</v>
      </c>
      <c r="L28" s="74">
        <f t="shared" ref="L28:P28" si="5">SUM(L29:L37)</f>
        <v>0</v>
      </c>
      <c r="M28" s="74">
        <f t="shared" si="5"/>
        <v>0</v>
      </c>
      <c r="N28" s="74">
        <f t="shared" si="5"/>
        <v>0</v>
      </c>
      <c r="O28" s="74">
        <f t="shared" si="5"/>
        <v>0</v>
      </c>
      <c r="P28" s="74">
        <f t="shared" si="5"/>
        <v>0</v>
      </c>
      <c r="Q28" s="80">
        <f>SUM(K28:P28)</f>
        <v>0</v>
      </c>
      <c r="R28" s="4"/>
      <c r="S28" s="1"/>
    </row>
    <row r="29" spans="1:19" x14ac:dyDescent="0.25">
      <c r="A29" s="7" t="s">
        <v>74</v>
      </c>
      <c r="B29" s="17"/>
      <c r="C29" s="11"/>
      <c r="D29" s="11"/>
      <c r="E29" s="11"/>
      <c r="F29" s="11"/>
      <c r="G29" s="11"/>
      <c r="H29" s="12">
        <f t="shared" si="4"/>
        <v>0</v>
      </c>
      <c r="I29" s="1"/>
      <c r="J29" s="45" t="s">
        <v>64</v>
      </c>
      <c r="K29" s="68"/>
      <c r="L29" s="68"/>
      <c r="M29" s="68"/>
      <c r="N29" s="68"/>
      <c r="O29" s="68"/>
      <c r="P29" s="69"/>
      <c r="Q29" s="40">
        <f>SUM(K29:P29)</f>
        <v>0</v>
      </c>
      <c r="R29" s="4"/>
      <c r="S29" s="1"/>
    </row>
    <row r="30" spans="1:19" x14ac:dyDescent="0.25">
      <c r="A30" s="7" t="s">
        <v>22</v>
      </c>
      <c r="B30" s="17"/>
      <c r="C30" s="11"/>
      <c r="D30" s="11"/>
      <c r="E30" s="11"/>
      <c r="F30" s="11"/>
      <c r="G30" s="11"/>
      <c r="H30" s="12">
        <f t="shared" si="4"/>
        <v>0</v>
      </c>
      <c r="I30" s="1"/>
      <c r="J30" s="45" t="s">
        <v>170</v>
      </c>
      <c r="K30" s="68"/>
      <c r="L30" s="68"/>
      <c r="M30" s="68"/>
      <c r="N30" s="68"/>
      <c r="O30" s="68"/>
      <c r="P30" s="69"/>
      <c r="Q30" s="40">
        <f>SUM(K30:P30)</f>
        <v>0</v>
      </c>
      <c r="R30" s="4"/>
      <c r="S30" s="1"/>
    </row>
    <row r="31" spans="1:19" x14ac:dyDescent="0.25">
      <c r="A31" s="7" t="s">
        <v>23</v>
      </c>
      <c r="B31" s="17"/>
      <c r="C31" s="11"/>
      <c r="D31" s="11"/>
      <c r="E31" s="11"/>
      <c r="F31" s="11"/>
      <c r="G31" s="11"/>
      <c r="H31" s="12">
        <f t="shared" si="4"/>
        <v>0</v>
      </c>
      <c r="I31" s="1"/>
      <c r="J31" s="45" t="s">
        <v>171</v>
      </c>
      <c r="K31" s="68"/>
      <c r="L31" s="68"/>
      <c r="M31" s="68"/>
      <c r="N31" s="68"/>
      <c r="O31" s="68"/>
      <c r="P31" s="69"/>
      <c r="Q31" s="40">
        <f>SUM(K31:P31)</f>
        <v>0</v>
      </c>
      <c r="R31" s="4"/>
      <c r="S31" s="1"/>
    </row>
    <row r="32" spans="1:19" x14ac:dyDescent="0.25">
      <c r="A32" s="7" t="s">
        <v>202</v>
      </c>
      <c r="B32" s="17"/>
      <c r="C32" s="11"/>
      <c r="D32" s="11"/>
      <c r="E32" s="11"/>
      <c r="F32" s="11"/>
      <c r="G32" s="11"/>
      <c r="H32" s="12">
        <f t="shared" si="4"/>
        <v>0</v>
      </c>
      <c r="I32" s="1"/>
      <c r="J32" s="49" t="s">
        <v>65</v>
      </c>
      <c r="K32" s="68"/>
      <c r="L32" s="68"/>
      <c r="M32" s="68"/>
      <c r="N32" s="68"/>
      <c r="O32" s="68"/>
      <c r="P32" s="69"/>
      <c r="Q32" s="40">
        <f t="shared" ref="Q32:Q37" si="6">SUM(K32:P32)</f>
        <v>0</v>
      </c>
      <c r="R32" s="4"/>
      <c r="S32" s="1"/>
    </row>
    <row r="33" spans="1:19" x14ac:dyDescent="0.25">
      <c r="A33" s="7" t="s">
        <v>159</v>
      </c>
      <c r="B33" s="17"/>
      <c r="C33" s="11"/>
      <c r="D33" s="11"/>
      <c r="E33" s="11"/>
      <c r="F33" s="11"/>
      <c r="G33" s="11"/>
      <c r="H33" s="12">
        <f t="shared" si="4"/>
        <v>0</v>
      </c>
      <c r="I33" s="1"/>
      <c r="J33" s="50" t="s">
        <v>130</v>
      </c>
      <c r="K33" s="70"/>
      <c r="L33" s="70"/>
      <c r="M33" s="70"/>
      <c r="N33" s="70"/>
      <c r="O33" s="70"/>
      <c r="P33" s="69"/>
      <c r="Q33" s="40">
        <f t="shared" si="6"/>
        <v>0</v>
      </c>
      <c r="R33" s="4"/>
      <c r="S33" s="1"/>
    </row>
    <row r="34" spans="1:19" x14ac:dyDescent="0.25">
      <c r="A34" s="7" t="s">
        <v>26</v>
      </c>
      <c r="B34" s="17"/>
      <c r="C34" s="11"/>
      <c r="D34" s="11"/>
      <c r="E34" s="11"/>
      <c r="F34" s="11"/>
      <c r="G34" s="11"/>
      <c r="H34" s="12">
        <f t="shared" si="4"/>
        <v>0</v>
      </c>
      <c r="I34" s="1"/>
      <c r="J34" s="67" t="s">
        <v>131</v>
      </c>
      <c r="K34" s="65"/>
      <c r="L34" s="65"/>
      <c r="M34" s="65"/>
      <c r="N34" s="65"/>
      <c r="O34" s="65"/>
      <c r="P34" s="31"/>
      <c r="Q34" s="40">
        <f t="shared" si="6"/>
        <v>0</v>
      </c>
      <c r="R34" s="4"/>
      <c r="S34" s="1"/>
    </row>
    <row r="35" spans="1:19" x14ac:dyDescent="0.25">
      <c r="A35" s="7" t="s">
        <v>82</v>
      </c>
      <c r="B35" s="17"/>
      <c r="C35" s="11"/>
      <c r="D35" s="11"/>
      <c r="E35" s="11"/>
      <c r="F35" s="11"/>
      <c r="G35" s="11"/>
      <c r="H35" s="12">
        <f t="shared" si="4"/>
        <v>0</v>
      </c>
      <c r="I35" s="1"/>
      <c r="J35" s="67" t="s">
        <v>160</v>
      </c>
      <c r="K35" s="65"/>
      <c r="L35" s="65"/>
      <c r="M35" s="65"/>
      <c r="N35" s="65"/>
      <c r="O35" s="65"/>
      <c r="P35" s="31"/>
      <c r="Q35" s="40">
        <f t="shared" si="6"/>
        <v>0</v>
      </c>
      <c r="R35" s="4"/>
      <c r="S35" s="1"/>
    </row>
    <row r="36" spans="1:19" x14ac:dyDescent="0.25">
      <c r="A36" s="7" t="s">
        <v>30</v>
      </c>
      <c r="B36" s="17"/>
      <c r="C36" s="11"/>
      <c r="D36" s="11"/>
      <c r="E36" s="11"/>
      <c r="F36" s="11"/>
      <c r="G36" s="11"/>
      <c r="H36" s="12">
        <f t="shared" si="4"/>
        <v>0</v>
      </c>
      <c r="I36" s="1"/>
      <c r="J36" s="67" t="s">
        <v>211</v>
      </c>
      <c r="K36" s="65"/>
      <c r="L36" s="65"/>
      <c r="M36" s="65"/>
      <c r="N36" s="65"/>
      <c r="O36" s="65"/>
      <c r="P36" s="31"/>
      <c r="Q36" s="40">
        <f t="shared" si="6"/>
        <v>0</v>
      </c>
      <c r="R36" s="4"/>
      <c r="S36" s="1"/>
    </row>
    <row r="37" spans="1:19" ht="15.75" thickBot="1" x14ac:dyDescent="0.3">
      <c r="A37" s="7" t="s">
        <v>31</v>
      </c>
      <c r="B37" s="17"/>
      <c r="C37" s="11"/>
      <c r="D37" s="11"/>
      <c r="E37" s="11"/>
      <c r="F37" s="11"/>
      <c r="G37" s="11"/>
      <c r="H37" s="12">
        <f t="shared" si="4"/>
        <v>0</v>
      </c>
      <c r="I37" s="1"/>
      <c r="J37" s="51" t="s">
        <v>212</v>
      </c>
      <c r="K37" s="71"/>
      <c r="L37" s="71"/>
      <c r="M37" s="71"/>
      <c r="N37" s="71"/>
      <c r="O37" s="71"/>
      <c r="P37" s="72"/>
      <c r="Q37" s="46">
        <f t="shared" si="6"/>
        <v>0</v>
      </c>
      <c r="R37" s="4"/>
      <c r="S37" s="1"/>
    </row>
    <row r="38" spans="1:19" ht="15.75" thickBot="1" x14ac:dyDescent="0.3">
      <c r="A38" s="7" t="s">
        <v>66</v>
      </c>
      <c r="B38" s="17"/>
      <c r="C38" s="11"/>
      <c r="D38" s="11"/>
      <c r="E38" s="11"/>
      <c r="F38" s="11"/>
      <c r="G38" s="11"/>
      <c r="H38" s="12">
        <f t="shared" si="4"/>
        <v>0</v>
      </c>
      <c r="I38" s="1"/>
      <c r="J38" s="34"/>
      <c r="K38" s="34"/>
      <c r="L38" s="34"/>
      <c r="M38" s="34"/>
      <c r="N38" s="34"/>
      <c r="O38" s="34"/>
      <c r="P38" s="34"/>
      <c r="R38" s="4"/>
      <c r="S38" s="1"/>
    </row>
    <row r="39" spans="1:19" x14ac:dyDescent="0.25">
      <c r="A39" s="7" t="s">
        <v>67</v>
      </c>
      <c r="B39" s="17"/>
      <c r="C39" s="11"/>
      <c r="D39" s="11"/>
      <c r="E39" s="11"/>
      <c r="F39" s="11"/>
      <c r="G39" s="11"/>
      <c r="H39" s="12">
        <f t="shared" si="4"/>
        <v>0</v>
      </c>
      <c r="I39" s="1"/>
      <c r="J39" s="151" t="s">
        <v>136</v>
      </c>
      <c r="K39" s="153" t="s">
        <v>11</v>
      </c>
      <c r="L39" s="153"/>
      <c r="M39" s="153"/>
      <c r="N39" s="153"/>
      <c r="O39" s="153"/>
      <c r="P39" s="153"/>
      <c r="Q39" s="154"/>
      <c r="R39" s="4"/>
      <c r="S39" s="1"/>
    </row>
    <row r="40" spans="1:19" x14ac:dyDescent="0.25">
      <c r="A40" s="7" t="s">
        <v>77</v>
      </c>
      <c r="B40" s="17"/>
      <c r="C40" s="11"/>
      <c r="D40" s="11"/>
      <c r="E40" s="11"/>
      <c r="F40" s="11"/>
      <c r="G40" s="11"/>
      <c r="H40" s="12">
        <f t="shared" si="4"/>
        <v>0</v>
      </c>
      <c r="I40" s="1"/>
      <c r="J40" s="152"/>
      <c r="K40" s="30" t="s">
        <v>8</v>
      </c>
      <c r="L40" s="30" t="s">
        <v>9</v>
      </c>
      <c r="M40" s="30" t="s">
        <v>10</v>
      </c>
      <c r="N40" s="30" t="s">
        <v>154</v>
      </c>
      <c r="O40" s="30" t="s">
        <v>155</v>
      </c>
      <c r="P40" s="30" t="s">
        <v>147</v>
      </c>
      <c r="Q40" s="54" t="s">
        <v>11</v>
      </c>
      <c r="R40" s="4"/>
      <c r="S40" s="1"/>
    </row>
    <row r="41" spans="1:19" ht="15.75" thickBot="1" x14ac:dyDescent="0.3">
      <c r="A41" s="7" t="s">
        <v>78</v>
      </c>
      <c r="B41" s="17"/>
      <c r="C41" s="11"/>
      <c r="D41" s="11"/>
      <c r="E41" s="11"/>
      <c r="F41" s="11"/>
      <c r="G41" s="11"/>
      <c r="H41" s="12">
        <f t="shared" si="4"/>
        <v>0</v>
      </c>
      <c r="I41" s="1"/>
      <c r="J41" s="95" t="s">
        <v>150</v>
      </c>
      <c r="K41" s="29">
        <f>SUM(K42:K49)</f>
        <v>0</v>
      </c>
      <c r="L41" s="29">
        <f t="shared" ref="L41:P41" si="7">SUM(L42:L49)</f>
        <v>0</v>
      </c>
      <c r="M41" s="29">
        <f t="shared" si="7"/>
        <v>0</v>
      </c>
      <c r="N41" s="29">
        <f t="shared" si="7"/>
        <v>0</v>
      </c>
      <c r="O41" s="29">
        <f t="shared" si="7"/>
        <v>0</v>
      </c>
      <c r="P41" s="29">
        <f t="shared" si="7"/>
        <v>0</v>
      </c>
      <c r="Q41" s="96">
        <f>SUM(K41:P41)</f>
        <v>0</v>
      </c>
      <c r="R41" s="4"/>
      <c r="S41" s="1"/>
    </row>
    <row r="42" spans="1:19" x14ac:dyDescent="0.25">
      <c r="A42" s="7" t="s">
        <v>42</v>
      </c>
      <c r="B42" s="17"/>
      <c r="C42" s="11"/>
      <c r="D42" s="11"/>
      <c r="E42" s="11"/>
      <c r="F42" s="11"/>
      <c r="G42" s="11"/>
      <c r="H42" s="12">
        <f t="shared" si="4"/>
        <v>0</v>
      </c>
      <c r="I42" s="1"/>
      <c r="J42" s="97" t="s">
        <v>165</v>
      </c>
      <c r="K42" s="98"/>
      <c r="L42" s="98"/>
      <c r="M42" s="98"/>
      <c r="N42" s="98"/>
      <c r="O42" s="98"/>
      <c r="P42" s="98"/>
      <c r="Q42" s="99">
        <f t="shared" ref="Q42:Q49" si="8">SUM(K42:P42)</f>
        <v>0</v>
      </c>
      <c r="R42" s="4"/>
      <c r="S42" s="1"/>
    </row>
    <row r="43" spans="1:19" x14ac:dyDescent="0.25">
      <c r="A43" s="7" t="s">
        <v>43</v>
      </c>
      <c r="B43" s="17"/>
      <c r="C43" s="11"/>
      <c r="D43" s="11"/>
      <c r="E43" s="11"/>
      <c r="F43" s="11"/>
      <c r="G43" s="11"/>
      <c r="H43" s="12">
        <f t="shared" si="4"/>
        <v>0</v>
      </c>
      <c r="I43" s="1"/>
      <c r="J43" s="86" t="s">
        <v>166</v>
      </c>
      <c r="K43" s="89"/>
      <c r="L43" s="89"/>
      <c r="M43" s="89"/>
      <c r="N43" s="89"/>
      <c r="O43" s="89"/>
      <c r="P43" s="89"/>
      <c r="Q43" s="40">
        <f t="shared" si="8"/>
        <v>0</v>
      </c>
      <c r="R43" s="4"/>
      <c r="S43" s="1"/>
    </row>
    <row r="44" spans="1:19" x14ac:dyDescent="0.25">
      <c r="A44" s="7" t="s">
        <v>101</v>
      </c>
      <c r="B44" s="17"/>
      <c r="C44" s="11"/>
      <c r="D44" s="11"/>
      <c r="E44" s="11"/>
      <c r="F44" s="11"/>
      <c r="G44" s="11"/>
      <c r="H44" s="12">
        <f t="shared" si="4"/>
        <v>0</v>
      </c>
      <c r="I44" s="1"/>
      <c r="J44" s="86" t="s">
        <v>167</v>
      </c>
      <c r="K44" s="89"/>
      <c r="L44" s="89"/>
      <c r="M44" s="89"/>
      <c r="N44" s="89"/>
      <c r="O44" s="89"/>
      <c r="P44" s="89"/>
      <c r="Q44" s="40">
        <f t="shared" si="8"/>
        <v>0</v>
      </c>
      <c r="R44" s="4"/>
      <c r="S44" s="1"/>
    </row>
    <row r="45" spans="1:19" x14ac:dyDescent="0.25">
      <c r="A45" s="7" t="s">
        <v>95</v>
      </c>
      <c r="B45" s="37"/>
      <c r="C45" s="11"/>
      <c r="D45" s="11"/>
      <c r="E45" s="11"/>
      <c r="F45" s="11"/>
      <c r="G45" s="11"/>
      <c r="H45" s="12">
        <f t="shared" si="4"/>
        <v>0</v>
      </c>
      <c r="I45" s="1"/>
      <c r="J45" s="86" t="s">
        <v>168</v>
      </c>
      <c r="K45" s="89"/>
      <c r="L45" s="89"/>
      <c r="M45" s="89"/>
      <c r="N45" s="89"/>
      <c r="O45" s="89"/>
      <c r="P45" s="89"/>
      <c r="Q45" s="40">
        <f>SUM(K45:P45)</f>
        <v>0</v>
      </c>
      <c r="R45" s="4"/>
      <c r="S45" s="1"/>
    </row>
    <row r="46" spans="1:19" x14ac:dyDescent="0.25">
      <c r="A46" s="7" t="s">
        <v>96</v>
      </c>
      <c r="B46" s="37"/>
      <c r="C46" s="11"/>
      <c r="D46" s="11"/>
      <c r="E46" s="11"/>
      <c r="F46" s="11"/>
      <c r="G46" s="11"/>
      <c r="H46" s="12">
        <f t="shared" si="4"/>
        <v>0</v>
      </c>
      <c r="J46" s="86" t="s">
        <v>34</v>
      </c>
      <c r="K46" s="89"/>
      <c r="L46" s="89"/>
      <c r="M46" s="89"/>
      <c r="N46" s="89"/>
      <c r="O46" s="89"/>
      <c r="P46" s="89"/>
      <c r="Q46" s="40">
        <f t="shared" si="8"/>
        <v>0</v>
      </c>
      <c r="R46" s="4"/>
      <c r="S46" s="1"/>
    </row>
    <row r="47" spans="1:19" x14ac:dyDescent="0.25">
      <c r="A47" s="7" t="s">
        <v>97</v>
      </c>
      <c r="B47" s="37"/>
      <c r="C47" s="11"/>
      <c r="D47" s="11"/>
      <c r="E47" s="11"/>
      <c r="F47" s="11"/>
      <c r="G47" s="11"/>
      <c r="H47" s="12">
        <f t="shared" si="4"/>
        <v>0</v>
      </c>
      <c r="I47" s="1"/>
      <c r="J47" s="86" t="s">
        <v>179</v>
      </c>
      <c r="K47" s="89"/>
      <c r="L47" s="89"/>
      <c r="M47" s="89"/>
      <c r="N47" s="89"/>
      <c r="O47" s="89"/>
      <c r="P47" s="89"/>
      <c r="Q47" s="40">
        <f t="shared" si="8"/>
        <v>0</v>
      </c>
      <c r="R47" s="4"/>
      <c r="S47" s="1"/>
    </row>
    <row r="48" spans="1:19" x14ac:dyDescent="0.25">
      <c r="A48" s="36" t="s">
        <v>98</v>
      </c>
      <c r="B48" s="37"/>
      <c r="C48" s="11"/>
      <c r="D48" s="11"/>
      <c r="E48" s="11"/>
      <c r="F48" s="11"/>
      <c r="G48" s="11"/>
      <c r="H48" s="12">
        <f t="shared" si="4"/>
        <v>0</v>
      </c>
      <c r="I48" s="1"/>
      <c r="J48" s="86" t="s">
        <v>177</v>
      </c>
      <c r="K48" s="89"/>
      <c r="L48" s="89"/>
      <c r="M48" s="89"/>
      <c r="N48" s="89"/>
      <c r="O48" s="89"/>
      <c r="P48" s="89"/>
      <c r="Q48" s="40">
        <f t="shared" si="8"/>
        <v>0</v>
      </c>
      <c r="R48" s="4"/>
      <c r="S48" s="1"/>
    </row>
    <row r="49" spans="1:19" ht="15.75" thickBot="1" x14ac:dyDescent="0.3">
      <c r="A49" s="7" t="s">
        <v>86</v>
      </c>
      <c r="B49" s="17"/>
      <c r="C49" s="11"/>
      <c r="D49" s="11"/>
      <c r="E49" s="11"/>
      <c r="F49" s="11"/>
      <c r="G49" s="11"/>
      <c r="H49" s="14">
        <f>SUM(B49:G49)</f>
        <v>0</v>
      </c>
      <c r="I49" s="1"/>
      <c r="J49" s="87" t="s">
        <v>178</v>
      </c>
      <c r="K49" s="71"/>
      <c r="L49" s="71"/>
      <c r="M49" s="71"/>
      <c r="N49" s="71"/>
      <c r="O49" s="71"/>
      <c r="P49" s="71"/>
      <c r="Q49" s="46">
        <f t="shared" si="8"/>
        <v>0</v>
      </c>
      <c r="R49" s="4"/>
      <c r="S49" s="1"/>
    </row>
    <row r="50" spans="1:19" x14ac:dyDescent="0.25">
      <c r="A50" s="18" t="s">
        <v>87</v>
      </c>
      <c r="B50" s="38"/>
      <c r="C50" s="19"/>
      <c r="D50" s="19"/>
      <c r="E50" s="19"/>
      <c r="F50" s="21"/>
      <c r="G50" s="19"/>
      <c r="H50" s="14">
        <f>SUM(B50:G50)</f>
        <v>0</v>
      </c>
      <c r="I50" s="1"/>
      <c r="J50" s="155"/>
      <c r="K50" s="155"/>
      <c r="L50" s="155"/>
      <c r="M50" s="155"/>
      <c r="N50" s="34"/>
      <c r="O50" s="34"/>
      <c r="P50" s="34"/>
      <c r="Q50" s="35"/>
      <c r="R50" s="4"/>
      <c r="S50" s="1"/>
    </row>
    <row r="51" spans="1:19" ht="15.75" thickBot="1" x14ac:dyDescent="0.3">
      <c r="A51" s="73" t="s">
        <v>139</v>
      </c>
      <c r="B51" s="75">
        <f>SUM(B52:B68)</f>
        <v>0</v>
      </c>
      <c r="C51" s="75">
        <f t="shared" ref="C51:G51" si="9">SUM(C52:C68)</f>
        <v>0</v>
      </c>
      <c r="D51" s="77">
        <f t="shared" si="9"/>
        <v>0</v>
      </c>
      <c r="E51" s="75">
        <f t="shared" si="9"/>
        <v>0</v>
      </c>
      <c r="F51" s="75">
        <f t="shared" si="9"/>
        <v>0</v>
      </c>
      <c r="G51" s="78">
        <f t="shared" si="9"/>
        <v>0</v>
      </c>
      <c r="H51" s="75">
        <f>SUM(B51:G51)</f>
        <v>0</v>
      </c>
      <c r="I51" s="1"/>
      <c r="Q51" s="24"/>
      <c r="R51" s="4"/>
      <c r="S51" s="1"/>
    </row>
    <row r="52" spans="1:19" x14ac:dyDescent="0.25">
      <c r="A52" s="7" t="s">
        <v>90</v>
      </c>
      <c r="B52" s="13"/>
      <c r="C52" s="13"/>
      <c r="D52" s="25"/>
      <c r="E52" s="65"/>
      <c r="F52" s="65"/>
      <c r="G52" s="65"/>
      <c r="H52" s="26">
        <f t="shared" ref="H52:H113" si="10">SUM(B52:G52)</f>
        <v>0</v>
      </c>
      <c r="I52" s="1"/>
      <c r="J52" s="158" t="s">
        <v>152</v>
      </c>
      <c r="K52" s="159"/>
      <c r="L52" s="159"/>
      <c r="M52" s="159"/>
      <c r="N52" s="159"/>
      <c r="O52" s="159"/>
      <c r="P52" s="159"/>
      <c r="Q52" s="160"/>
      <c r="R52" s="4"/>
      <c r="S52" s="1"/>
    </row>
    <row r="53" spans="1:19" x14ac:dyDescent="0.25">
      <c r="A53" s="7" t="s">
        <v>91</v>
      </c>
      <c r="B53" s="13"/>
      <c r="C53" s="13"/>
      <c r="D53" s="25"/>
      <c r="E53" s="66"/>
      <c r="F53" s="66"/>
      <c r="G53" s="66"/>
      <c r="H53" s="26">
        <f t="shared" si="10"/>
        <v>0</v>
      </c>
      <c r="I53" s="1"/>
      <c r="J53" s="156" t="s">
        <v>72</v>
      </c>
      <c r="K53" s="157"/>
      <c r="L53" s="157"/>
      <c r="M53" s="157"/>
      <c r="N53" s="157"/>
      <c r="O53" s="157"/>
      <c r="P53" s="157"/>
      <c r="Q53" s="62" t="s">
        <v>11</v>
      </c>
      <c r="R53" s="4"/>
      <c r="S53" s="1"/>
    </row>
    <row r="54" spans="1:19" x14ac:dyDescent="0.25">
      <c r="A54" s="7" t="s">
        <v>32</v>
      </c>
      <c r="B54" s="13"/>
      <c r="C54" s="13"/>
      <c r="D54" s="25"/>
      <c r="E54" s="66"/>
      <c r="F54" s="66"/>
      <c r="G54" s="66"/>
      <c r="H54" s="26">
        <f t="shared" si="10"/>
        <v>0</v>
      </c>
      <c r="I54" s="1"/>
      <c r="J54" s="156" t="s">
        <v>71</v>
      </c>
      <c r="K54" s="157"/>
      <c r="L54" s="157"/>
      <c r="M54" s="157"/>
      <c r="N54" s="157"/>
      <c r="O54" s="157"/>
      <c r="P54" s="157"/>
      <c r="Q54" s="47"/>
      <c r="R54" s="4"/>
      <c r="S54" s="1"/>
    </row>
    <row r="55" spans="1:19" x14ac:dyDescent="0.25">
      <c r="A55" s="7" t="s">
        <v>34</v>
      </c>
      <c r="B55" s="11"/>
      <c r="C55" s="13"/>
      <c r="D55" s="23"/>
      <c r="E55" s="66"/>
      <c r="F55" s="66"/>
      <c r="G55" s="66"/>
      <c r="H55" s="26">
        <f t="shared" si="10"/>
        <v>0</v>
      </c>
      <c r="I55" s="1"/>
      <c r="J55" s="156" t="s">
        <v>137</v>
      </c>
      <c r="K55" s="157"/>
      <c r="L55" s="157"/>
      <c r="M55" s="157"/>
      <c r="N55" s="157"/>
      <c r="O55" s="157"/>
      <c r="P55" s="157"/>
      <c r="Q55" s="47">
        <f>(H12)</f>
        <v>0</v>
      </c>
      <c r="R55" s="4"/>
      <c r="S55" s="1"/>
    </row>
    <row r="56" spans="1:19" x14ac:dyDescent="0.25">
      <c r="A56" s="7" t="s">
        <v>33</v>
      </c>
      <c r="B56" s="13"/>
      <c r="C56" s="13"/>
      <c r="D56" s="25"/>
      <c r="E56" s="66"/>
      <c r="F56" s="66"/>
      <c r="G56" s="66"/>
      <c r="H56" s="26">
        <f t="shared" si="10"/>
        <v>0</v>
      </c>
      <c r="I56" s="1"/>
      <c r="J56" s="156" t="s">
        <v>138</v>
      </c>
      <c r="K56" s="157"/>
      <c r="L56" s="157"/>
      <c r="M56" s="157"/>
      <c r="N56" s="157"/>
      <c r="O56" s="157"/>
      <c r="P56" s="157"/>
      <c r="Q56" s="48">
        <f>(H51)</f>
        <v>0</v>
      </c>
      <c r="R56" s="4"/>
      <c r="S56" s="1"/>
    </row>
    <row r="57" spans="1:19" x14ac:dyDescent="0.25">
      <c r="A57" s="7" t="s">
        <v>2</v>
      </c>
      <c r="B57" s="11"/>
      <c r="C57" s="11"/>
      <c r="D57" s="23"/>
      <c r="E57" s="66"/>
      <c r="F57" s="66"/>
      <c r="G57" s="66"/>
      <c r="H57" s="26">
        <f t="shared" si="10"/>
        <v>0</v>
      </c>
      <c r="I57" s="1"/>
      <c r="J57" s="156" t="s">
        <v>140</v>
      </c>
      <c r="K57" s="157"/>
      <c r="L57" s="157"/>
      <c r="M57" s="157"/>
      <c r="N57" s="157"/>
      <c r="O57" s="157"/>
      <c r="P57" s="157"/>
      <c r="Q57" s="48">
        <f>(H69)</f>
        <v>0</v>
      </c>
      <c r="R57" s="4"/>
      <c r="S57" s="1"/>
    </row>
    <row r="58" spans="1:19" x14ac:dyDescent="0.25">
      <c r="A58" s="7" t="s">
        <v>88</v>
      </c>
      <c r="B58" s="11"/>
      <c r="C58" s="11"/>
      <c r="D58" s="23"/>
      <c r="E58" s="66"/>
      <c r="F58" s="66"/>
      <c r="G58" s="66"/>
      <c r="H58" s="26">
        <f t="shared" si="10"/>
        <v>0</v>
      </c>
      <c r="I58" s="1"/>
      <c r="J58" s="156" t="s">
        <v>144</v>
      </c>
      <c r="K58" s="157"/>
      <c r="L58" s="157"/>
      <c r="M58" s="157"/>
      <c r="N58" s="157"/>
      <c r="O58" s="157"/>
      <c r="P58" s="157"/>
      <c r="Q58" s="48">
        <f>H82</f>
        <v>0</v>
      </c>
      <c r="R58" s="4"/>
      <c r="S58" s="1"/>
    </row>
    <row r="59" spans="1:19" x14ac:dyDescent="0.25">
      <c r="A59" s="7" t="s">
        <v>89</v>
      </c>
      <c r="B59" s="11"/>
      <c r="C59" s="11"/>
      <c r="D59" s="23"/>
      <c r="E59" s="66"/>
      <c r="F59" s="66"/>
      <c r="G59" s="66"/>
      <c r="H59" s="26">
        <f t="shared" si="10"/>
        <v>0</v>
      </c>
      <c r="I59" s="1"/>
      <c r="J59" s="156" t="s">
        <v>141</v>
      </c>
      <c r="K59" s="157"/>
      <c r="L59" s="157"/>
      <c r="M59" s="157"/>
      <c r="N59" s="157"/>
      <c r="O59" s="157"/>
      <c r="P59" s="157"/>
      <c r="Q59" s="48">
        <f>H95</f>
        <v>0</v>
      </c>
      <c r="R59" s="4"/>
      <c r="S59" s="1"/>
    </row>
    <row r="60" spans="1:19" x14ac:dyDescent="0.25">
      <c r="A60" s="7" t="s">
        <v>35</v>
      </c>
      <c r="B60" s="11"/>
      <c r="C60" s="11"/>
      <c r="D60" s="23"/>
      <c r="E60" s="66"/>
      <c r="F60" s="66"/>
      <c r="G60" s="66"/>
      <c r="H60" s="26">
        <f t="shared" si="10"/>
        <v>0</v>
      </c>
      <c r="I60" s="1"/>
      <c r="J60" s="156" t="s">
        <v>143</v>
      </c>
      <c r="K60" s="157"/>
      <c r="L60" s="157"/>
      <c r="M60" s="157"/>
      <c r="N60" s="157"/>
      <c r="O60" s="157"/>
      <c r="P60" s="157"/>
      <c r="Q60" s="63">
        <f>Q11</f>
        <v>0</v>
      </c>
      <c r="R60" s="4"/>
      <c r="S60" s="1"/>
    </row>
    <row r="61" spans="1:19" x14ac:dyDescent="0.25">
      <c r="A61" s="7" t="s">
        <v>36</v>
      </c>
      <c r="B61" s="11"/>
      <c r="C61" s="11"/>
      <c r="D61" s="23"/>
      <c r="E61" s="66"/>
      <c r="F61" s="66"/>
      <c r="G61" s="66"/>
      <c r="H61" s="26">
        <f t="shared" si="10"/>
        <v>0</v>
      </c>
      <c r="I61" s="1"/>
      <c r="J61" s="156" t="s">
        <v>145</v>
      </c>
      <c r="K61" s="157"/>
      <c r="L61" s="157"/>
      <c r="M61" s="157"/>
      <c r="N61" s="157"/>
      <c r="O61" s="157"/>
      <c r="P61" s="157"/>
      <c r="Q61" s="41">
        <f>Q28</f>
        <v>0</v>
      </c>
      <c r="R61" s="4"/>
      <c r="S61" s="1"/>
    </row>
    <row r="62" spans="1:19" ht="15.75" thickBot="1" x14ac:dyDescent="0.3">
      <c r="A62" s="7" t="s">
        <v>119</v>
      </c>
      <c r="B62" s="11"/>
      <c r="C62" s="10"/>
      <c r="D62" s="23"/>
      <c r="E62" s="66"/>
      <c r="F62" s="66"/>
      <c r="G62" s="66"/>
      <c r="H62" s="26">
        <f>SUM(B62:G62)</f>
        <v>0</v>
      </c>
      <c r="I62" s="1"/>
      <c r="J62" s="178" t="s">
        <v>151</v>
      </c>
      <c r="K62" s="179"/>
      <c r="L62" s="179"/>
      <c r="M62" s="179"/>
      <c r="N62" s="179"/>
      <c r="O62" s="179"/>
      <c r="P62" s="179"/>
      <c r="Q62" s="64">
        <f>Q41</f>
        <v>0</v>
      </c>
      <c r="R62" s="4"/>
      <c r="S62" s="1"/>
    </row>
    <row r="63" spans="1:19" ht="15.75" thickBot="1" x14ac:dyDescent="0.3">
      <c r="A63" s="7" t="s">
        <v>118</v>
      </c>
      <c r="B63" s="11"/>
      <c r="C63" s="11"/>
      <c r="D63" s="23"/>
      <c r="E63" s="66"/>
      <c r="F63" s="66"/>
      <c r="G63" s="66"/>
      <c r="H63" s="33">
        <f>SUM(B63:G63)</f>
        <v>0</v>
      </c>
      <c r="I63" s="1"/>
      <c r="M63" s="53"/>
      <c r="N63" s="53"/>
      <c r="O63" s="53"/>
      <c r="P63" s="39" t="s">
        <v>11</v>
      </c>
      <c r="Q63" s="61">
        <f>SUM(Q54:Q62)</f>
        <v>0</v>
      </c>
      <c r="R63" s="4"/>
      <c r="S63" s="1"/>
    </row>
    <row r="64" spans="1:19" x14ac:dyDescent="0.25">
      <c r="A64" s="8" t="s">
        <v>37</v>
      </c>
      <c r="B64" s="31"/>
      <c r="C64" s="20"/>
      <c r="D64" s="42"/>
      <c r="E64" s="65"/>
      <c r="F64" s="65"/>
      <c r="G64" s="65"/>
      <c r="H64" s="26">
        <f t="shared" si="10"/>
        <v>0</v>
      </c>
      <c r="I64" s="1"/>
      <c r="P64" s="1"/>
      <c r="Q64" s="1"/>
      <c r="R64" s="4"/>
      <c r="S64" s="1"/>
    </row>
    <row r="65" spans="1:19" x14ac:dyDescent="0.25">
      <c r="A65" s="7" t="s">
        <v>38</v>
      </c>
      <c r="B65" s="11"/>
      <c r="C65" s="10"/>
      <c r="D65" s="23"/>
      <c r="E65" s="66"/>
      <c r="F65" s="66"/>
      <c r="G65" s="66"/>
      <c r="H65" s="26">
        <f t="shared" si="10"/>
        <v>0</v>
      </c>
      <c r="I65" s="1"/>
      <c r="R65" s="1"/>
      <c r="S65" s="1"/>
    </row>
    <row r="66" spans="1:19" x14ac:dyDescent="0.25">
      <c r="A66" s="7" t="s">
        <v>73</v>
      </c>
      <c r="B66" s="11"/>
      <c r="C66" s="10"/>
      <c r="D66" s="23"/>
      <c r="E66" s="11"/>
      <c r="F66" s="11"/>
      <c r="G66" s="11"/>
      <c r="H66" s="26">
        <f t="shared" si="10"/>
        <v>0</v>
      </c>
      <c r="I66" s="1"/>
      <c r="J66" s="1"/>
      <c r="K66" s="1"/>
      <c r="L66" s="1"/>
      <c r="M66" s="1"/>
      <c r="N66" s="1"/>
      <c r="O66" s="1"/>
      <c r="R66" s="1"/>
      <c r="S66" s="1"/>
    </row>
    <row r="67" spans="1:19" x14ac:dyDescent="0.25">
      <c r="A67" s="7" t="s">
        <v>39</v>
      </c>
      <c r="B67" s="11"/>
      <c r="C67" s="10"/>
      <c r="D67" s="23"/>
      <c r="E67" s="11"/>
      <c r="F67" s="11"/>
      <c r="G67" s="11"/>
      <c r="H67" s="26">
        <f t="shared" si="10"/>
        <v>0</v>
      </c>
      <c r="I67" s="1"/>
      <c r="R67" s="1"/>
      <c r="S67" s="1"/>
    </row>
    <row r="68" spans="1:19" x14ac:dyDescent="0.25">
      <c r="A68" s="18" t="s">
        <v>40</v>
      </c>
      <c r="B68" s="19"/>
      <c r="C68" s="21"/>
      <c r="D68" s="43"/>
      <c r="E68" s="19"/>
      <c r="F68" s="19"/>
      <c r="G68" s="19"/>
      <c r="H68" s="26">
        <f t="shared" si="10"/>
        <v>0</v>
      </c>
      <c r="I68" s="1"/>
      <c r="R68" s="1"/>
      <c r="S68" s="1"/>
    </row>
    <row r="69" spans="1:19" x14ac:dyDescent="0.25">
      <c r="A69" s="73" t="s">
        <v>54</v>
      </c>
      <c r="B69" s="74">
        <f>SUM(B70:B81)</f>
        <v>0</v>
      </c>
      <c r="C69" s="74">
        <f t="shared" ref="C69:G69" si="11">SUM(C70:C81)</f>
        <v>0</v>
      </c>
      <c r="D69" s="74">
        <f t="shared" si="11"/>
        <v>0</v>
      </c>
      <c r="E69" s="74">
        <f t="shared" si="11"/>
        <v>0</v>
      </c>
      <c r="F69" s="74">
        <f t="shared" si="11"/>
        <v>0</v>
      </c>
      <c r="G69" s="76">
        <f t="shared" si="11"/>
        <v>0</v>
      </c>
      <c r="H69" s="75">
        <f t="shared" si="10"/>
        <v>0</v>
      </c>
      <c r="I69" s="1"/>
      <c r="R69" s="1"/>
      <c r="S69" s="1"/>
    </row>
    <row r="70" spans="1:19" x14ac:dyDescent="0.25">
      <c r="A70" s="52" t="s">
        <v>55</v>
      </c>
      <c r="B70" s="65"/>
      <c r="C70" s="10"/>
      <c r="D70" s="65"/>
      <c r="E70" s="65"/>
      <c r="F70" s="11"/>
      <c r="G70" s="65"/>
      <c r="H70" s="26">
        <f t="shared" si="10"/>
        <v>0</v>
      </c>
      <c r="I70" s="1"/>
      <c r="R70" s="1"/>
      <c r="S70" s="1"/>
    </row>
    <row r="71" spans="1:19" x14ac:dyDescent="0.25">
      <c r="A71" s="52" t="s">
        <v>56</v>
      </c>
      <c r="B71" s="66"/>
      <c r="C71" s="91"/>
      <c r="D71" s="66"/>
      <c r="E71" s="66"/>
      <c r="F71" s="11"/>
      <c r="G71" s="66"/>
      <c r="H71" s="26">
        <f t="shared" si="10"/>
        <v>0</v>
      </c>
      <c r="I71" s="1"/>
      <c r="R71" s="1"/>
      <c r="S71" s="1"/>
    </row>
    <row r="72" spans="1:19" x14ac:dyDescent="0.25">
      <c r="A72" s="52" t="s">
        <v>58</v>
      </c>
      <c r="B72" s="66"/>
      <c r="C72" s="10"/>
      <c r="D72" s="66"/>
      <c r="E72" s="66"/>
      <c r="F72" s="11"/>
      <c r="G72" s="66"/>
      <c r="H72" s="26">
        <f t="shared" si="10"/>
        <v>0</v>
      </c>
      <c r="I72" s="1"/>
      <c r="R72" s="1"/>
      <c r="S72" s="1"/>
    </row>
    <row r="73" spans="1:19" x14ac:dyDescent="0.25">
      <c r="A73" s="52" t="s">
        <v>68</v>
      </c>
      <c r="B73" s="66"/>
      <c r="C73" s="91"/>
      <c r="D73" s="66"/>
      <c r="E73" s="66"/>
      <c r="F73" s="92"/>
      <c r="G73" s="66"/>
      <c r="H73" s="26">
        <f t="shared" si="10"/>
        <v>0</v>
      </c>
      <c r="I73" s="1"/>
      <c r="R73" s="1"/>
      <c r="S73" s="1"/>
    </row>
    <row r="74" spans="1:19" x14ac:dyDescent="0.25">
      <c r="A74" s="52" t="s">
        <v>69</v>
      </c>
      <c r="B74" s="66"/>
      <c r="C74" s="91"/>
      <c r="D74" s="66"/>
      <c r="E74" s="66"/>
      <c r="F74" s="92"/>
      <c r="G74" s="66"/>
      <c r="H74" s="26">
        <f t="shared" si="10"/>
        <v>0</v>
      </c>
      <c r="I74" s="1"/>
      <c r="R74" s="1"/>
      <c r="S74" s="1"/>
    </row>
    <row r="75" spans="1:19" x14ac:dyDescent="0.25">
      <c r="A75" s="52" t="s">
        <v>57</v>
      </c>
      <c r="B75" s="66"/>
      <c r="C75" s="91"/>
      <c r="D75" s="66"/>
      <c r="E75" s="66"/>
      <c r="F75" s="91"/>
      <c r="G75" s="66"/>
      <c r="H75" s="26">
        <f t="shared" si="10"/>
        <v>0</v>
      </c>
      <c r="I75" s="1"/>
      <c r="R75" s="1"/>
      <c r="S75" s="1"/>
    </row>
    <row r="76" spans="1:19" x14ac:dyDescent="0.25">
      <c r="A76" s="52" t="s">
        <v>142</v>
      </c>
      <c r="B76" s="66"/>
      <c r="C76" s="91"/>
      <c r="D76" s="66"/>
      <c r="E76" s="66"/>
      <c r="F76" s="92"/>
      <c r="G76" s="66"/>
      <c r="H76" s="26">
        <f t="shared" si="10"/>
        <v>0</v>
      </c>
      <c r="I76" s="1"/>
      <c r="R76" s="1"/>
      <c r="S76" s="1"/>
    </row>
    <row r="77" spans="1:19" x14ac:dyDescent="0.25">
      <c r="A77" s="52" t="s">
        <v>59</v>
      </c>
      <c r="B77" s="66"/>
      <c r="C77" s="91"/>
      <c r="D77" s="66"/>
      <c r="E77" s="66"/>
      <c r="F77" s="92"/>
      <c r="G77" s="66"/>
      <c r="H77" s="26">
        <f t="shared" si="10"/>
        <v>0</v>
      </c>
      <c r="I77" s="1"/>
      <c r="R77" s="1"/>
      <c r="S77" s="1"/>
    </row>
    <row r="78" spans="1:19" x14ac:dyDescent="0.25">
      <c r="A78" s="52" t="s">
        <v>60</v>
      </c>
      <c r="B78" s="66"/>
      <c r="C78" s="91"/>
      <c r="D78" s="66"/>
      <c r="E78" s="66"/>
      <c r="F78" s="91"/>
      <c r="G78" s="66"/>
      <c r="H78" s="26">
        <f t="shared" si="10"/>
        <v>0</v>
      </c>
      <c r="I78" s="1"/>
      <c r="R78" s="1"/>
      <c r="S78" s="1"/>
    </row>
    <row r="79" spans="1:19" x14ac:dyDescent="0.25">
      <c r="A79" s="52" t="s">
        <v>106</v>
      </c>
      <c r="B79" s="66"/>
      <c r="C79" s="91"/>
      <c r="D79" s="66"/>
      <c r="E79" s="66"/>
      <c r="F79" s="91"/>
      <c r="G79" s="66"/>
      <c r="H79" s="26">
        <f t="shared" si="10"/>
        <v>0</v>
      </c>
      <c r="I79" s="1"/>
      <c r="R79" s="1"/>
      <c r="S79" s="1"/>
    </row>
    <row r="80" spans="1:19" x14ac:dyDescent="0.25">
      <c r="A80" s="52" t="s">
        <v>132</v>
      </c>
      <c r="B80" s="66"/>
      <c r="C80" s="91"/>
      <c r="D80" s="66"/>
      <c r="E80" s="66"/>
      <c r="F80" s="92"/>
      <c r="G80" s="66"/>
      <c r="H80" s="26">
        <f t="shared" si="10"/>
        <v>0</v>
      </c>
      <c r="I80" s="1"/>
      <c r="R80" s="1"/>
      <c r="S80" s="1"/>
    </row>
    <row r="81" spans="1:19" x14ac:dyDescent="0.25">
      <c r="A81" s="52" t="s">
        <v>133</v>
      </c>
      <c r="B81" s="93"/>
      <c r="C81" s="91"/>
      <c r="D81" s="93"/>
      <c r="E81" s="93"/>
      <c r="F81" s="92"/>
      <c r="G81" s="93"/>
      <c r="H81" s="26">
        <f t="shared" si="10"/>
        <v>0</v>
      </c>
      <c r="I81" s="1"/>
      <c r="R81" s="1"/>
      <c r="S81" s="1"/>
    </row>
    <row r="82" spans="1:19" x14ac:dyDescent="0.25">
      <c r="A82" s="73" t="s">
        <v>70</v>
      </c>
      <c r="B82" s="74">
        <f>SUM(B83:B94)</f>
        <v>0</v>
      </c>
      <c r="C82" s="74">
        <f t="shared" ref="C82:G82" si="12">SUM(C83:C94)</f>
        <v>0</v>
      </c>
      <c r="D82" s="74">
        <f t="shared" si="12"/>
        <v>0</v>
      </c>
      <c r="E82" s="74">
        <f t="shared" si="12"/>
        <v>0</v>
      </c>
      <c r="F82" s="74">
        <f t="shared" si="12"/>
        <v>0</v>
      </c>
      <c r="G82" s="74">
        <f t="shared" si="12"/>
        <v>0</v>
      </c>
      <c r="H82" s="75">
        <f t="shared" si="10"/>
        <v>0</v>
      </c>
      <c r="I82" s="1"/>
      <c r="R82" s="1"/>
      <c r="S82" s="1"/>
    </row>
    <row r="83" spans="1:19" x14ac:dyDescent="0.25">
      <c r="A83" s="22" t="s">
        <v>84</v>
      </c>
      <c r="B83" s="11"/>
      <c r="C83" s="10"/>
      <c r="D83" s="11"/>
      <c r="E83" s="11"/>
      <c r="F83" s="10"/>
      <c r="G83" s="11"/>
      <c r="H83" s="26">
        <f t="shared" si="10"/>
        <v>0</v>
      </c>
      <c r="I83" s="1"/>
      <c r="R83" s="1"/>
      <c r="S83" s="1"/>
    </row>
    <row r="84" spans="1:19" x14ac:dyDescent="0.25">
      <c r="A84" s="22" t="s">
        <v>114</v>
      </c>
      <c r="B84" s="11"/>
      <c r="C84" s="10"/>
      <c r="D84" s="11"/>
      <c r="E84" s="11"/>
      <c r="F84" s="10"/>
      <c r="G84" s="11"/>
      <c r="H84" s="26">
        <f t="shared" si="10"/>
        <v>0</v>
      </c>
      <c r="I84" s="1"/>
      <c r="R84" s="1"/>
      <c r="S84" s="1"/>
    </row>
    <row r="85" spans="1:19" ht="14.25" customHeight="1" x14ac:dyDescent="0.25">
      <c r="A85" s="22" t="s">
        <v>61</v>
      </c>
      <c r="B85" s="11"/>
      <c r="C85" s="10"/>
      <c r="D85" s="11"/>
      <c r="E85" s="11"/>
      <c r="F85" s="10"/>
      <c r="G85" s="11"/>
      <c r="H85" s="26">
        <f t="shared" si="10"/>
        <v>0</v>
      </c>
      <c r="I85" s="1"/>
      <c r="R85" s="1"/>
      <c r="S85" s="1"/>
    </row>
    <row r="86" spans="1:19" x14ac:dyDescent="0.25">
      <c r="A86" s="22" t="s">
        <v>62</v>
      </c>
      <c r="B86" s="11"/>
      <c r="C86" s="10"/>
      <c r="D86" s="11"/>
      <c r="E86" s="11"/>
      <c r="F86" s="10"/>
      <c r="G86" s="11"/>
      <c r="H86" s="26">
        <f t="shared" si="10"/>
        <v>0</v>
      </c>
      <c r="I86" s="1"/>
      <c r="K86" s="176"/>
      <c r="L86" s="176"/>
      <c r="M86" s="176"/>
      <c r="R86" s="1"/>
      <c r="S86" s="1"/>
    </row>
    <row r="87" spans="1:19" x14ac:dyDescent="0.25">
      <c r="A87" s="22" t="s">
        <v>93</v>
      </c>
      <c r="B87" s="11"/>
      <c r="C87" s="10"/>
      <c r="D87" s="11"/>
      <c r="E87" s="11"/>
      <c r="F87" s="10"/>
      <c r="G87" s="11"/>
      <c r="H87" s="26">
        <f t="shared" si="10"/>
        <v>0</v>
      </c>
      <c r="I87" s="1"/>
      <c r="R87" s="1"/>
      <c r="S87" s="1"/>
    </row>
    <row r="88" spans="1:19" x14ac:dyDescent="0.25">
      <c r="A88" s="22" t="s">
        <v>94</v>
      </c>
      <c r="B88" s="11"/>
      <c r="C88" s="10"/>
      <c r="D88" s="11"/>
      <c r="E88" s="11"/>
      <c r="F88" s="10"/>
      <c r="G88" s="11"/>
      <c r="H88" s="33">
        <f t="shared" si="10"/>
        <v>0</v>
      </c>
      <c r="I88" s="1"/>
      <c r="R88" s="1"/>
      <c r="S88" s="1"/>
    </row>
    <row r="89" spans="1:19" x14ac:dyDescent="0.25">
      <c r="A89" s="81" t="s">
        <v>108</v>
      </c>
      <c r="B89" s="82"/>
      <c r="C89" s="83"/>
      <c r="D89" s="82"/>
      <c r="E89" s="82"/>
      <c r="F89" s="85"/>
      <c r="G89" s="82"/>
      <c r="H89" s="84">
        <f>SUM(B89:G89)</f>
        <v>0</v>
      </c>
      <c r="I89" s="1"/>
      <c r="R89" s="1"/>
      <c r="S89" s="1"/>
    </row>
    <row r="90" spans="1:19" x14ac:dyDescent="0.25">
      <c r="A90" s="32" t="s">
        <v>63</v>
      </c>
      <c r="B90" s="31"/>
      <c r="C90" s="20"/>
      <c r="D90" s="31"/>
      <c r="E90" s="31"/>
      <c r="F90" s="20"/>
      <c r="G90" s="31"/>
      <c r="H90" s="26">
        <f t="shared" si="10"/>
        <v>0</v>
      </c>
      <c r="I90" s="1"/>
      <c r="R90" s="1"/>
      <c r="S90" s="1"/>
    </row>
    <row r="91" spans="1:19" x14ac:dyDescent="0.25">
      <c r="A91" s="22" t="s">
        <v>153</v>
      </c>
      <c r="B91" s="11"/>
      <c r="C91" s="10"/>
      <c r="D91" s="11"/>
      <c r="E91" s="11"/>
      <c r="F91" s="10"/>
      <c r="G91" s="11"/>
      <c r="H91" s="26">
        <f t="shared" si="10"/>
        <v>0</v>
      </c>
      <c r="I91" s="1"/>
      <c r="R91" s="1"/>
      <c r="S91" s="1"/>
    </row>
    <row r="92" spans="1:19" x14ac:dyDescent="0.25">
      <c r="A92" s="22" t="s">
        <v>107</v>
      </c>
      <c r="B92" s="11"/>
      <c r="C92" s="10"/>
      <c r="D92" s="11"/>
      <c r="E92" s="11"/>
      <c r="F92" s="10"/>
      <c r="G92" s="11"/>
      <c r="H92" s="26">
        <f t="shared" si="10"/>
        <v>0</v>
      </c>
      <c r="I92" s="1"/>
      <c r="R92" s="1"/>
      <c r="S92" s="1"/>
    </row>
    <row r="93" spans="1:19" x14ac:dyDescent="0.25">
      <c r="A93" s="22" t="s">
        <v>210</v>
      </c>
      <c r="B93" s="11"/>
      <c r="C93" s="10"/>
      <c r="D93" s="11"/>
      <c r="E93" s="11"/>
      <c r="F93" s="10"/>
      <c r="G93" s="11"/>
      <c r="H93" s="26">
        <f t="shared" si="10"/>
        <v>0</v>
      </c>
      <c r="I93" s="1"/>
      <c r="R93" s="1"/>
      <c r="S93" s="1"/>
    </row>
    <row r="94" spans="1:19" x14ac:dyDescent="0.25">
      <c r="A94" s="22" t="s">
        <v>182</v>
      </c>
      <c r="B94" s="11"/>
      <c r="C94" s="10"/>
      <c r="D94" s="11"/>
      <c r="E94" s="11"/>
      <c r="F94" s="10"/>
      <c r="G94" s="11"/>
      <c r="H94" s="26">
        <f t="shared" si="10"/>
        <v>0</v>
      </c>
      <c r="I94" s="1"/>
      <c r="R94" s="1"/>
      <c r="S94" s="1"/>
    </row>
    <row r="95" spans="1:19" x14ac:dyDescent="0.25">
      <c r="A95" s="73" t="s">
        <v>3</v>
      </c>
      <c r="B95" s="74">
        <f>SUM(B96:B155)</f>
        <v>0</v>
      </c>
      <c r="C95" s="74">
        <f t="shared" ref="C95:G95" si="13">SUM(C96:C155)</f>
        <v>0</v>
      </c>
      <c r="D95" s="74">
        <f t="shared" si="13"/>
        <v>0</v>
      </c>
      <c r="E95" s="74">
        <f t="shared" si="13"/>
        <v>0</v>
      </c>
      <c r="F95" s="74">
        <f t="shared" si="13"/>
        <v>0</v>
      </c>
      <c r="G95" s="74">
        <f t="shared" si="13"/>
        <v>0</v>
      </c>
      <c r="H95" s="75">
        <f t="shared" si="10"/>
        <v>0</v>
      </c>
      <c r="I95" s="1"/>
      <c r="R95" s="1"/>
      <c r="S95" s="1"/>
    </row>
    <row r="96" spans="1:19" x14ac:dyDescent="0.25">
      <c r="A96" s="7" t="s">
        <v>113</v>
      </c>
      <c r="B96" s="11"/>
      <c r="C96" s="11"/>
      <c r="D96" s="11"/>
      <c r="E96" s="11"/>
      <c r="F96" s="17"/>
      <c r="G96" s="11"/>
      <c r="H96" s="14">
        <f t="shared" si="10"/>
        <v>0</v>
      </c>
      <c r="I96" s="1"/>
      <c r="R96" s="1"/>
      <c r="S96" s="1"/>
    </row>
    <row r="97" spans="1:19" x14ac:dyDescent="0.25">
      <c r="A97" s="7" t="s">
        <v>112</v>
      </c>
      <c r="B97" s="11"/>
      <c r="C97" s="11"/>
      <c r="D97" s="11"/>
      <c r="E97" s="11"/>
      <c r="F97" s="17"/>
      <c r="G97" s="11"/>
      <c r="H97" s="27">
        <f t="shared" si="10"/>
        <v>0</v>
      </c>
      <c r="I97" s="1"/>
      <c r="R97" s="1"/>
      <c r="S97" s="1"/>
    </row>
    <row r="98" spans="1:19" x14ac:dyDescent="0.25">
      <c r="A98" s="7" t="s">
        <v>41</v>
      </c>
      <c r="B98" s="11"/>
      <c r="C98" s="11"/>
      <c r="D98" s="11"/>
      <c r="E98" s="11"/>
      <c r="F98" s="17"/>
      <c r="G98" s="11"/>
      <c r="H98" s="27">
        <f t="shared" si="10"/>
        <v>0</v>
      </c>
      <c r="I98" s="1"/>
      <c r="R98" s="1"/>
      <c r="S98" s="1"/>
    </row>
    <row r="99" spans="1:19" x14ac:dyDescent="0.25">
      <c r="A99" s="7" t="s">
        <v>192</v>
      </c>
      <c r="B99" s="11"/>
      <c r="C99" s="11"/>
      <c r="D99" s="11"/>
      <c r="E99" s="11"/>
      <c r="F99" s="17"/>
      <c r="G99" s="11"/>
      <c r="H99" s="27">
        <f t="shared" si="10"/>
        <v>0</v>
      </c>
      <c r="I99" s="1"/>
      <c r="R99" s="1"/>
      <c r="S99" s="1"/>
    </row>
    <row r="100" spans="1:19" x14ac:dyDescent="0.25">
      <c r="A100" s="7" t="s">
        <v>213</v>
      </c>
      <c r="B100" s="11"/>
      <c r="C100" s="11"/>
      <c r="D100" s="11"/>
      <c r="E100" s="11"/>
      <c r="F100" s="17"/>
      <c r="G100" s="11"/>
      <c r="H100" s="27">
        <f t="shared" si="10"/>
        <v>0</v>
      </c>
      <c r="I100" s="1"/>
      <c r="R100" s="1"/>
      <c r="S100" s="1"/>
    </row>
    <row r="101" spans="1:19" x14ac:dyDescent="0.25">
      <c r="A101" s="7" t="s">
        <v>214</v>
      </c>
      <c r="B101" s="11"/>
      <c r="C101" s="11"/>
      <c r="D101" s="11"/>
      <c r="E101" s="11"/>
      <c r="F101" s="17"/>
      <c r="G101" s="11"/>
      <c r="H101" s="27">
        <f t="shared" si="10"/>
        <v>0</v>
      </c>
      <c r="I101" s="1"/>
      <c r="R101" s="1"/>
      <c r="S101" s="1"/>
    </row>
    <row r="102" spans="1:19" x14ac:dyDescent="0.25">
      <c r="A102" s="7" t="s">
        <v>215</v>
      </c>
      <c r="B102" s="11"/>
      <c r="C102" s="11"/>
      <c r="D102" s="11"/>
      <c r="E102" s="11"/>
      <c r="F102" s="17"/>
      <c r="G102" s="11"/>
      <c r="H102" s="27">
        <f t="shared" si="10"/>
        <v>0</v>
      </c>
      <c r="I102" s="1"/>
      <c r="R102" s="1"/>
      <c r="S102" s="1"/>
    </row>
    <row r="103" spans="1:19" x14ac:dyDescent="0.25">
      <c r="A103" s="7"/>
      <c r="B103" s="11"/>
      <c r="C103" s="11"/>
      <c r="D103" s="11"/>
      <c r="E103" s="11"/>
      <c r="F103" s="17"/>
      <c r="G103" s="11"/>
      <c r="H103" s="27">
        <f t="shared" si="10"/>
        <v>0</v>
      </c>
      <c r="I103" s="1"/>
      <c r="R103" s="1"/>
      <c r="S103" s="1"/>
    </row>
    <row r="104" spans="1:19" x14ac:dyDescent="0.25">
      <c r="A104" s="7"/>
      <c r="B104" s="11"/>
      <c r="C104" s="11"/>
      <c r="D104" s="11"/>
      <c r="E104" s="11"/>
      <c r="F104" s="17"/>
      <c r="G104" s="11"/>
      <c r="H104" s="27"/>
      <c r="I104" s="1"/>
      <c r="R104" s="1"/>
      <c r="S104" s="1"/>
    </row>
    <row r="105" spans="1:19" x14ac:dyDescent="0.25">
      <c r="A105" s="7" t="s">
        <v>216</v>
      </c>
      <c r="B105" s="11"/>
      <c r="C105" s="11"/>
      <c r="D105" s="11"/>
      <c r="E105" s="11"/>
      <c r="F105" s="17"/>
      <c r="G105" s="11"/>
      <c r="H105" s="27">
        <f t="shared" si="10"/>
        <v>0</v>
      </c>
      <c r="I105" s="1"/>
      <c r="R105" s="1"/>
      <c r="S105" s="1"/>
    </row>
    <row r="106" spans="1:19" x14ac:dyDescent="0.25">
      <c r="A106" s="7" t="s">
        <v>174</v>
      </c>
      <c r="B106" s="11"/>
      <c r="C106" s="11"/>
      <c r="D106" s="11"/>
      <c r="E106" s="11"/>
      <c r="F106" s="17"/>
      <c r="G106" s="11"/>
      <c r="H106" s="27">
        <f t="shared" si="10"/>
        <v>0</v>
      </c>
      <c r="I106" s="1"/>
      <c r="R106" s="1"/>
      <c r="S106" s="1"/>
    </row>
    <row r="107" spans="1:19" x14ac:dyDescent="0.25">
      <c r="A107" s="7" t="s">
        <v>175</v>
      </c>
      <c r="B107" s="11"/>
      <c r="C107" s="11"/>
      <c r="D107" s="11"/>
      <c r="E107" s="19"/>
      <c r="F107" s="17"/>
      <c r="G107" s="11"/>
      <c r="H107" s="27">
        <f t="shared" si="10"/>
        <v>0</v>
      </c>
      <c r="I107" s="1"/>
      <c r="R107" s="1"/>
      <c r="S107" s="1"/>
    </row>
    <row r="108" spans="1:19" x14ac:dyDescent="0.25">
      <c r="A108" s="177" t="s">
        <v>109</v>
      </c>
      <c r="B108" s="177"/>
      <c r="C108" s="177"/>
      <c r="D108" s="177"/>
      <c r="E108" s="177"/>
      <c r="F108" s="177"/>
      <c r="G108" s="177"/>
      <c r="H108" s="177"/>
      <c r="I108" s="1"/>
      <c r="R108" s="1"/>
      <c r="S108" s="1"/>
    </row>
    <row r="109" spans="1:19" x14ac:dyDescent="0.25">
      <c r="A109" s="7" t="s">
        <v>123</v>
      </c>
      <c r="B109" s="11"/>
      <c r="C109" s="11"/>
      <c r="D109" s="11"/>
      <c r="E109" s="11"/>
      <c r="F109" s="11"/>
      <c r="G109" s="11"/>
      <c r="H109" s="28">
        <f t="shared" si="10"/>
        <v>0</v>
      </c>
      <c r="I109" s="1"/>
      <c r="J109" s="176"/>
      <c r="K109" s="176"/>
      <c r="R109" s="1"/>
      <c r="S109" s="1"/>
    </row>
    <row r="110" spans="1:19" x14ac:dyDescent="0.25">
      <c r="A110" s="7" t="s">
        <v>122</v>
      </c>
      <c r="B110" s="11"/>
      <c r="C110" s="11"/>
      <c r="D110" s="10"/>
      <c r="E110" s="11"/>
      <c r="F110" s="11"/>
      <c r="G110" s="11"/>
      <c r="H110" s="14">
        <f t="shared" si="10"/>
        <v>0</v>
      </c>
      <c r="I110" s="1"/>
      <c r="J110" s="176"/>
      <c r="K110" s="176"/>
      <c r="R110" s="1"/>
      <c r="S110" s="1"/>
    </row>
    <row r="111" spans="1:19" x14ac:dyDescent="0.25">
      <c r="A111" s="7" t="s">
        <v>121</v>
      </c>
      <c r="B111" s="11"/>
      <c r="C111" s="11"/>
      <c r="D111" s="11"/>
      <c r="E111" s="11"/>
      <c r="F111" s="11"/>
      <c r="G111" s="11"/>
      <c r="H111" s="14">
        <f t="shared" si="10"/>
        <v>0</v>
      </c>
      <c r="I111" s="1"/>
      <c r="R111" s="1"/>
      <c r="S111" s="1"/>
    </row>
    <row r="112" spans="1:19" x14ac:dyDescent="0.25">
      <c r="A112" s="7" t="s">
        <v>120</v>
      </c>
      <c r="B112" s="11"/>
      <c r="C112" s="11"/>
      <c r="D112" s="11"/>
      <c r="E112" s="11"/>
      <c r="F112" s="11"/>
      <c r="G112" s="11"/>
      <c r="H112" s="14">
        <f t="shared" si="10"/>
        <v>0</v>
      </c>
      <c r="I112" s="1"/>
      <c r="R112" s="1"/>
      <c r="S112" s="1"/>
    </row>
    <row r="113" spans="1:19" x14ac:dyDescent="0.25">
      <c r="A113" s="7" t="s">
        <v>124</v>
      </c>
      <c r="B113" s="11"/>
      <c r="C113" s="11"/>
      <c r="D113" s="11"/>
      <c r="E113" s="11"/>
      <c r="F113" s="11"/>
      <c r="G113" s="11"/>
      <c r="H113" s="14">
        <f t="shared" si="10"/>
        <v>0</v>
      </c>
      <c r="I113" s="1"/>
      <c r="R113" s="1"/>
      <c r="S113" s="1"/>
    </row>
    <row r="114" spans="1:19" x14ac:dyDescent="0.25">
      <c r="A114" s="7" t="s">
        <v>48</v>
      </c>
      <c r="B114" s="11"/>
      <c r="C114" s="11"/>
      <c r="D114" s="11"/>
      <c r="E114" s="11"/>
      <c r="F114" s="11"/>
      <c r="G114" s="11"/>
      <c r="H114" s="14">
        <f>SUM(B114:G114)</f>
        <v>0</v>
      </c>
      <c r="I114" s="1"/>
      <c r="R114" s="1"/>
      <c r="S114" s="1"/>
    </row>
    <row r="115" spans="1:19" x14ac:dyDescent="0.25">
      <c r="A115" s="180" t="s">
        <v>110</v>
      </c>
      <c r="B115" s="181"/>
      <c r="C115" s="181"/>
      <c r="D115" s="181"/>
      <c r="E115" s="181"/>
      <c r="F115" s="181"/>
      <c r="G115" s="181"/>
      <c r="H115" s="175"/>
      <c r="I115" s="1"/>
      <c r="R115" s="1"/>
      <c r="S115" s="1"/>
    </row>
    <row r="116" spans="1:19" x14ac:dyDescent="0.25">
      <c r="A116" s="8" t="s">
        <v>111</v>
      </c>
      <c r="B116" s="31"/>
      <c r="C116" s="31"/>
      <c r="D116" s="31"/>
      <c r="E116" s="31"/>
      <c r="F116" s="31"/>
      <c r="G116" s="31"/>
      <c r="H116" s="14">
        <f t="shared" ref="H116:H149" si="14">SUM(B116:G116)</f>
        <v>0</v>
      </c>
      <c r="I116" s="1"/>
      <c r="R116" s="1"/>
      <c r="S116" s="1"/>
    </row>
    <row r="117" spans="1:19" x14ac:dyDescent="0.25">
      <c r="A117" s="7" t="s">
        <v>158</v>
      </c>
      <c r="B117" s="11"/>
      <c r="C117" s="11"/>
      <c r="D117" s="11"/>
      <c r="E117" s="11"/>
      <c r="F117" s="11"/>
      <c r="G117" s="11"/>
      <c r="H117" s="14">
        <f t="shared" si="14"/>
        <v>0</v>
      </c>
      <c r="I117" s="1"/>
      <c r="R117" s="1"/>
      <c r="S117" s="1"/>
    </row>
    <row r="118" spans="1:19" x14ac:dyDescent="0.25">
      <c r="A118" s="7" t="s">
        <v>156</v>
      </c>
      <c r="B118" s="11"/>
      <c r="C118" s="11"/>
      <c r="D118" s="11"/>
      <c r="E118" s="11"/>
      <c r="F118" s="11"/>
      <c r="G118" s="11"/>
      <c r="H118" s="14">
        <f t="shared" si="14"/>
        <v>0</v>
      </c>
      <c r="I118" s="1"/>
      <c r="R118" s="1"/>
      <c r="S118" s="1"/>
    </row>
    <row r="119" spans="1:19" x14ac:dyDescent="0.25">
      <c r="A119" s="7" t="s">
        <v>187</v>
      </c>
      <c r="B119" s="11"/>
      <c r="C119" s="11"/>
      <c r="D119" s="11"/>
      <c r="E119" s="11"/>
      <c r="F119" s="11"/>
      <c r="G119" s="11"/>
      <c r="H119" s="14">
        <f t="shared" si="14"/>
        <v>0</v>
      </c>
      <c r="I119" s="1"/>
      <c r="R119" s="1"/>
      <c r="S119" s="1"/>
    </row>
    <row r="120" spans="1:19" x14ac:dyDescent="0.25">
      <c r="A120" s="7" t="s">
        <v>157</v>
      </c>
      <c r="B120" s="11"/>
      <c r="C120" s="11"/>
      <c r="D120" s="11"/>
      <c r="E120" s="11"/>
      <c r="F120" s="11"/>
      <c r="G120" s="11"/>
      <c r="H120" s="14">
        <f t="shared" si="14"/>
        <v>0</v>
      </c>
      <c r="I120" s="1"/>
      <c r="R120" s="1"/>
      <c r="S120" s="1"/>
    </row>
    <row r="121" spans="1:19" x14ac:dyDescent="0.25">
      <c r="A121" s="7" t="s">
        <v>125</v>
      </c>
      <c r="B121" s="11"/>
      <c r="C121" s="11"/>
      <c r="D121" s="11"/>
      <c r="E121" s="11"/>
      <c r="F121" s="11"/>
      <c r="G121" s="11"/>
      <c r="H121" s="14">
        <f t="shared" si="14"/>
        <v>0</v>
      </c>
      <c r="I121" s="1"/>
      <c r="R121" s="1"/>
      <c r="S121" s="1"/>
    </row>
    <row r="122" spans="1:19" x14ac:dyDescent="0.25">
      <c r="A122" s="7" t="s">
        <v>126</v>
      </c>
      <c r="B122" s="11"/>
      <c r="C122" s="11"/>
      <c r="D122" s="11"/>
      <c r="E122" s="11"/>
      <c r="F122" s="11"/>
      <c r="G122" s="11"/>
      <c r="H122" s="14">
        <f t="shared" si="14"/>
        <v>0</v>
      </c>
      <c r="I122" s="1"/>
      <c r="R122" s="1"/>
      <c r="S122" s="1"/>
    </row>
    <row r="123" spans="1:19" x14ac:dyDescent="0.25">
      <c r="A123" s="7" t="s">
        <v>103</v>
      </c>
      <c r="B123" s="11"/>
      <c r="C123" s="11"/>
      <c r="D123" s="11"/>
      <c r="E123" s="11"/>
      <c r="F123" s="11"/>
      <c r="G123" s="11"/>
      <c r="H123" s="14">
        <f t="shared" si="14"/>
        <v>0</v>
      </c>
      <c r="I123" s="1"/>
      <c r="R123" s="1"/>
      <c r="S123" s="1"/>
    </row>
    <row r="124" spans="1:19" x14ac:dyDescent="0.25">
      <c r="A124" s="7" t="s">
        <v>127</v>
      </c>
      <c r="B124" s="11"/>
      <c r="C124" s="11"/>
      <c r="D124" s="11"/>
      <c r="E124" s="11"/>
      <c r="F124" s="11"/>
      <c r="G124" s="11"/>
      <c r="H124" s="14">
        <f t="shared" si="14"/>
        <v>0</v>
      </c>
      <c r="I124" s="1"/>
      <c r="R124" s="1"/>
      <c r="S124" s="1"/>
    </row>
    <row r="125" spans="1:19" x14ac:dyDescent="0.25">
      <c r="A125" s="7" t="s">
        <v>128</v>
      </c>
      <c r="B125" s="11"/>
      <c r="C125" s="11"/>
      <c r="D125" s="11"/>
      <c r="E125" s="11"/>
      <c r="F125" s="11"/>
      <c r="G125" s="11"/>
      <c r="H125" s="14">
        <f t="shared" si="14"/>
        <v>0</v>
      </c>
      <c r="I125" s="1"/>
      <c r="R125" s="1"/>
      <c r="S125" s="1"/>
    </row>
    <row r="126" spans="1:19" x14ac:dyDescent="0.25">
      <c r="A126" s="7" t="s">
        <v>129</v>
      </c>
      <c r="B126" s="11"/>
      <c r="C126" s="11"/>
      <c r="D126" s="11"/>
      <c r="E126" s="11"/>
      <c r="F126" s="11"/>
      <c r="G126" s="11"/>
      <c r="H126" s="14">
        <f t="shared" si="14"/>
        <v>0</v>
      </c>
      <c r="I126" s="1"/>
      <c r="R126" s="1"/>
      <c r="S126" s="1"/>
    </row>
    <row r="127" spans="1:19" x14ac:dyDescent="0.25">
      <c r="A127" s="7" t="s">
        <v>44</v>
      </c>
      <c r="B127" s="11"/>
      <c r="C127" s="11"/>
      <c r="D127" s="11"/>
      <c r="E127" s="11"/>
      <c r="F127" s="11"/>
      <c r="G127" s="11"/>
      <c r="H127" s="14">
        <f t="shared" si="14"/>
        <v>0</v>
      </c>
      <c r="I127" s="1"/>
      <c r="R127" s="1"/>
      <c r="S127" s="1"/>
    </row>
    <row r="128" spans="1:19" x14ac:dyDescent="0.25">
      <c r="A128" s="7" t="s">
        <v>92</v>
      </c>
      <c r="B128" s="11"/>
      <c r="C128" s="11"/>
      <c r="D128" s="11"/>
      <c r="E128" s="11"/>
      <c r="F128" s="11"/>
      <c r="G128" s="11"/>
      <c r="H128" s="14">
        <f t="shared" si="14"/>
        <v>0</v>
      </c>
      <c r="I128" s="1"/>
      <c r="R128" s="1"/>
      <c r="S128" s="1"/>
    </row>
    <row r="129" spans="1:19" x14ac:dyDescent="0.25">
      <c r="A129" s="7" t="s">
        <v>45</v>
      </c>
      <c r="B129" s="11"/>
      <c r="C129" s="11"/>
      <c r="D129" s="11"/>
      <c r="E129" s="11"/>
      <c r="F129" s="11"/>
      <c r="G129" s="11"/>
      <c r="H129" s="14">
        <f t="shared" si="14"/>
        <v>0</v>
      </c>
      <c r="I129" s="1"/>
      <c r="R129" s="1"/>
      <c r="S129" s="1"/>
    </row>
    <row r="130" spans="1:19" x14ac:dyDescent="0.25">
      <c r="A130" s="7" t="s">
        <v>99</v>
      </c>
      <c r="B130" s="11"/>
      <c r="C130" s="11"/>
      <c r="D130" s="11"/>
      <c r="E130" s="11"/>
      <c r="F130" s="11"/>
      <c r="G130" s="11"/>
      <c r="H130" s="14">
        <f t="shared" si="14"/>
        <v>0</v>
      </c>
      <c r="I130" s="1"/>
      <c r="R130" s="1"/>
      <c r="S130" s="1"/>
    </row>
    <row r="131" spans="1:19" ht="15.75" customHeight="1" x14ac:dyDescent="0.25">
      <c r="A131" s="7" t="s">
        <v>100</v>
      </c>
      <c r="B131" s="11"/>
      <c r="C131" s="11"/>
      <c r="D131" s="11"/>
      <c r="E131" s="11"/>
      <c r="F131" s="11"/>
      <c r="G131" s="11"/>
      <c r="H131" s="14">
        <f t="shared" si="14"/>
        <v>0</v>
      </c>
      <c r="I131" s="1"/>
      <c r="R131" s="1"/>
      <c r="S131" s="1"/>
    </row>
    <row r="132" spans="1:19" x14ac:dyDescent="0.25">
      <c r="A132" s="7" t="s">
        <v>46</v>
      </c>
      <c r="B132" s="11"/>
      <c r="C132" s="11"/>
      <c r="D132" s="11"/>
      <c r="E132" s="11"/>
      <c r="F132" s="11"/>
      <c r="G132" s="11"/>
      <c r="H132" s="14">
        <f t="shared" si="14"/>
        <v>0</v>
      </c>
      <c r="I132" s="1"/>
      <c r="R132" s="1"/>
      <c r="S132" s="1"/>
    </row>
    <row r="133" spans="1:19" x14ac:dyDescent="0.25">
      <c r="A133" s="7" t="s">
        <v>47</v>
      </c>
      <c r="B133" s="11"/>
      <c r="C133" s="11"/>
      <c r="D133" s="11"/>
      <c r="E133" s="11"/>
      <c r="F133" s="11"/>
      <c r="G133" s="11"/>
      <c r="H133" s="14">
        <f t="shared" si="14"/>
        <v>0</v>
      </c>
      <c r="I133" s="1"/>
      <c r="R133" s="1"/>
      <c r="S133" s="1"/>
    </row>
    <row r="134" spans="1:19" x14ac:dyDescent="0.25">
      <c r="A134" s="7" t="s">
        <v>53</v>
      </c>
      <c r="B134" s="11"/>
      <c r="C134" s="11"/>
      <c r="D134" s="11"/>
      <c r="E134" s="11"/>
      <c r="F134" s="11"/>
      <c r="G134" s="11"/>
      <c r="H134" s="14">
        <f t="shared" si="14"/>
        <v>0</v>
      </c>
      <c r="I134" s="1"/>
      <c r="R134" s="1"/>
      <c r="S134" s="1"/>
    </row>
    <row r="135" spans="1:19" x14ac:dyDescent="0.25">
      <c r="A135" s="7" t="s">
        <v>134</v>
      </c>
      <c r="B135" s="11"/>
      <c r="C135" s="11"/>
      <c r="D135" s="11"/>
      <c r="E135" s="11"/>
      <c r="F135" s="11"/>
      <c r="G135" s="11"/>
      <c r="H135" s="14">
        <f t="shared" si="14"/>
        <v>0</v>
      </c>
      <c r="I135" s="1"/>
      <c r="R135" s="1"/>
      <c r="S135" s="1"/>
    </row>
    <row r="136" spans="1:19" x14ac:dyDescent="0.25">
      <c r="A136" s="7" t="s">
        <v>135</v>
      </c>
      <c r="B136" s="11"/>
      <c r="C136" s="11"/>
      <c r="D136" s="11"/>
      <c r="E136" s="11"/>
      <c r="F136" s="11"/>
      <c r="G136" s="11"/>
      <c r="H136" s="14">
        <f t="shared" si="14"/>
        <v>0</v>
      </c>
      <c r="I136" s="1"/>
      <c r="R136" s="1"/>
      <c r="S136" s="1"/>
    </row>
    <row r="137" spans="1:19" x14ac:dyDescent="0.25">
      <c r="A137" s="7" t="s">
        <v>49</v>
      </c>
      <c r="B137" s="11"/>
      <c r="C137" s="11"/>
      <c r="D137" s="11"/>
      <c r="E137" s="11"/>
      <c r="F137" s="11"/>
      <c r="G137" s="11"/>
      <c r="H137" s="27">
        <f t="shared" si="14"/>
        <v>0</v>
      </c>
      <c r="I137" s="1"/>
      <c r="R137" s="1"/>
      <c r="S137" s="1"/>
    </row>
    <row r="138" spans="1:19" x14ac:dyDescent="0.25">
      <c r="A138" s="7" t="s">
        <v>189</v>
      </c>
      <c r="B138" s="11"/>
      <c r="C138" s="11"/>
      <c r="D138" s="11"/>
      <c r="E138" s="11"/>
      <c r="F138" s="11"/>
      <c r="G138" s="11"/>
      <c r="H138" s="27">
        <f t="shared" si="14"/>
        <v>0</v>
      </c>
      <c r="I138" s="1"/>
      <c r="R138" s="1"/>
      <c r="S138" s="1"/>
    </row>
    <row r="139" spans="1:19" x14ac:dyDescent="0.25">
      <c r="A139" s="7" t="s">
        <v>50</v>
      </c>
      <c r="B139" s="11"/>
      <c r="C139" s="11"/>
      <c r="D139" s="11"/>
      <c r="E139" s="11"/>
      <c r="F139" s="11"/>
      <c r="G139" s="11"/>
      <c r="H139" s="14">
        <f t="shared" si="14"/>
        <v>0</v>
      </c>
      <c r="I139" s="1"/>
      <c r="R139" s="1"/>
      <c r="S139" s="1"/>
    </row>
    <row r="140" spans="1:19" x14ac:dyDescent="0.25">
      <c r="A140" s="7" t="s">
        <v>104</v>
      </c>
      <c r="B140" s="11"/>
      <c r="C140" s="11"/>
      <c r="D140" s="11"/>
      <c r="E140" s="11"/>
      <c r="F140" s="11"/>
      <c r="G140" s="11"/>
      <c r="H140" s="14">
        <f t="shared" si="14"/>
        <v>0</v>
      </c>
      <c r="I140" s="1"/>
      <c r="R140" s="1"/>
      <c r="S140" s="1"/>
    </row>
    <row r="141" spans="1:19" x14ac:dyDescent="0.25">
      <c r="A141" s="7" t="s">
        <v>51</v>
      </c>
      <c r="B141" s="11"/>
      <c r="C141" s="11"/>
      <c r="D141" s="11"/>
      <c r="E141" s="11"/>
      <c r="F141" s="11"/>
      <c r="G141" s="11"/>
      <c r="H141" s="14">
        <f t="shared" si="14"/>
        <v>0</v>
      </c>
    </row>
    <row r="142" spans="1:19" x14ac:dyDescent="0.25">
      <c r="A142" s="7" t="s">
        <v>52</v>
      </c>
      <c r="B142" s="11"/>
      <c r="C142" s="11"/>
      <c r="D142" s="11"/>
      <c r="E142" s="11"/>
      <c r="F142" s="11"/>
      <c r="G142" s="11"/>
      <c r="H142" s="14">
        <f t="shared" si="14"/>
        <v>0</v>
      </c>
    </row>
    <row r="143" spans="1:19" x14ac:dyDescent="0.25">
      <c r="A143" s="7" t="s">
        <v>115</v>
      </c>
      <c r="B143" s="11"/>
      <c r="C143" s="11"/>
      <c r="D143" s="11"/>
      <c r="E143" s="11"/>
      <c r="F143" s="11"/>
      <c r="G143" s="11"/>
      <c r="H143" s="14">
        <f t="shared" si="14"/>
        <v>0</v>
      </c>
    </row>
    <row r="144" spans="1:19" x14ac:dyDescent="0.25">
      <c r="A144" s="7" t="s">
        <v>116</v>
      </c>
      <c r="B144" s="11"/>
      <c r="C144" s="11"/>
      <c r="D144" s="11"/>
      <c r="E144" s="11"/>
      <c r="F144" s="11"/>
      <c r="G144" s="11"/>
      <c r="H144" s="14">
        <f t="shared" si="14"/>
        <v>0</v>
      </c>
    </row>
    <row r="145" spans="1:13" x14ac:dyDescent="0.25">
      <c r="A145" s="7" t="s">
        <v>102</v>
      </c>
      <c r="B145" s="11"/>
      <c r="C145" s="11"/>
      <c r="D145" s="11"/>
      <c r="E145" s="11"/>
      <c r="F145" s="11"/>
      <c r="G145" s="11"/>
      <c r="H145" s="14">
        <f t="shared" si="14"/>
        <v>0</v>
      </c>
    </row>
    <row r="146" spans="1:13" x14ac:dyDescent="0.25">
      <c r="A146" s="7" t="s">
        <v>203</v>
      </c>
      <c r="B146" s="11"/>
      <c r="C146" s="11"/>
      <c r="D146" s="11"/>
      <c r="E146" s="11"/>
      <c r="F146" s="11"/>
      <c r="G146" s="11"/>
      <c r="H146" s="14">
        <f t="shared" si="14"/>
        <v>0</v>
      </c>
    </row>
    <row r="147" spans="1:13" x14ac:dyDescent="0.25">
      <c r="A147" s="7" t="s">
        <v>197</v>
      </c>
      <c r="B147" s="11"/>
      <c r="C147" s="11"/>
      <c r="D147" s="11"/>
      <c r="E147" s="11"/>
      <c r="F147" s="11"/>
      <c r="G147" s="11"/>
      <c r="H147" s="14">
        <f t="shared" si="14"/>
        <v>0</v>
      </c>
    </row>
    <row r="148" spans="1:13" x14ac:dyDescent="0.25">
      <c r="A148" s="7"/>
      <c r="B148" s="11"/>
      <c r="C148" s="11"/>
      <c r="D148" s="11"/>
      <c r="E148" s="11"/>
      <c r="F148" s="11"/>
      <c r="G148" s="11"/>
      <c r="H148" s="14"/>
    </row>
    <row r="149" spans="1:13" x14ac:dyDescent="0.25">
      <c r="A149" s="7" t="s">
        <v>198</v>
      </c>
      <c r="B149" s="11"/>
      <c r="C149" s="11"/>
      <c r="D149" s="11"/>
      <c r="E149" s="11"/>
      <c r="F149" s="11"/>
      <c r="G149" s="11"/>
      <c r="H149" s="14">
        <f t="shared" si="14"/>
        <v>0</v>
      </c>
    </row>
    <row r="150" spans="1:13" x14ac:dyDescent="0.25">
      <c r="A150" s="7" t="s">
        <v>199</v>
      </c>
      <c r="B150" s="11"/>
      <c r="C150" s="11"/>
      <c r="D150" s="11"/>
      <c r="E150" s="11"/>
      <c r="F150" s="11"/>
      <c r="G150" s="11"/>
      <c r="H150" s="14">
        <f>SUM(B150:G150)</f>
        <v>0</v>
      </c>
    </row>
    <row r="151" spans="1:13" x14ac:dyDescent="0.25">
      <c r="A151" s="7" t="s">
        <v>200</v>
      </c>
      <c r="B151" s="11"/>
      <c r="C151" s="11"/>
      <c r="D151" s="11"/>
      <c r="E151" s="11"/>
      <c r="F151" s="11"/>
      <c r="G151" s="11"/>
      <c r="H151" s="14">
        <f>SUM(B151:G151)</f>
        <v>0</v>
      </c>
    </row>
    <row r="152" spans="1:13" x14ac:dyDescent="0.25">
      <c r="A152" s="7"/>
      <c r="B152" s="11"/>
      <c r="C152" s="11"/>
      <c r="D152" s="11"/>
      <c r="E152" s="11"/>
      <c r="F152" s="11"/>
      <c r="G152" s="11"/>
      <c r="H152" s="27"/>
    </row>
    <row r="153" spans="1:13" x14ac:dyDescent="0.25">
      <c r="A153" s="7" t="s">
        <v>105</v>
      </c>
      <c r="B153" s="11"/>
      <c r="C153" s="11"/>
      <c r="D153" s="11"/>
      <c r="E153" s="11"/>
      <c r="F153" s="11"/>
      <c r="G153" s="11"/>
      <c r="H153" s="27">
        <f>SUM(B153:G153)</f>
        <v>0</v>
      </c>
    </row>
    <row r="154" spans="1:13" x14ac:dyDescent="0.25">
      <c r="A154" s="7" t="s">
        <v>206</v>
      </c>
      <c r="B154" s="11"/>
      <c r="C154" s="11"/>
      <c r="D154" s="11"/>
      <c r="E154" s="11"/>
      <c r="F154" s="11"/>
      <c r="G154" s="11"/>
      <c r="H154" s="27">
        <f t="shared" ref="H154:H155" si="15">SUM(B154:G154)</f>
        <v>0</v>
      </c>
    </row>
    <row r="155" spans="1:13" x14ac:dyDescent="0.25">
      <c r="A155" s="107" t="s">
        <v>207</v>
      </c>
      <c r="B155" s="93"/>
      <c r="C155" s="93"/>
      <c r="D155" s="93"/>
      <c r="E155" s="93"/>
      <c r="F155" s="93"/>
      <c r="G155" s="93"/>
      <c r="H155" s="14">
        <f t="shared" si="15"/>
        <v>0</v>
      </c>
    </row>
    <row r="158" spans="1:13" x14ac:dyDescent="0.25">
      <c r="J158" s="176"/>
      <c r="K158" s="176"/>
      <c r="L158" s="176"/>
      <c r="M158" s="176"/>
    </row>
    <row r="159" spans="1:13" x14ac:dyDescent="0.25">
      <c r="J159" s="176"/>
    </row>
    <row r="166" spans="10:17" x14ac:dyDescent="0.25">
      <c r="P166" s="1"/>
      <c r="Q166" s="1"/>
    </row>
    <row r="168" spans="10:17" x14ac:dyDescent="0.25">
      <c r="J168" s="1"/>
      <c r="K168" s="1"/>
      <c r="L168" s="1"/>
      <c r="M168" s="1"/>
      <c r="N168" s="1"/>
      <c r="O168" s="1"/>
    </row>
  </sheetData>
  <mergeCells count="30">
    <mergeCell ref="A3:R3"/>
    <mergeCell ref="B4:J4"/>
    <mergeCell ref="L4:R4"/>
    <mergeCell ref="A9:A10"/>
    <mergeCell ref="B9:H9"/>
    <mergeCell ref="J9:J10"/>
    <mergeCell ref="K9:Q9"/>
    <mergeCell ref="J58:P58"/>
    <mergeCell ref="J26:J27"/>
    <mergeCell ref="K26:Q26"/>
    <mergeCell ref="J39:J40"/>
    <mergeCell ref="K39:Q39"/>
    <mergeCell ref="J50:M50"/>
    <mergeCell ref="J52:Q52"/>
    <mergeCell ref="J53:P53"/>
    <mergeCell ref="J54:P54"/>
    <mergeCell ref="J55:P55"/>
    <mergeCell ref="J56:P56"/>
    <mergeCell ref="J57:P57"/>
    <mergeCell ref="J59:P59"/>
    <mergeCell ref="J60:P60"/>
    <mergeCell ref="J61:P61"/>
    <mergeCell ref="J62:P62"/>
    <mergeCell ref="K86:M86"/>
    <mergeCell ref="A108:H108"/>
    <mergeCell ref="J109:J110"/>
    <mergeCell ref="K109:K110"/>
    <mergeCell ref="A115:H115"/>
    <mergeCell ref="J158:J159"/>
    <mergeCell ref="K158:M158"/>
  </mergeCells>
  <pageMargins left="1" right="1" top="1" bottom="1" header="0.5" footer="0.5"/>
  <pageSetup paperSize="9" scale="50" fitToHeight="0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CB00E-4C49-4A3E-BAD9-82D63355F293}">
  <sheetPr>
    <pageSetUpPr fitToPage="1"/>
  </sheetPr>
  <dimension ref="A3:S169"/>
  <sheetViews>
    <sheetView zoomScale="80" zoomScaleNormal="80" workbookViewId="0">
      <selection activeCell="L6" sqref="L6"/>
    </sheetView>
  </sheetViews>
  <sheetFormatPr baseColWidth="10" defaultRowHeight="15" x14ac:dyDescent="0.25"/>
  <cols>
    <col min="1" max="1" width="49.85546875" customWidth="1"/>
    <col min="2" max="6" width="9.85546875" customWidth="1"/>
    <col min="7" max="7" width="13.5703125" customWidth="1"/>
    <col min="8" max="8" width="9.28515625" customWidth="1"/>
    <col min="9" max="9" width="9.42578125" customWidth="1"/>
    <col min="10" max="10" width="43.7109375" customWidth="1"/>
    <col min="11" max="15" width="9.28515625" customWidth="1"/>
    <col min="16" max="16" width="10.42578125" customWidth="1"/>
    <col min="17" max="17" width="10" customWidth="1"/>
    <col min="18" max="18" width="2.85546875" customWidth="1"/>
  </cols>
  <sheetData>
    <row r="3" spans="1:19" ht="26.25" x14ac:dyDescent="0.25">
      <c r="A3" s="161"/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"/>
    </row>
    <row r="4" spans="1:19" ht="15.75" x14ac:dyDescent="0.25">
      <c r="A4" s="1" t="s">
        <v>12</v>
      </c>
      <c r="B4" s="170" t="s">
        <v>16</v>
      </c>
      <c r="C4" s="171"/>
      <c r="D4" s="171"/>
      <c r="E4" s="171"/>
      <c r="F4" s="171"/>
      <c r="G4" s="171"/>
      <c r="H4" s="171"/>
      <c r="I4" s="171"/>
      <c r="J4" s="172"/>
      <c r="K4" s="9" t="s">
        <v>14</v>
      </c>
      <c r="L4" s="162" t="s">
        <v>180</v>
      </c>
      <c r="M4" s="163"/>
      <c r="N4" s="163"/>
      <c r="O4" s="163"/>
      <c r="P4" s="163"/>
      <c r="Q4" s="163"/>
      <c r="R4" s="164"/>
      <c r="S4" s="1"/>
    </row>
    <row r="5" spans="1:19" x14ac:dyDescent="0.25">
      <c r="A5" s="1"/>
      <c r="B5" s="1"/>
      <c r="C5" s="1"/>
      <c r="D5" s="10"/>
      <c r="E5" s="1"/>
      <c r="F5" s="1"/>
      <c r="G5" s="1"/>
      <c r="H5" s="1"/>
      <c r="I5" s="1"/>
      <c r="J5" s="1"/>
      <c r="K5" s="9"/>
      <c r="L5" s="10"/>
      <c r="M5" s="10"/>
      <c r="N5" s="10"/>
      <c r="O5" s="10"/>
      <c r="P5" s="10"/>
      <c r="Q5" s="10"/>
      <c r="R5" s="10"/>
      <c r="S5" s="1"/>
    </row>
    <row r="6" spans="1:19" x14ac:dyDescent="0.25">
      <c r="A6" s="1" t="s">
        <v>15</v>
      </c>
      <c r="B6" s="30">
        <v>3</v>
      </c>
      <c r="C6" s="1"/>
      <c r="D6" s="10"/>
      <c r="E6" s="1"/>
      <c r="F6" s="1"/>
      <c r="G6" s="1"/>
      <c r="H6" s="1"/>
      <c r="I6" s="1"/>
      <c r="J6" s="1"/>
      <c r="K6" s="9" t="s">
        <v>13</v>
      </c>
      <c r="L6" s="30"/>
      <c r="M6" s="1"/>
      <c r="N6" s="1"/>
      <c r="O6" s="1"/>
      <c r="P6" s="1"/>
      <c r="Q6" s="1"/>
      <c r="R6" s="1"/>
      <c r="S6" s="1"/>
    </row>
    <row r="7" spans="1:19" x14ac:dyDescent="0.25">
      <c r="A7" s="1"/>
      <c r="B7" s="1"/>
      <c r="C7" s="1"/>
      <c r="D7" s="10"/>
      <c r="E7" s="1"/>
      <c r="F7" s="1"/>
      <c r="G7" s="1"/>
      <c r="H7" s="1"/>
      <c r="I7" s="1"/>
      <c r="J7" s="1"/>
      <c r="K7" s="1"/>
      <c r="L7" s="44"/>
      <c r="M7" s="1"/>
      <c r="N7" s="1"/>
      <c r="O7" s="1"/>
      <c r="P7" s="1"/>
      <c r="Q7" s="1"/>
      <c r="R7" s="1"/>
      <c r="S7" s="1"/>
    </row>
    <row r="8" spans="1:19" ht="15.75" thickBot="1" x14ac:dyDescent="0.3">
      <c r="A8" s="2"/>
      <c r="B8" s="2"/>
      <c r="C8" s="2"/>
      <c r="D8" s="2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3"/>
      <c r="S8" s="1"/>
    </row>
    <row r="9" spans="1:19" x14ac:dyDescent="0.25">
      <c r="A9" s="165" t="s">
        <v>148</v>
      </c>
      <c r="B9" s="167" t="s">
        <v>11</v>
      </c>
      <c r="C9" s="167"/>
      <c r="D9" s="167"/>
      <c r="E9" s="167"/>
      <c r="F9" s="167"/>
      <c r="G9" s="167"/>
      <c r="H9" s="167"/>
      <c r="I9" s="1"/>
      <c r="J9" s="168" t="s">
        <v>149</v>
      </c>
      <c r="K9" s="153" t="s">
        <v>11</v>
      </c>
      <c r="L9" s="153"/>
      <c r="M9" s="153"/>
      <c r="N9" s="153"/>
      <c r="O9" s="153"/>
      <c r="P9" s="153"/>
      <c r="Q9" s="154"/>
      <c r="R9" s="4"/>
      <c r="S9" s="1"/>
    </row>
    <row r="10" spans="1:19" x14ac:dyDescent="0.25">
      <c r="A10" s="166"/>
      <c r="B10" s="30" t="s">
        <v>8</v>
      </c>
      <c r="C10" s="30" t="s">
        <v>9</v>
      </c>
      <c r="D10" s="30" t="s">
        <v>10</v>
      </c>
      <c r="E10" s="30" t="s">
        <v>154</v>
      </c>
      <c r="F10" s="30" t="s">
        <v>155</v>
      </c>
      <c r="G10" s="30" t="s">
        <v>147</v>
      </c>
      <c r="H10" s="30" t="s">
        <v>11</v>
      </c>
      <c r="I10" s="1"/>
      <c r="J10" s="169"/>
      <c r="K10" s="30" t="s">
        <v>8</v>
      </c>
      <c r="L10" s="30" t="s">
        <v>9</v>
      </c>
      <c r="M10" s="30" t="s">
        <v>10</v>
      </c>
      <c r="N10" s="30" t="s">
        <v>154</v>
      </c>
      <c r="O10" s="30" t="s">
        <v>155</v>
      </c>
      <c r="P10" s="30" t="s">
        <v>147</v>
      </c>
      <c r="Q10" s="54" t="s">
        <v>11</v>
      </c>
      <c r="R10" s="4"/>
      <c r="S10" s="1"/>
    </row>
    <row r="11" spans="1:19" x14ac:dyDescent="0.25">
      <c r="A11" s="15" t="s">
        <v>0</v>
      </c>
      <c r="B11" s="16">
        <f>B12+B51+B69+B82+B95</f>
        <v>0</v>
      </c>
      <c r="C11" s="16">
        <f t="shared" ref="C11:G11" si="0">C12+C51+C69+C82+C95</f>
        <v>0</v>
      </c>
      <c r="D11" s="16">
        <f t="shared" si="0"/>
        <v>0</v>
      </c>
      <c r="E11" s="16">
        <f t="shared" si="0"/>
        <v>0</v>
      </c>
      <c r="F11" s="16">
        <f t="shared" si="0"/>
        <v>0</v>
      </c>
      <c r="G11" s="16">
        <f t="shared" si="0"/>
        <v>0</v>
      </c>
      <c r="H11" s="12">
        <f>SUM(B11:G11)</f>
        <v>0</v>
      </c>
      <c r="I11" s="1"/>
      <c r="J11" s="79" t="s">
        <v>85</v>
      </c>
      <c r="K11" s="74">
        <f t="shared" ref="K11:P11" si="1">SUM(K12:K23)</f>
        <v>0</v>
      </c>
      <c r="L11" s="74">
        <f t="shared" si="1"/>
        <v>0</v>
      </c>
      <c r="M11" s="74">
        <f t="shared" si="1"/>
        <v>0</v>
      </c>
      <c r="N11" s="74">
        <f t="shared" si="1"/>
        <v>0</v>
      </c>
      <c r="O11" s="74">
        <f t="shared" si="1"/>
        <v>0</v>
      </c>
      <c r="P11" s="74">
        <f t="shared" si="1"/>
        <v>0</v>
      </c>
      <c r="Q11" s="80">
        <f t="shared" ref="Q11:Q23" si="2">SUM(K11:P11)</f>
        <v>0</v>
      </c>
      <c r="R11" s="4"/>
      <c r="S11" s="1"/>
    </row>
    <row r="12" spans="1:19" x14ac:dyDescent="0.25">
      <c r="A12" s="73" t="s">
        <v>1</v>
      </c>
      <c r="B12" s="74">
        <f t="shared" ref="B12:G12" si="3">SUM(B13:B50)</f>
        <v>0</v>
      </c>
      <c r="C12" s="74">
        <f t="shared" si="3"/>
        <v>0</v>
      </c>
      <c r="D12" s="74">
        <f t="shared" si="3"/>
        <v>0</v>
      </c>
      <c r="E12" s="74">
        <f t="shared" si="3"/>
        <v>0</v>
      </c>
      <c r="F12" s="74">
        <f t="shared" si="3"/>
        <v>0</v>
      </c>
      <c r="G12" s="74">
        <f t="shared" si="3"/>
        <v>0</v>
      </c>
      <c r="H12" s="74">
        <f>SUM(B12:G12)</f>
        <v>0</v>
      </c>
      <c r="I12" s="1"/>
      <c r="J12" s="55" t="s">
        <v>4</v>
      </c>
      <c r="K12" s="68"/>
      <c r="L12" s="68"/>
      <c r="M12" s="68"/>
      <c r="N12" s="68"/>
      <c r="O12" s="68"/>
      <c r="P12" s="68"/>
      <c r="Q12" s="40">
        <f t="shared" si="2"/>
        <v>0</v>
      </c>
      <c r="R12" s="4"/>
      <c r="S12" s="1"/>
    </row>
    <row r="13" spans="1:19" x14ac:dyDescent="0.25">
      <c r="A13" s="8" t="s">
        <v>17</v>
      </c>
      <c r="B13" s="17"/>
      <c r="C13" s="11"/>
      <c r="D13" s="11"/>
      <c r="E13" s="11"/>
      <c r="F13" s="11"/>
      <c r="G13" s="11"/>
      <c r="H13" s="12">
        <f>SUM(B13:G13)</f>
        <v>0</v>
      </c>
      <c r="I13" s="1"/>
      <c r="J13" s="55" t="s">
        <v>81</v>
      </c>
      <c r="K13" s="68"/>
      <c r="L13" s="68"/>
      <c r="M13" s="68"/>
      <c r="N13" s="68"/>
      <c r="O13" s="68"/>
      <c r="P13" s="68"/>
      <c r="Q13" s="40">
        <f t="shared" si="2"/>
        <v>0</v>
      </c>
      <c r="R13" s="4"/>
      <c r="S13" s="1"/>
    </row>
    <row r="14" spans="1:19" x14ac:dyDescent="0.25">
      <c r="A14" s="7" t="s">
        <v>18</v>
      </c>
      <c r="B14" s="17"/>
      <c r="C14" s="11"/>
      <c r="D14" s="11"/>
      <c r="E14" s="11"/>
      <c r="F14" s="11"/>
      <c r="G14" s="11"/>
      <c r="H14" s="12">
        <f t="shared" ref="H14:H48" si="4">SUM(B14:G14)</f>
        <v>0</v>
      </c>
      <c r="I14" s="1"/>
      <c r="J14" s="56" t="s">
        <v>5</v>
      </c>
      <c r="K14" s="68"/>
      <c r="L14" s="68"/>
      <c r="M14" s="68"/>
      <c r="N14" s="68"/>
      <c r="O14" s="68"/>
      <c r="P14" s="68"/>
      <c r="Q14" s="40">
        <f>SUM(K14:P14)</f>
        <v>0</v>
      </c>
      <c r="R14" s="4"/>
      <c r="S14" s="1"/>
    </row>
    <row r="15" spans="1:19" x14ac:dyDescent="0.25">
      <c r="A15" s="7" t="s">
        <v>19</v>
      </c>
      <c r="B15" s="17"/>
      <c r="C15" s="11"/>
      <c r="D15" s="13"/>
      <c r="E15" s="13"/>
      <c r="F15" s="13"/>
      <c r="G15" s="13"/>
      <c r="H15" s="12">
        <f>SUM(B15:G15)</f>
        <v>0</v>
      </c>
      <c r="I15" s="1"/>
      <c r="J15" s="56" t="s">
        <v>80</v>
      </c>
      <c r="K15" s="68"/>
      <c r="L15" s="68"/>
      <c r="M15" s="68"/>
      <c r="N15" s="68"/>
      <c r="O15" s="68"/>
      <c r="P15" s="68"/>
      <c r="Q15" s="40">
        <f t="shared" si="2"/>
        <v>0</v>
      </c>
      <c r="R15" s="4"/>
      <c r="S15" s="1"/>
    </row>
    <row r="16" spans="1:19" x14ac:dyDescent="0.25">
      <c r="A16" s="7" t="s">
        <v>27</v>
      </c>
      <c r="B16" s="10"/>
      <c r="C16" s="11"/>
      <c r="D16" s="11"/>
      <c r="E16" s="11"/>
      <c r="F16" s="11"/>
      <c r="G16" s="11"/>
      <c r="H16" s="12">
        <f t="shared" si="4"/>
        <v>0</v>
      </c>
      <c r="I16" s="1"/>
      <c r="J16" s="57" t="s">
        <v>83</v>
      </c>
      <c r="K16" s="69"/>
      <c r="L16" s="69"/>
      <c r="M16" s="69"/>
      <c r="N16" s="69"/>
      <c r="O16" s="69"/>
      <c r="P16" s="69"/>
      <c r="Q16" s="40">
        <f t="shared" si="2"/>
        <v>0</v>
      </c>
      <c r="R16" s="4"/>
      <c r="S16" s="1"/>
    </row>
    <row r="17" spans="1:19" x14ac:dyDescent="0.25">
      <c r="A17" s="7" t="s">
        <v>186</v>
      </c>
      <c r="B17" s="10"/>
      <c r="C17" s="11"/>
      <c r="D17" s="11"/>
      <c r="E17" s="11"/>
      <c r="F17" s="11"/>
      <c r="G17" s="11"/>
      <c r="H17" s="12">
        <f t="shared" si="4"/>
        <v>0</v>
      </c>
      <c r="I17" s="1"/>
      <c r="J17" s="50" t="s">
        <v>162</v>
      </c>
      <c r="K17" s="69"/>
      <c r="L17" s="69"/>
      <c r="M17" s="69"/>
      <c r="N17" s="69"/>
      <c r="O17" s="69"/>
      <c r="P17" s="69"/>
      <c r="Q17" s="40">
        <f t="shared" si="2"/>
        <v>0</v>
      </c>
      <c r="R17" s="4"/>
      <c r="S17" s="1"/>
    </row>
    <row r="18" spans="1:19" x14ac:dyDescent="0.25">
      <c r="A18" s="7" t="s">
        <v>188</v>
      </c>
      <c r="B18" s="10"/>
      <c r="C18" s="11"/>
      <c r="D18" s="11"/>
      <c r="E18" s="11"/>
      <c r="F18" s="11"/>
      <c r="G18" s="11"/>
      <c r="H18" s="12">
        <f t="shared" si="4"/>
        <v>0</v>
      </c>
      <c r="I18" s="1"/>
      <c r="J18" s="50" t="s">
        <v>163</v>
      </c>
      <c r="K18" s="69"/>
      <c r="L18" s="69"/>
      <c r="M18" s="69"/>
      <c r="N18" s="69"/>
      <c r="O18" s="69"/>
      <c r="P18" s="69"/>
      <c r="Q18" s="40">
        <f t="shared" si="2"/>
        <v>0</v>
      </c>
      <c r="R18" s="4"/>
      <c r="S18" s="1"/>
    </row>
    <row r="19" spans="1:19" x14ac:dyDescent="0.25">
      <c r="A19" s="7" t="s">
        <v>28</v>
      </c>
      <c r="B19" s="17"/>
      <c r="C19" s="11"/>
      <c r="D19" s="11"/>
      <c r="E19" s="11"/>
      <c r="F19" s="11"/>
      <c r="G19" s="11"/>
      <c r="H19" s="12">
        <f t="shared" si="4"/>
        <v>0</v>
      </c>
      <c r="I19" s="1"/>
      <c r="J19" s="50" t="s">
        <v>164</v>
      </c>
      <c r="K19" s="69"/>
      <c r="L19" s="69"/>
      <c r="M19" s="69"/>
      <c r="N19" s="69"/>
      <c r="O19" s="69"/>
      <c r="P19" s="69"/>
      <c r="Q19" s="40">
        <f t="shared" si="2"/>
        <v>0</v>
      </c>
      <c r="R19" s="4"/>
      <c r="S19" s="1"/>
    </row>
    <row r="20" spans="1:19" x14ac:dyDescent="0.25">
      <c r="A20" s="7" t="s">
        <v>29</v>
      </c>
      <c r="B20" s="10"/>
      <c r="C20" s="11"/>
      <c r="D20" s="11"/>
      <c r="E20" s="11"/>
      <c r="F20" s="11"/>
      <c r="G20" s="11"/>
      <c r="H20" s="12">
        <f t="shared" si="4"/>
        <v>0</v>
      </c>
      <c r="I20" s="1"/>
      <c r="J20" s="50" t="s">
        <v>194</v>
      </c>
      <c r="K20" s="69"/>
      <c r="L20" s="69"/>
      <c r="M20" s="69"/>
      <c r="N20" s="69"/>
      <c r="O20" s="69"/>
      <c r="P20" s="69"/>
      <c r="Q20" s="40">
        <f t="shared" si="2"/>
        <v>0</v>
      </c>
      <c r="R20" s="4"/>
      <c r="S20" s="1"/>
    </row>
    <row r="21" spans="1:19" x14ac:dyDescent="0.25">
      <c r="A21" s="7" t="s">
        <v>20</v>
      </c>
      <c r="B21" s="17"/>
      <c r="C21" s="11"/>
      <c r="D21" s="11"/>
      <c r="E21" s="11"/>
      <c r="F21" s="11"/>
      <c r="G21" s="11"/>
      <c r="H21" s="12">
        <f t="shared" si="4"/>
        <v>0</v>
      </c>
      <c r="I21" s="1"/>
      <c r="J21" s="50" t="s">
        <v>221</v>
      </c>
      <c r="K21" s="69"/>
      <c r="L21" s="69"/>
      <c r="M21" s="69"/>
      <c r="N21" s="69"/>
      <c r="O21" s="69"/>
      <c r="P21" s="69"/>
      <c r="Q21" s="40"/>
      <c r="R21" s="4"/>
      <c r="S21" s="1"/>
    </row>
    <row r="22" spans="1:19" x14ac:dyDescent="0.25">
      <c r="A22" s="7" t="s">
        <v>25</v>
      </c>
      <c r="B22" s="17"/>
      <c r="C22" s="11"/>
      <c r="D22" s="11"/>
      <c r="E22" s="11"/>
      <c r="F22" s="11"/>
      <c r="G22" s="11"/>
      <c r="H22" s="12">
        <f t="shared" si="4"/>
        <v>0</v>
      </c>
      <c r="I22" s="1"/>
      <c r="J22" s="58" t="s">
        <v>6</v>
      </c>
      <c r="K22" s="68"/>
      <c r="L22" s="68"/>
      <c r="M22" s="68"/>
      <c r="N22" s="68"/>
      <c r="O22" s="68"/>
      <c r="P22" s="68"/>
      <c r="Q22" s="40">
        <f t="shared" si="2"/>
        <v>0</v>
      </c>
      <c r="R22" s="4"/>
      <c r="S22" s="1"/>
    </row>
    <row r="23" spans="1:19" ht="15.75" thickBot="1" x14ac:dyDescent="0.3">
      <c r="A23" s="7" t="s">
        <v>218</v>
      </c>
      <c r="B23" s="17"/>
      <c r="C23" s="11"/>
      <c r="D23" s="11"/>
      <c r="E23" s="11"/>
      <c r="F23" s="11"/>
      <c r="G23" s="11"/>
      <c r="H23" s="12">
        <f t="shared" si="4"/>
        <v>0</v>
      </c>
      <c r="I23" s="1"/>
      <c r="J23" s="59" t="s">
        <v>7</v>
      </c>
      <c r="K23" s="94"/>
      <c r="L23" s="94"/>
      <c r="M23" s="94"/>
      <c r="N23" s="94"/>
      <c r="O23" s="94"/>
      <c r="P23" s="94"/>
      <c r="Q23" s="46">
        <f t="shared" si="2"/>
        <v>0</v>
      </c>
      <c r="R23" s="4"/>
      <c r="S23" s="1"/>
    </row>
    <row r="24" spans="1:19" x14ac:dyDescent="0.25">
      <c r="A24" s="7" t="s">
        <v>21</v>
      </c>
      <c r="B24" s="17"/>
      <c r="C24" s="11"/>
      <c r="D24" s="11"/>
      <c r="E24" s="11"/>
      <c r="F24" s="11"/>
      <c r="G24" s="11"/>
      <c r="H24" s="12">
        <f t="shared" si="4"/>
        <v>0</v>
      </c>
      <c r="I24" s="1"/>
      <c r="J24" s="1"/>
      <c r="K24" s="1"/>
      <c r="L24" s="1"/>
      <c r="M24" s="1"/>
      <c r="N24" s="1"/>
      <c r="O24" s="1"/>
      <c r="P24" s="1"/>
      <c r="Q24" s="1"/>
      <c r="R24" s="4"/>
      <c r="S24" s="1"/>
    </row>
    <row r="25" spans="1:19" ht="15.75" thickBot="1" x14ac:dyDescent="0.3">
      <c r="A25" s="7" t="s">
        <v>24</v>
      </c>
      <c r="B25" s="17"/>
      <c r="C25" s="11"/>
      <c r="D25" s="11"/>
      <c r="E25" s="11"/>
      <c r="F25" s="11"/>
      <c r="G25" s="11"/>
      <c r="H25" s="12">
        <f t="shared" si="4"/>
        <v>0</v>
      </c>
      <c r="I25" s="1"/>
      <c r="J25" s="1"/>
      <c r="K25" s="1"/>
      <c r="L25" s="1"/>
      <c r="M25" s="1"/>
      <c r="N25" s="1"/>
      <c r="O25" s="1"/>
      <c r="P25" s="1"/>
      <c r="Q25" s="1"/>
      <c r="R25" s="4"/>
      <c r="S25" s="1"/>
    </row>
    <row r="26" spans="1:19" x14ac:dyDescent="0.25">
      <c r="A26" s="7" t="s">
        <v>79</v>
      </c>
      <c r="B26" s="17"/>
      <c r="C26" s="11"/>
      <c r="D26" s="11"/>
      <c r="E26" s="11"/>
      <c r="F26" s="11"/>
      <c r="G26" s="11"/>
      <c r="H26" s="12">
        <f t="shared" si="4"/>
        <v>0</v>
      </c>
      <c r="I26" s="1"/>
      <c r="J26" s="151" t="s">
        <v>169</v>
      </c>
      <c r="K26" s="153" t="s">
        <v>11</v>
      </c>
      <c r="L26" s="153"/>
      <c r="M26" s="153"/>
      <c r="N26" s="153"/>
      <c r="O26" s="153"/>
      <c r="P26" s="153"/>
      <c r="Q26" s="154"/>
      <c r="R26" s="4"/>
      <c r="S26" s="1"/>
    </row>
    <row r="27" spans="1:19" x14ac:dyDescent="0.25">
      <c r="A27" s="7" t="s">
        <v>75</v>
      </c>
      <c r="B27" s="17"/>
      <c r="C27" s="11"/>
      <c r="D27" s="11"/>
      <c r="E27" s="11"/>
      <c r="F27" s="11"/>
      <c r="G27" s="11"/>
      <c r="H27" s="12">
        <f t="shared" si="4"/>
        <v>0</v>
      </c>
      <c r="I27" s="1"/>
      <c r="J27" s="152"/>
      <c r="K27" s="30" t="s">
        <v>8</v>
      </c>
      <c r="L27" s="30" t="s">
        <v>9</v>
      </c>
      <c r="M27" s="30" t="s">
        <v>176</v>
      </c>
      <c r="N27" s="30" t="s">
        <v>154</v>
      </c>
      <c r="O27" s="30" t="s">
        <v>155</v>
      </c>
      <c r="P27" s="60" t="s">
        <v>147</v>
      </c>
      <c r="Q27" s="54" t="s">
        <v>11</v>
      </c>
      <c r="R27" s="4"/>
      <c r="S27" s="1"/>
    </row>
    <row r="28" spans="1:19" x14ac:dyDescent="0.25">
      <c r="A28" s="7" t="s">
        <v>76</v>
      </c>
      <c r="B28" s="17"/>
      <c r="C28" s="11"/>
      <c r="D28" s="11"/>
      <c r="E28" s="11"/>
      <c r="F28" s="11"/>
      <c r="G28" s="11"/>
      <c r="H28" s="12">
        <f t="shared" si="4"/>
        <v>0</v>
      </c>
      <c r="I28" s="1"/>
      <c r="J28" s="79" t="s">
        <v>146</v>
      </c>
      <c r="K28" s="74">
        <f t="shared" ref="K28:P28" si="5">SUM(K29:K37)</f>
        <v>0</v>
      </c>
      <c r="L28" s="74">
        <f t="shared" si="5"/>
        <v>0</v>
      </c>
      <c r="M28" s="74">
        <f t="shared" si="5"/>
        <v>0</v>
      </c>
      <c r="N28" s="74">
        <f t="shared" si="5"/>
        <v>0</v>
      </c>
      <c r="O28" s="74">
        <f t="shared" si="5"/>
        <v>0</v>
      </c>
      <c r="P28" s="74">
        <f t="shared" si="5"/>
        <v>0</v>
      </c>
      <c r="Q28" s="80">
        <f>SUM(K28:P28)</f>
        <v>0</v>
      </c>
      <c r="R28" s="4"/>
      <c r="S28" s="1"/>
    </row>
    <row r="29" spans="1:19" x14ac:dyDescent="0.25">
      <c r="A29" s="7" t="s">
        <v>74</v>
      </c>
      <c r="B29" s="17"/>
      <c r="C29" s="11"/>
      <c r="D29" s="11"/>
      <c r="E29" s="11"/>
      <c r="F29" s="11"/>
      <c r="G29" s="11"/>
      <c r="H29" s="12">
        <f t="shared" si="4"/>
        <v>0</v>
      </c>
      <c r="I29" s="1"/>
      <c r="J29" s="45" t="s">
        <v>64</v>
      </c>
      <c r="K29" s="68"/>
      <c r="L29" s="68"/>
      <c r="M29" s="68"/>
      <c r="N29" s="68"/>
      <c r="O29" s="68"/>
      <c r="P29" s="69"/>
      <c r="Q29" s="40">
        <f>SUM(K29:P29)</f>
        <v>0</v>
      </c>
      <c r="R29" s="4"/>
      <c r="S29" s="1"/>
    </row>
    <row r="30" spans="1:19" x14ac:dyDescent="0.25">
      <c r="A30" s="7" t="s">
        <v>22</v>
      </c>
      <c r="B30" s="17"/>
      <c r="C30" s="11"/>
      <c r="D30" s="11"/>
      <c r="E30" s="11"/>
      <c r="F30" s="11"/>
      <c r="G30" s="11"/>
      <c r="H30" s="12">
        <f t="shared" si="4"/>
        <v>0</v>
      </c>
      <c r="I30" s="1"/>
      <c r="J30" s="45" t="s">
        <v>170</v>
      </c>
      <c r="K30" s="68"/>
      <c r="L30" s="68"/>
      <c r="M30" s="68"/>
      <c r="N30" s="68"/>
      <c r="O30" s="68"/>
      <c r="P30" s="69"/>
      <c r="Q30" s="40">
        <f>SUM(K30:P30)</f>
        <v>0</v>
      </c>
      <c r="R30" s="4"/>
      <c r="S30" s="1"/>
    </row>
    <row r="31" spans="1:19" x14ac:dyDescent="0.25">
      <c r="A31" s="7" t="s">
        <v>23</v>
      </c>
      <c r="B31" s="17"/>
      <c r="C31" s="11"/>
      <c r="D31" s="11"/>
      <c r="E31" s="11"/>
      <c r="F31" s="11"/>
      <c r="G31" s="11"/>
      <c r="H31" s="12">
        <f t="shared" si="4"/>
        <v>0</v>
      </c>
      <c r="I31" s="1"/>
      <c r="J31" s="45" t="s">
        <v>171</v>
      </c>
      <c r="K31" s="68"/>
      <c r="L31" s="68"/>
      <c r="M31" s="68"/>
      <c r="N31" s="68"/>
      <c r="O31" s="68"/>
      <c r="P31" s="69"/>
      <c r="Q31" s="40">
        <f>SUM(K31:P31)</f>
        <v>0</v>
      </c>
      <c r="R31" s="4"/>
      <c r="S31" s="1"/>
    </row>
    <row r="32" spans="1:19" x14ac:dyDescent="0.25">
      <c r="A32" s="7" t="s">
        <v>202</v>
      </c>
      <c r="B32" s="17"/>
      <c r="C32" s="11"/>
      <c r="D32" s="11"/>
      <c r="E32" s="11"/>
      <c r="F32" s="11"/>
      <c r="G32" s="11"/>
      <c r="H32" s="12">
        <f t="shared" si="4"/>
        <v>0</v>
      </c>
      <c r="I32" s="1"/>
      <c r="J32" s="49" t="s">
        <v>65</v>
      </c>
      <c r="K32" s="68"/>
      <c r="L32" s="68"/>
      <c r="M32" s="68"/>
      <c r="N32" s="68"/>
      <c r="O32" s="68"/>
      <c r="P32" s="69"/>
      <c r="Q32" s="40">
        <f t="shared" ref="Q32:Q37" si="6">SUM(K32:P32)</f>
        <v>0</v>
      </c>
      <c r="R32" s="4"/>
      <c r="S32" s="1"/>
    </row>
    <row r="33" spans="1:19" x14ac:dyDescent="0.25">
      <c r="A33" s="7" t="s">
        <v>159</v>
      </c>
      <c r="B33" s="17"/>
      <c r="C33" s="11"/>
      <c r="D33" s="11"/>
      <c r="E33" s="11"/>
      <c r="F33" s="11"/>
      <c r="G33" s="11"/>
      <c r="H33" s="12">
        <f t="shared" si="4"/>
        <v>0</v>
      </c>
      <c r="I33" s="1"/>
      <c r="J33" s="50" t="s">
        <v>130</v>
      </c>
      <c r="K33" s="70"/>
      <c r="L33" s="70"/>
      <c r="M33" s="70"/>
      <c r="N33" s="70"/>
      <c r="O33" s="70"/>
      <c r="P33" s="69"/>
      <c r="Q33" s="40">
        <f t="shared" si="6"/>
        <v>0</v>
      </c>
      <c r="R33" s="4"/>
      <c r="S33" s="1"/>
    </row>
    <row r="34" spans="1:19" x14ac:dyDescent="0.25">
      <c r="A34" s="7" t="s">
        <v>26</v>
      </c>
      <c r="B34" s="17"/>
      <c r="C34" s="11"/>
      <c r="D34" s="11"/>
      <c r="E34" s="11"/>
      <c r="F34" s="11"/>
      <c r="G34" s="11"/>
      <c r="H34" s="12">
        <f t="shared" si="4"/>
        <v>0</v>
      </c>
      <c r="I34" s="1"/>
      <c r="J34" s="67" t="s">
        <v>131</v>
      </c>
      <c r="K34" s="65"/>
      <c r="L34" s="65"/>
      <c r="M34" s="65"/>
      <c r="N34" s="65"/>
      <c r="O34" s="65"/>
      <c r="P34" s="31"/>
      <c r="Q34" s="40">
        <f t="shared" si="6"/>
        <v>0</v>
      </c>
      <c r="R34" s="4"/>
      <c r="S34" s="1"/>
    </row>
    <row r="35" spans="1:19" x14ac:dyDescent="0.25">
      <c r="A35" s="7" t="s">
        <v>82</v>
      </c>
      <c r="B35" s="17"/>
      <c r="C35" s="11"/>
      <c r="D35" s="11"/>
      <c r="E35" s="11"/>
      <c r="F35" s="11"/>
      <c r="G35" s="11"/>
      <c r="H35" s="12">
        <f t="shared" si="4"/>
        <v>0</v>
      </c>
      <c r="I35" s="1"/>
      <c r="J35" s="67" t="s">
        <v>160</v>
      </c>
      <c r="K35" s="65"/>
      <c r="L35" s="65"/>
      <c r="M35" s="65"/>
      <c r="N35" s="65"/>
      <c r="O35" s="65"/>
      <c r="P35" s="31"/>
      <c r="Q35" s="40">
        <f t="shared" si="6"/>
        <v>0</v>
      </c>
      <c r="R35" s="4"/>
      <c r="S35" s="1"/>
    </row>
    <row r="36" spans="1:19" x14ac:dyDescent="0.25">
      <c r="A36" s="7" t="s">
        <v>30</v>
      </c>
      <c r="B36" s="17"/>
      <c r="C36" s="11"/>
      <c r="D36" s="11"/>
      <c r="E36" s="11"/>
      <c r="F36" s="11"/>
      <c r="G36" s="11"/>
      <c r="H36" s="12">
        <f t="shared" si="4"/>
        <v>0</v>
      </c>
      <c r="I36" s="1"/>
      <c r="J36" s="67" t="s">
        <v>211</v>
      </c>
      <c r="K36" s="65"/>
      <c r="L36" s="65"/>
      <c r="M36" s="65"/>
      <c r="N36" s="65"/>
      <c r="O36" s="65"/>
      <c r="P36" s="31"/>
      <c r="Q36" s="40">
        <f t="shared" si="6"/>
        <v>0</v>
      </c>
      <c r="R36" s="4"/>
      <c r="S36" s="1"/>
    </row>
    <row r="37" spans="1:19" ht="15.75" thickBot="1" x14ac:dyDescent="0.3">
      <c r="A37" s="7" t="s">
        <v>31</v>
      </c>
      <c r="B37" s="17"/>
      <c r="C37" s="11"/>
      <c r="D37" s="11"/>
      <c r="E37" s="11"/>
      <c r="F37" s="11"/>
      <c r="G37" s="11"/>
      <c r="H37" s="12">
        <f t="shared" si="4"/>
        <v>0</v>
      </c>
      <c r="I37" s="1"/>
      <c r="J37" s="51" t="s">
        <v>161</v>
      </c>
      <c r="K37" s="71"/>
      <c r="L37" s="71"/>
      <c r="M37" s="71"/>
      <c r="N37" s="71"/>
      <c r="O37" s="71"/>
      <c r="P37" s="72"/>
      <c r="Q37" s="46">
        <f t="shared" si="6"/>
        <v>0</v>
      </c>
      <c r="R37" s="4"/>
      <c r="S37" s="1"/>
    </row>
    <row r="38" spans="1:19" ht="15.75" thickBot="1" x14ac:dyDescent="0.3">
      <c r="A38" s="7" t="s">
        <v>66</v>
      </c>
      <c r="B38" s="17"/>
      <c r="C38" s="11"/>
      <c r="D38" s="11"/>
      <c r="E38" s="11"/>
      <c r="F38" s="11"/>
      <c r="G38" s="11"/>
      <c r="H38" s="12">
        <f t="shared" si="4"/>
        <v>0</v>
      </c>
      <c r="I38" s="1"/>
      <c r="J38" s="34"/>
      <c r="K38" s="34"/>
      <c r="L38" s="34"/>
      <c r="M38" s="34"/>
      <c r="N38" s="34"/>
      <c r="O38" s="34"/>
      <c r="P38" s="34"/>
      <c r="R38" s="4"/>
      <c r="S38" s="1"/>
    </row>
    <row r="39" spans="1:19" x14ac:dyDescent="0.25">
      <c r="A39" s="7" t="s">
        <v>67</v>
      </c>
      <c r="B39" s="17"/>
      <c r="C39" s="11"/>
      <c r="D39" s="11"/>
      <c r="E39" s="11"/>
      <c r="F39" s="11"/>
      <c r="G39" s="11"/>
      <c r="H39" s="12">
        <f t="shared" si="4"/>
        <v>0</v>
      </c>
      <c r="I39" s="1"/>
      <c r="J39" s="151" t="s">
        <v>136</v>
      </c>
      <c r="K39" s="153" t="s">
        <v>11</v>
      </c>
      <c r="L39" s="153"/>
      <c r="M39" s="153"/>
      <c r="N39" s="153"/>
      <c r="O39" s="153"/>
      <c r="P39" s="153"/>
      <c r="Q39" s="154"/>
      <c r="R39" s="4"/>
      <c r="S39" s="1"/>
    </row>
    <row r="40" spans="1:19" x14ac:dyDescent="0.25">
      <c r="A40" s="7" t="s">
        <v>77</v>
      </c>
      <c r="B40" s="17"/>
      <c r="C40" s="11"/>
      <c r="D40" s="11"/>
      <c r="E40" s="11"/>
      <c r="F40" s="11"/>
      <c r="G40" s="11"/>
      <c r="H40" s="12">
        <f t="shared" si="4"/>
        <v>0</v>
      </c>
      <c r="I40" s="1"/>
      <c r="J40" s="152"/>
      <c r="K40" s="30" t="s">
        <v>8</v>
      </c>
      <c r="L40" s="30" t="s">
        <v>9</v>
      </c>
      <c r="M40" s="30" t="s">
        <v>10</v>
      </c>
      <c r="N40" s="30" t="s">
        <v>154</v>
      </c>
      <c r="O40" s="30" t="s">
        <v>155</v>
      </c>
      <c r="P40" s="30" t="s">
        <v>147</v>
      </c>
      <c r="Q40" s="54" t="s">
        <v>11</v>
      </c>
      <c r="R40" s="4"/>
      <c r="S40" s="1"/>
    </row>
    <row r="41" spans="1:19" ht="15.75" thickBot="1" x14ac:dyDescent="0.3">
      <c r="A41" s="7" t="s">
        <v>78</v>
      </c>
      <c r="B41" s="17"/>
      <c r="C41" s="11"/>
      <c r="D41" s="11"/>
      <c r="E41" s="11"/>
      <c r="F41" s="11"/>
      <c r="G41" s="11"/>
      <c r="H41" s="12">
        <f t="shared" si="4"/>
        <v>0</v>
      </c>
      <c r="I41" s="1"/>
      <c r="J41" s="95" t="s">
        <v>150</v>
      </c>
      <c r="K41" s="29">
        <f t="shared" ref="K41:P41" si="7">SUM(K42:K49)</f>
        <v>0</v>
      </c>
      <c r="L41" s="29">
        <f t="shared" si="7"/>
        <v>0</v>
      </c>
      <c r="M41" s="29">
        <f t="shared" si="7"/>
        <v>0</v>
      </c>
      <c r="N41" s="29">
        <f t="shared" si="7"/>
        <v>0</v>
      </c>
      <c r="O41" s="29">
        <f t="shared" si="7"/>
        <v>0</v>
      </c>
      <c r="P41" s="29">
        <f t="shared" si="7"/>
        <v>0</v>
      </c>
      <c r="Q41" s="96">
        <f>SUM(K41:P41)</f>
        <v>0</v>
      </c>
      <c r="R41" s="4"/>
      <c r="S41" s="1"/>
    </row>
    <row r="42" spans="1:19" x14ac:dyDescent="0.25">
      <c r="A42" s="7" t="s">
        <v>42</v>
      </c>
      <c r="B42" s="17"/>
      <c r="C42" s="11"/>
      <c r="D42" s="11"/>
      <c r="E42" s="11"/>
      <c r="F42" s="11"/>
      <c r="G42" s="11"/>
      <c r="H42" s="12">
        <f t="shared" si="4"/>
        <v>0</v>
      </c>
      <c r="I42" s="1"/>
      <c r="J42" s="97" t="s">
        <v>165</v>
      </c>
      <c r="K42" s="98"/>
      <c r="L42" s="98"/>
      <c r="M42" s="98"/>
      <c r="N42" s="98"/>
      <c r="O42" s="98"/>
      <c r="P42" s="98"/>
      <c r="Q42" s="99">
        <f t="shared" ref="Q42:Q49" si="8">SUM(K42:P42)</f>
        <v>0</v>
      </c>
      <c r="R42" s="4"/>
      <c r="S42" s="1"/>
    </row>
    <row r="43" spans="1:19" x14ac:dyDescent="0.25">
      <c r="A43" s="7" t="s">
        <v>43</v>
      </c>
      <c r="B43" s="17"/>
      <c r="C43" s="11"/>
      <c r="D43" s="11"/>
      <c r="E43" s="11"/>
      <c r="F43" s="11"/>
      <c r="G43" s="11"/>
      <c r="H43" s="12">
        <f t="shared" si="4"/>
        <v>0</v>
      </c>
      <c r="I43" s="1"/>
      <c r="J43" s="86" t="s">
        <v>166</v>
      </c>
      <c r="K43" s="89"/>
      <c r="L43" s="89"/>
      <c r="M43" s="89"/>
      <c r="N43" s="89"/>
      <c r="O43" s="89"/>
      <c r="P43" s="89"/>
      <c r="Q43" s="40">
        <f t="shared" si="8"/>
        <v>0</v>
      </c>
      <c r="R43" s="4"/>
      <c r="S43" s="1"/>
    </row>
    <row r="44" spans="1:19" x14ac:dyDescent="0.25">
      <c r="A44" s="7" t="s">
        <v>101</v>
      </c>
      <c r="B44" s="17"/>
      <c r="C44" s="11"/>
      <c r="D44" s="11"/>
      <c r="E44" s="11"/>
      <c r="F44" s="11"/>
      <c r="G44" s="11"/>
      <c r="H44" s="12">
        <f t="shared" si="4"/>
        <v>0</v>
      </c>
      <c r="I44" s="1"/>
      <c r="J44" s="86" t="s">
        <v>167</v>
      </c>
      <c r="K44" s="89"/>
      <c r="L44" s="89"/>
      <c r="M44" s="89"/>
      <c r="N44" s="89"/>
      <c r="O44" s="89"/>
      <c r="P44" s="89"/>
      <c r="Q44" s="40">
        <f t="shared" si="8"/>
        <v>0</v>
      </c>
      <c r="R44" s="4"/>
      <c r="S44" s="1"/>
    </row>
    <row r="45" spans="1:19" x14ac:dyDescent="0.25">
      <c r="A45" s="7" t="s">
        <v>95</v>
      </c>
      <c r="B45" s="37"/>
      <c r="C45" s="11"/>
      <c r="D45" s="11"/>
      <c r="E45" s="11"/>
      <c r="F45" s="11"/>
      <c r="G45" s="11"/>
      <c r="H45" s="12">
        <f t="shared" si="4"/>
        <v>0</v>
      </c>
      <c r="I45" s="1"/>
      <c r="J45" s="86" t="s">
        <v>168</v>
      </c>
      <c r="K45" s="89"/>
      <c r="L45" s="89"/>
      <c r="M45" s="89"/>
      <c r="N45" s="89"/>
      <c r="O45" s="89"/>
      <c r="P45" s="89"/>
      <c r="Q45" s="40">
        <f>SUM(K45:P45)</f>
        <v>0</v>
      </c>
      <c r="R45" s="4"/>
      <c r="S45" s="1"/>
    </row>
    <row r="46" spans="1:19" x14ac:dyDescent="0.25">
      <c r="A46" s="7" t="s">
        <v>96</v>
      </c>
      <c r="B46" s="37"/>
      <c r="C46" s="11"/>
      <c r="D46" s="11"/>
      <c r="E46" s="11"/>
      <c r="F46" s="11"/>
      <c r="G46" s="11"/>
      <c r="H46" s="12">
        <f t="shared" si="4"/>
        <v>0</v>
      </c>
      <c r="J46" s="86" t="s">
        <v>34</v>
      </c>
      <c r="K46" s="89"/>
      <c r="L46" s="89"/>
      <c r="M46" s="89"/>
      <c r="N46" s="89"/>
      <c r="O46" s="89"/>
      <c r="P46" s="89"/>
      <c r="Q46" s="40">
        <f t="shared" si="8"/>
        <v>0</v>
      </c>
      <c r="R46" s="4"/>
      <c r="S46" s="1"/>
    </row>
    <row r="47" spans="1:19" x14ac:dyDescent="0.25">
      <c r="A47" s="7" t="s">
        <v>97</v>
      </c>
      <c r="B47" s="37"/>
      <c r="C47" s="11"/>
      <c r="D47" s="11"/>
      <c r="E47" s="11"/>
      <c r="F47" s="11"/>
      <c r="G47" s="11"/>
      <c r="H47" s="12">
        <f t="shared" si="4"/>
        <v>0</v>
      </c>
      <c r="I47" s="1"/>
      <c r="J47" s="86" t="s">
        <v>179</v>
      </c>
      <c r="K47" s="89"/>
      <c r="L47" s="89"/>
      <c r="M47" s="89"/>
      <c r="N47" s="89"/>
      <c r="O47" s="89"/>
      <c r="P47" s="89"/>
      <c r="Q47" s="40">
        <f t="shared" si="8"/>
        <v>0</v>
      </c>
      <c r="R47" s="4"/>
      <c r="S47" s="1"/>
    </row>
    <row r="48" spans="1:19" x14ac:dyDescent="0.25">
      <c r="A48" s="36" t="s">
        <v>98</v>
      </c>
      <c r="B48" s="37"/>
      <c r="C48" s="11"/>
      <c r="D48" s="11"/>
      <c r="E48" s="11"/>
      <c r="F48" s="11"/>
      <c r="G48" s="11"/>
      <c r="H48" s="12">
        <f t="shared" si="4"/>
        <v>0</v>
      </c>
      <c r="I48" s="1"/>
      <c r="J48" s="86" t="s">
        <v>177</v>
      </c>
      <c r="K48" s="89"/>
      <c r="L48" s="89"/>
      <c r="M48" s="89"/>
      <c r="N48" s="89"/>
      <c r="O48" s="89"/>
      <c r="P48" s="89"/>
      <c r="Q48" s="40">
        <f t="shared" si="8"/>
        <v>0</v>
      </c>
      <c r="R48" s="4"/>
      <c r="S48" s="1"/>
    </row>
    <row r="49" spans="1:19" ht="15.75" thickBot="1" x14ac:dyDescent="0.3">
      <c r="A49" s="7" t="s">
        <v>86</v>
      </c>
      <c r="B49" s="17"/>
      <c r="C49" s="11"/>
      <c r="D49" s="11"/>
      <c r="E49" s="11"/>
      <c r="F49" s="11"/>
      <c r="G49" s="11"/>
      <c r="H49" s="14">
        <f>SUM(B49:G49)</f>
        <v>0</v>
      </c>
      <c r="I49" s="1"/>
      <c r="J49" s="87" t="s">
        <v>178</v>
      </c>
      <c r="K49" s="71"/>
      <c r="L49" s="71"/>
      <c r="M49" s="71"/>
      <c r="N49" s="71"/>
      <c r="O49" s="71"/>
      <c r="P49" s="71"/>
      <c r="Q49" s="46">
        <f t="shared" si="8"/>
        <v>0</v>
      </c>
      <c r="R49" s="4"/>
      <c r="S49" s="1"/>
    </row>
    <row r="50" spans="1:19" x14ac:dyDescent="0.25">
      <c r="A50" s="18" t="s">
        <v>87</v>
      </c>
      <c r="B50" s="38"/>
      <c r="C50" s="19"/>
      <c r="D50" s="19"/>
      <c r="E50" s="19"/>
      <c r="F50" s="21"/>
      <c r="G50" s="19"/>
      <c r="H50" s="14">
        <f>SUM(B50:G50)</f>
        <v>0</v>
      </c>
      <c r="I50" s="1"/>
      <c r="J50" s="155"/>
      <c r="K50" s="155"/>
      <c r="L50" s="155"/>
      <c r="M50" s="155"/>
      <c r="N50" s="34"/>
      <c r="O50" s="34"/>
      <c r="P50" s="34"/>
      <c r="Q50" s="35"/>
      <c r="R50" s="4"/>
      <c r="S50" s="1"/>
    </row>
    <row r="51" spans="1:19" ht="15.75" thickBot="1" x14ac:dyDescent="0.3">
      <c r="A51" s="73" t="s">
        <v>139</v>
      </c>
      <c r="B51" s="75">
        <f t="shared" ref="B51:G51" si="9">SUM(B52:B68)</f>
        <v>0</v>
      </c>
      <c r="C51" s="75">
        <f t="shared" si="9"/>
        <v>0</v>
      </c>
      <c r="D51" s="77">
        <f t="shared" si="9"/>
        <v>0</v>
      </c>
      <c r="E51" s="75">
        <f t="shared" si="9"/>
        <v>0</v>
      </c>
      <c r="F51" s="75">
        <f t="shared" si="9"/>
        <v>0</v>
      </c>
      <c r="G51" s="78">
        <f t="shared" si="9"/>
        <v>0</v>
      </c>
      <c r="H51" s="75">
        <f>SUM(B51:G51)</f>
        <v>0</v>
      </c>
      <c r="I51" s="1"/>
      <c r="Q51" s="24"/>
      <c r="R51" s="4"/>
      <c r="S51" s="1"/>
    </row>
    <row r="52" spans="1:19" x14ac:dyDescent="0.25">
      <c r="A52" s="7" t="s">
        <v>90</v>
      </c>
      <c r="B52" s="13"/>
      <c r="C52" s="13"/>
      <c r="D52" s="25"/>
      <c r="E52" s="65"/>
      <c r="F52" s="65"/>
      <c r="G52" s="65"/>
      <c r="H52" s="26">
        <f t="shared" ref="H52:H113" si="10">SUM(B52:G52)</f>
        <v>0</v>
      </c>
      <c r="I52" s="1"/>
      <c r="J52" s="158" t="s">
        <v>152</v>
      </c>
      <c r="K52" s="159"/>
      <c r="L52" s="159"/>
      <c r="M52" s="159"/>
      <c r="N52" s="159"/>
      <c r="O52" s="159"/>
      <c r="P52" s="159"/>
      <c r="Q52" s="160"/>
      <c r="R52" s="4"/>
      <c r="S52" s="1"/>
    </row>
    <row r="53" spans="1:19" x14ac:dyDescent="0.25">
      <c r="A53" s="7" t="s">
        <v>91</v>
      </c>
      <c r="B53" s="13"/>
      <c r="C53" s="13"/>
      <c r="D53" s="25"/>
      <c r="E53" s="66"/>
      <c r="F53" s="66"/>
      <c r="G53" s="66"/>
      <c r="H53" s="26">
        <f t="shared" si="10"/>
        <v>0</v>
      </c>
      <c r="I53" s="1"/>
      <c r="J53" s="156" t="s">
        <v>72</v>
      </c>
      <c r="K53" s="157"/>
      <c r="L53" s="157"/>
      <c r="M53" s="157"/>
      <c r="N53" s="157"/>
      <c r="O53" s="157"/>
      <c r="P53" s="157"/>
      <c r="Q53" s="62" t="s">
        <v>11</v>
      </c>
      <c r="R53" s="4"/>
      <c r="S53" s="1"/>
    </row>
    <row r="54" spans="1:19" x14ac:dyDescent="0.25">
      <c r="A54" s="7" t="s">
        <v>32</v>
      </c>
      <c r="B54" s="13"/>
      <c r="C54" s="13"/>
      <c r="D54" s="25"/>
      <c r="E54" s="66"/>
      <c r="F54" s="66"/>
      <c r="G54" s="66"/>
      <c r="H54" s="26">
        <f t="shared" si="10"/>
        <v>0</v>
      </c>
      <c r="I54" s="1"/>
      <c r="J54" s="156" t="s">
        <v>71</v>
      </c>
      <c r="K54" s="157"/>
      <c r="L54" s="157"/>
      <c r="M54" s="157"/>
      <c r="N54" s="157"/>
      <c r="O54" s="157"/>
      <c r="P54" s="157"/>
      <c r="Q54" s="47"/>
      <c r="R54" s="4"/>
      <c r="S54" s="1"/>
    </row>
    <row r="55" spans="1:19" x14ac:dyDescent="0.25">
      <c r="A55" s="7" t="s">
        <v>34</v>
      </c>
      <c r="B55" s="11"/>
      <c r="C55" s="13"/>
      <c r="D55" s="23"/>
      <c r="E55" s="66"/>
      <c r="F55" s="66"/>
      <c r="G55" s="66"/>
      <c r="H55" s="26">
        <f t="shared" si="10"/>
        <v>0</v>
      </c>
      <c r="I55" s="1"/>
      <c r="J55" s="156" t="s">
        <v>137</v>
      </c>
      <c r="K55" s="157"/>
      <c r="L55" s="157"/>
      <c r="M55" s="157"/>
      <c r="N55" s="157"/>
      <c r="O55" s="157"/>
      <c r="P55" s="157"/>
      <c r="Q55" s="47">
        <f>(H12)</f>
        <v>0</v>
      </c>
      <c r="R55" s="4"/>
      <c r="S55" s="1"/>
    </row>
    <row r="56" spans="1:19" x14ac:dyDescent="0.25">
      <c r="A56" s="7" t="s">
        <v>181</v>
      </c>
      <c r="B56" s="13"/>
      <c r="C56" s="13"/>
      <c r="D56" s="25"/>
      <c r="E56" s="66"/>
      <c r="F56" s="66"/>
      <c r="G56" s="66"/>
      <c r="H56" s="26">
        <f t="shared" si="10"/>
        <v>0</v>
      </c>
      <c r="I56" s="1"/>
      <c r="J56" s="156" t="s">
        <v>138</v>
      </c>
      <c r="K56" s="157"/>
      <c r="L56" s="157"/>
      <c r="M56" s="157"/>
      <c r="N56" s="157"/>
      <c r="O56" s="157"/>
      <c r="P56" s="157"/>
      <c r="Q56" s="48">
        <f>(H51)</f>
        <v>0</v>
      </c>
      <c r="R56" s="4"/>
      <c r="S56" s="1"/>
    </row>
    <row r="57" spans="1:19" x14ac:dyDescent="0.25">
      <c r="A57" s="7" t="s">
        <v>184</v>
      </c>
      <c r="B57" s="11"/>
      <c r="C57" s="11"/>
      <c r="D57" s="23"/>
      <c r="E57" s="66"/>
      <c r="F57" s="66"/>
      <c r="G57" s="66"/>
      <c r="H57" s="26">
        <f t="shared" si="10"/>
        <v>0</v>
      </c>
      <c r="I57" s="1"/>
      <c r="J57" s="156" t="s">
        <v>140</v>
      </c>
      <c r="K57" s="157"/>
      <c r="L57" s="157"/>
      <c r="M57" s="157"/>
      <c r="N57" s="157"/>
      <c r="O57" s="157"/>
      <c r="P57" s="157"/>
      <c r="Q57" s="48">
        <f>(H69)</f>
        <v>0</v>
      </c>
      <c r="R57" s="4"/>
      <c r="S57" s="1"/>
    </row>
    <row r="58" spans="1:19" x14ac:dyDescent="0.25">
      <c r="A58" s="7" t="s">
        <v>88</v>
      </c>
      <c r="B58" s="11"/>
      <c r="C58" s="11"/>
      <c r="D58" s="23"/>
      <c r="E58" s="66"/>
      <c r="F58" s="66"/>
      <c r="G58" s="66"/>
      <c r="H58" s="26">
        <f t="shared" si="10"/>
        <v>0</v>
      </c>
      <c r="I58" s="1"/>
      <c r="J58" s="156" t="s">
        <v>144</v>
      </c>
      <c r="K58" s="157"/>
      <c r="L58" s="157"/>
      <c r="M58" s="157"/>
      <c r="N58" s="157"/>
      <c r="O58" s="157"/>
      <c r="P58" s="157"/>
      <c r="Q58" s="48">
        <f>H82</f>
        <v>0</v>
      </c>
      <c r="R58" s="4"/>
      <c r="S58" s="1"/>
    </row>
    <row r="59" spans="1:19" x14ac:dyDescent="0.25">
      <c r="A59" s="7" t="s">
        <v>89</v>
      </c>
      <c r="B59" s="11"/>
      <c r="C59" s="11"/>
      <c r="D59" s="23"/>
      <c r="E59" s="66"/>
      <c r="F59" s="66"/>
      <c r="G59" s="66"/>
      <c r="H59" s="26">
        <f t="shared" si="10"/>
        <v>0</v>
      </c>
      <c r="I59" s="1"/>
      <c r="J59" s="156" t="s">
        <v>141</v>
      </c>
      <c r="K59" s="157"/>
      <c r="L59" s="157"/>
      <c r="M59" s="157"/>
      <c r="N59" s="157"/>
      <c r="O59" s="157"/>
      <c r="P59" s="157"/>
      <c r="Q59" s="48">
        <f>H95</f>
        <v>0</v>
      </c>
      <c r="R59" s="4"/>
      <c r="S59" s="1"/>
    </row>
    <row r="60" spans="1:19" x14ac:dyDescent="0.25">
      <c r="A60" s="7" t="s">
        <v>183</v>
      </c>
      <c r="B60" s="11"/>
      <c r="C60" s="11"/>
      <c r="D60" s="23"/>
      <c r="E60" s="66"/>
      <c r="F60" s="66"/>
      <c r="G60" s="66"/>
      <c r="H60" s="26">
        <f t="shared" si="10"/>
        <v>0</v>
      </c>
      <c r="I60" s="1"/>
      <c r="J60" s="156" t="s">
        <v>143</v>
      </c>
      <c r="K60" s="157"/>
      <c r="L60" s="157"/>
      <c r="M60" s="157"/>
      <c r="N60" s="157"/>
      <c r="O60" s="157"/>
      <c r="P60" s="157"/>
      <c r="Q60" s="63">
        <f>Q11</f>
        <v>0</v>
      </c>
      <c r="R60" s="4"/>
      <c r="S60" s="1"/>
    </row>
    <row r="61" spans="1:19" x14ac:dyDescent="0.25">
      <c r="A61" s="7" t="s">
        <v>36</v>
      </c>
      <c r="B61" s="11"/>
      <c r="C61" s="11"/>
      <c r="D61" s="23"/>
      <c r="E61" s="66"/>
      <c r="F61" s="66"/>
      <c r="G61" s="66"/>
      <c r="H61" s="26">
        <f t="shared" si="10"/>
        <v>0</v>
      </c>
      <c r="I61" s="1"/>
      <c r="J61" s="156" t="s">
        <v>145</v>
      </c>
      <c r="K61" s="157"/>
      <c r="L61" s="157"/>
      <c r="M61" s="157"/>
      <c r="N61" s="157"/>
      <c r="O61" s="157"/>
      <c r="P61" s="157"/>
      <c r="Q61" s="41">
        <f>Q28</f>
        <v>0</v>
      </c>
      <c r="R61" s="4"/>
      <c r="S61" s="1"/>
    </row>
    <row r="62" spans="1:19" ht="15.75" thickBot="1" x14ac:dyDescent="0.3">
      <c r="A62" s="7" t="s">
        <v>119</v>
      </c>
      <c r="B62" s="11"/>
      <c r="C62" s="10"/>
      <c r="D62" s="23"/>
      <c r="E62" s="66"/>
      <c r="F62" s="66"/>
      <c r="G62" s="66"/>
      <c r="H62" s="26">
        <f>SUM(B62:G62)</f>
        <v>0</v>
      </c>
      <c r="I62" s="1"/>
      <c r="J62" s="178" t="s">
        <v>151</v>
      </c>
      <c r="K62" s="179"/>
      <c r="L62" s="179"/>
      <c r="M62" s="179"/>
      <c r="N62" s="179"/>
      <c r="O62" s="179"/>
      <c r="P62" s="179"/>
      <c r="Q62" s="64">
        <f>Q41</f>
        <v>0</v>
      </c>
      <c r="R62" s="4"/>
      <c r="S62" s="1"/>
    </row>
    <row r="63" spans="1:19" ht="15.75" thickBot="1" x14ac:dyDescent="0.3">
      <c r="A63" s="7" t="s">
        <v>118</v>
      </c>
      <c r="B63" s="11"/>
      <c r="C63" s="11"/>
      <c r="D63" s="23"/>
      <c r="E63" s="66"/>
      <c r="F63" s="66"/>
      <c r="G63" s="66"/>
      <c r="H63" s="33">
        <f>SUM(B63:G63)</f>
        <v>0</v>
      </c>
      <c r="I63" s="1"/>
      <c r="M63" s="53"/>
      <c r="N63" s="53"/>
      <c r="O63" s="53"/>
      <c r="P63" s="39" t="s">
        <v>11</v>
      </c>
      <c r="Q63" s="61">
        <f>SUM(Q54:Q62)</f>
        <v>0</v>
      </c>
      <c r="R63" s="4"/>
      <c r="S63" s="1"/>
    </row>
    <row r="64" spans="1:19" x14ac:dyDescent="0.25">
      <c r="A64" s="8" t="s">
        <v>37</v>
      </c>
      <c r="B64" s="31"/>
      <c r="C64" s="20"/>
      <c r="D64" s="42"/>
      <c r="E64" s="65"/>
      <c r="F64" s="65"/>
      <c r="G64" s="65"/>
      <c r="H64" s="26">
        <f t="shared" si="10"/>
        <v>0</v>
      </c>
      <c r="I64" s="1"/>
      <c r="P64" s="1"/>
      <c r="Q64" s="1"/>
      <c r="R64" s="4"/>
      <c r="S64" s="1"/>
    </row>
    <row r="65" spans="1:19" x14ac:dyDescent="0.25">
      <c r="A65" s="7" t="s">
        <v>38</v>
      </c>
      <c r="B65" s="11"/>
      <c r="C65" s="10"/>
      <c r="D65" s="23"/>
      <c r="E65" s="66"/>
      <c r="F65" s="66"/>
      <c r="G65" s="66"/>
      <c r="H65" s="26">
        <f t="shared" si="10"/>
        <v>0</v>
      </c>
      <c r="I65" s="1"/>
      <c r="R65" s="4"/>
      <c r="S65" s="1"/>
    </row>
    <row r="66" spans="1:19" x14ac:dyDescent="0.25">
      <c r="A66" s="7" t="s">
        <v>73</v>
      </c>
      <c r="B66" s="11"/>
      <c r="C66" s="10"/>
      <c r="D66" s="23"/>
      <c r="E66" s="11"/>
      <c r="F66" s="11"/>
      <c r="G66" s="11"/>
      <c r="H66" s="26">
        <f t="shared" si="10"/>
        <v>0</v>
      </c>
      <c r="I66" s="1"/>
      <c r="J66" s="1"/>
      <c r="K66" s="1"/>
      <c r="L66" s="1"/>
      <c r="M66" s="1"/>
      <c r="N66" s="1"/>
      <c r="O66" s="1"/>
      <c r="R66" s="4"/>
      <c r="S66" s="1"/>
    </row>
    <row r="67" spans="1:19" x14ac:dyDescent="0.25">
      <c r="A67" s="7" t="s">
        <v>39</v>
      </c>
      <c r="B67" s="11"/>
      <c r="C67" s="10"/>
      <c r="D67" s="23"/>
      <c r="E67" s="11"/>
      <c r="F67" s="11"/>
      <c r="G67" s="11"/>
      <c r="H67" s="26">
        <f t="shared" si="10"/>
        <v>0</v>
      </c>
      <c r="I67" s="1"/>
      <c r="R67" s="4"/>
      <c r="S67" s="1"/>
    </row>
    <row r="68" spans="1:19" x14ac:dyDescent="0.25">
      <c r="A68" s="18" t="s">
        <v>40</v>
      </c>
      <c r="B68" s="19"/>
      <c r="C68" s="21"/>
      <c r="D68" s="43"/>
      <c r="E68" s="19"/>
      <c r="F68" s="19"/>
      <c r="G68" s="19"/>
      <c r="H68" s="26">
        <f t="shared" si="10"/>
        <v>0</v>
      </c>
      <c r="I68" s="1"/>
      <c r="R68" s="4"/>
      <c r="S68" s="1"/>
    </row>
    <row r="69" spans="1:19" x14ac:dyDescent="0.25">
      <c r="A69" s="73" t="s">
        <v>54</v>
      </c>
      <c r="B69" s="74">
        <f t="shared" ref="B69:G69" si="11">SUM(B70:B81)</f>
        <v>0</v>
      </c>
      <c r="C69" s="74">
        <f t="shared" si="11"/>
        <v>0</v>
      </c>
      <c r="D69" s="74">
        <f t="shared" si="11"/>
        <v>0</v>
      </c>
      <c r="E69" s="74">
        <f t="shared" si="11"/>
        <v>0</v>
      </c>
      <c r="F69" s="74">
        <f t="shared" si="11"/>
        <v>0</v>
      </c>
      <c r="G69" s="76">
        <f t="shared" si="11"/>
        <v>0</v>
      </c>
      <c r="H69" s="75">
        <f t="shared" si="10"/>
        <v>0</v>
      </c>
      <c r="I69" s="1"/>
      <c r="R69" s="4"/>
      <c r="S69" s="1"/>
    </row>
    <row r="70" spans="1:19" x14ac:dyDescent="0.25">
      <c r="A70" s="52" t="s">
        <v>55</v>
      </c>
      <c r="B70" s="65"/>
      <c r="C70" s="10"/>
      <c r="D70" s="65"/>
      <c r="E70" s="65"/>
      <c r="F70" s="11"/>
      <c r="G70" s="65"/>
      <c r="H70" s="26">
        <f t="shared" si="10"/>
        <v>0</v>
      </c>
      <c r="I70" s="1"/>
      <c r="R70" s="4"/>
      <c r="S70" s="1"/>
    </row>
    <row r="71" spans="1:19" x14ac:dyDescent="0.25">
      <c r="A71" s="52" t="s">
        <v>56</v>
      </c>
      <c r="B71" s="66"/>
      <c r="C71" s="91"/>
      <c r="D71" s="66"/>
      <c r="E71" s="66"/>
      <c r="F71" s="11"/>
      <c r="G71" s="66"/>
      <c r="H71" s="26">
        <f t="shared" si="10"/>
        <v>0</v>
      </c>
      <c r="I71" s="1"/>
      <c r="R71" s="4"/>
      <c r="S71" s="1"/>
    </row>
    <row r="72" spans="1:19" x14ac:dyDescent="0.25">
      <c r="A72" s="52" t="s">
        <v>58</v>
      </c>
      <c r="B72" s="66"/>
      <c r="C72" s="10"/>
      <c r="D72" s="66"/>
      <c r="E72" s="66"/>
      <c r="F72" s="11"/>
      <c r="G72" s="66"/>
      <c r="H72" s="26">
        <f t="shared" si="10"/>
        <v>0</v>
      </c>
      <c r="I72" s="1"/>
      <c r="R72" s="4"/>
      <c r="S72" s="1"/>
    </row>
    <row r="73" spans="1:19" x14ac:dyDescent="0.25">
      <c r="A73" s="52" t="s">
        <v>68</v>
      </c>
      <c r="B73" s="66"/>
      <c r="C73" s="91"/>
      <c r="D73" s="66"/>
      <c r="E73" s="66"/>
      <c r="F73" s="92"/>
      <c r="G73" s="66"/>
      <c r="H73" s="26">
        <f t="shared" si="10"/>
        <v>0</v>
      </c>
      <c r="I73" s="1"/>
      <c r="R73" s="4"/>
      <c r="S73" s="1"/>
    </row>
    <row r="74" spans="1:19" x14ac:dyDescent="0.25">
      <c r="A74" s="52" t="s">
        <v>69</v>
      </c>
      <c r="B74" s="66"/>
      <c r="C74" s="91"/>
      <c r="D74" s="66"/>
      <c r="E74" s="66"/>
      <c r="F74" s="92"/>
      <c r="G74" s="66"/>
      <c r="H74" s="26">
        <f t="shared" si="10"/>
        <v>0</v>
      </c>
      <c r="I74" s="1"/>
      <c r="R74" s="4"/>
      <c r="S74" s="1"/>
    </row>
    <row r="75" spans="1:19" x14ac:dyDescent="0.25">
      <c r="A75" s="52" t="s">
        <v>57</v>
      </c>
      <c r="B75" s="66"/>
      <c r="C75" s="91"/>
      <c r="D75" s="66"/>
      <c r="E75" s="66"/>
      <c r="F75" s="91"/>
      <c r="G75" s="66"/>
      <c r="H75" s="26">
        <f t="shared" si="10"/>
        <v>0</v>
      </c>
      <c r="I75" s="1"/>
      <c r="R75" s="4"/>
      <c r="S75" s="1"/>
    </row>
    <row r="76" spans="1:19" x14ac:dyDescent="0.25">
      <c r="A76" s="52" t="s">
        <v>142</v>
      </c>
      <c r="B76" s="66"/>
      <c r="C76" s="91"/>
      <c r="D76" s="66"/>
      <c r="E76" s="66"/>
      <c r="F76" s="92"/>
      <c r="G76" s="66"/>
      <c r="H76" s="26">
        <f t="shared" si="10"/>
        <v>0</v>
      </c>
      <c r="I76" s="1"/>
      <c r="R76" s="4"/>
      <c r="S76" s="1"/>
    </row>
    <row r="77" spans="1:19" x14ac:dyDescent="0.25">
      <c r="A77" s="52" t="s">
        <v>59</v>
      </c>
      <c r="B77" s="66"/>
      <c r="C77" s="91"/>
      <c r="D77" s="66"/>
      <c r="E77" s="66"/>
      <c r="F77" s="92"/>
      <c r="G77" s="66"/>
      <c r="H77" s="26">
        <f t="shared" si="10"/>
        <v>0</v>
      </c>
      <c r="I77" s="1"/>
      <c r="R77" s="4"/>
      <c r="S77" s="1"/>
    </row>
    <row r="78" spans="1:19" x14ac:dyDescent="0.25">
      <c r="A78" s="52" t="s">
        <v>60</v>
      </c>
      <c r="B78" s="66"/>
      <c r="C78" s="91"/>
      <c r="D78" s="66"/>
      <c r="E78" s="66"/>
      <c r="F78" s="91"/>
      <c r="G78" s="66"/>
      <c r="H78" s="26">
        <f t="shared" si="10"/>
        <v>0</v>
      </c>
      <c r="I78" s="1"/>
      <c r="R78" s="4"/>
      <c r="S78" s="1"/>
    </row>
    <row r="79" spans="1:19" x14ac:dyDescent="0.25">
      <c r="A79" s="52" t="s">
        <v>106</v>
      </c>
      <c r="B79" s="66"/>
      <c r="C79" s="91"/>
      <c r="D79" s="66"/>
      <c r="E79" s="66"/>
      <c r="F79" s="91"/>
      <c r="G79" s="66"/>
      <c r="H79" s="26">
        <f t="shared" si="10"/>
        <v>0</v>
      </c>
      <c r="I79" s="1"/>
      <c r="R79" s="4"/>
      <c r="S79" s="1"/>
    </row>
    <row r="80" spans="1:19" x14ac:dyDescent="0.25">
      <c r="A80" s="52" t="s">
        <v>132</v>
      </c>
      <c r="B80" s="66"/>
      <c r="C80" s="91"/>
      <c r="D80" s="66"/>
      <c r="E80" s="66"/>
      <c r="F80" s="92"/>
      <c r="G80" s="66"/>
      <c r="H80" s="26">
        <f t="shared" si="10"/>
        <v>0</v>
      </c>
      <c r="I80" s="1"/>
      <c r="R80" s="4"/>
      <c r="S80" s="1"/>
    </row>
    <row r="81" spans="1:19" x14ac:dyDescent="0.25">
      <c r="A81" s="52" t="s">
        <v>133</v>
      </c>
      <c r="B81" s="93"/>
      <c r="C81" s="91"/>
      <c r="D81" s="93"/>
      <c r="E81" s="93"/>
      <c r="F81" s="92"/>
      <c r="G81" s="93"/>
      <c r="H81" s="26">
        <f t="shared" si="10"/>
        <v>0</v>
      </c>
      <c r="I81" s="1"/>
      <c r="R81" s="4"/>
      <c r="S81" s="1"/>
    </row>
    <row r="82" spans="1:19" x14ac:dyDescent="0.25">
      <c r="A82" s="73" t="s">
        <v>70</v>
      </c>
      <c r="B82" s="74">
        <f>SUM(B83:B94)</f>
        <v>0</v>
      </c>
      <c r="C82" s="74">
        <f t="shared" ref="C82:G82" si="12">SUM(C83:C94)</f>
        <v>0</v>
      </c>
      <c r="D82" s="74">
        <f t="shared" si="12"/>
        <v>0</v>
      </c>
      <c r="E82" s="74">
        <f t="shared" si="12"/>
        <v>0</v>
      </c>
      <c r="F82" s="74">
        <f t="shared" si="12"/>
        <v>0</v>
      </c>
      <c r="G82" s="74">
        <f t="shared" si="12"/>
        <v>0</v>
      </c>
      <c r="H82" s="75">
        <f t="shared" si="10"/>
        <v>0</v>
      </c>
      <c r="I82" s="1"/>
      <c r="R82" s="4"/>
      <c r="S82" s="1"/>
    </row>
    <row r="83" spans="1:19" x14ac:dyDescent="0.25">
      <c r="A83" s="22" t="s">
        <v>84</v>
      </c>
      <c r="B83" s="11"/>
      <c r="C83" s="10"/>
      <c r="D83" s="11"/>
      <c r="E83" s="11"/>
      <c r="F83" s="10"/>
      <c r="G83" s="11"/>
      <c r="H83" s="26">
        <f t="shared" si="10"/>
        <v>0</v>
      </c>
      <c r="I83" s="1"/>
      <c r="R83" s="4"/>
      <c r="S83" s="1"/>
    </row>
    <row r="84" spans="1:19" x14ac:dyDescent="0.25">
      <c r="A84" s="22" t="s">
        <v>114</v>
      </c>
      <c r="B84" s="11"/>
      <c r="C84" s="10"/>
      <c r="D84" s="11"/>
      <c r="E84" s="11"/>
      <c r="F84" s="10"/>
      <c r="G84" s="11"/>
      <c r="H84" s="26">
        <f t="shared" si="10"/>
        <v>0</v>
      </c>
      <c r="I84" s="1"/>
      <c r="R84" s="4"/>
      <c r="S84" s="1"/>
    </row>
    <row r="85" spans="1:19" ht="14.25" customHeight="1" x14ac:dyDescent="0.25">
      <c r="A85" s="22" t="s">
        <v>61</v>
      </c>
      <c r="B85" s="11"/>
      <c r="C85" s="10"/>
      <c r="D85" s="11"/>
      <c r="E85" s="11"/>
      <c r="F85" s="10"/>
      <c r="G85" s="11"/>
      <c r="H85" s="26">
        <f t="shared" si="10"/>
        <v>0</v>
      </c>
      <c r="I85" s="1"/>
      <c r="R85" s="4"/>
      <c r="S85" s="1"/>
    </row>
    <row r="86" spans="1:19" x14ac:dyDescent="0.25">
      <c r="A86" s="22" t="s">
        <v>62</v>
      </c>
      <c r="B86" s="11"/>
      <c r="C86" s="10"/>
      <c r="D86" s="11"/>
      <c r="E86" s="11"/>
      <c r="F86" s="10"/>
      <c r="G86" s="11"/>
      <c r="H86" s="26">
        <f t="shared" si="10"/>
        <v>0</v>
      </c>
      <c r="I86" s="1"/>
      <c r="K86" s="176"/>
      <c r="L86" s="176"/>
      <c r="M86" s="176"/>
      <c r="R86" s="4"/>
      <c r="S86" s="1"/>
    </row>
    <row r="87" spans="1:19" x14ac:dyDescent="0.25">
      <c r="A87" s="22" t="s">
        <v>93</v>
      </c>
      <c r="B87" s="11"/>
      <c r="C87" s="10"/>
      <c r="D87" s="11"/>
      <c r="E87" s="11"/>
      <c r="F87" s="10"/>
      <c r="G87" s="11"/>
      <c r="H87" s="26">
        <f t="shared" si="10"/>
        <v>0</v>
      </c>
      <c r="I87" s="1"/>
      <c r="R87" s="4"/>
      <c r="S87" s="1"/>
    </row>
    <row r="88" spans="1:19" x14ac:dyDescent="0.25">
      <c r="A88" s="22" t="s">
        <v>94</v>
      </c>
      <c r="B88" s="11"/>
      <c r="C88" s="10"/>
      <c r="D88" s="11"/>
      <c r="E88" s="11"/>
      <c r="F88" s="10"/>
      <c r="G88" s="11"/>
      <c r="H88" s="33">
        <f t="shared" si="10"/>
        <v>0</v>
      </c>
      <c r="I88" s="1"/>
      <c r="R88" s="4"/>
      <c r="S88" s="1"/>
    </row>
    <row r="89" spans="1:19" x14ac:dyDescent="0.25">
      <c r="A89" s="81" t="s">
        <v>108</v>
      </c>
      <c r="B89" s="82"/>
      <c r="C89" s="83"/>
      <c r="D89" s="82"/>
      <c r="E89" s="82"/>
      <c r="F89" s="85"/>
      <c r="G89" s="82"/>
      <c r="H89" s="84">
        <f>SUM(B89:G89)</f>
        <v>0</v>
      </c>
      <c r="I89" s="1"/>
      <c r="R89" s="4"/>
      <c r="S89" s="1"/>
    </row>
    <row r="90" spans="1:19" x14ac:dyDescent="0.25">
      <c r="A90" s="32" t="s">
        <v>63</v>
      </c>
      <c r="B90" s="31"/>
      <c r="C90" s="20"/>
      <c r="D90" s="31"/>
      <c r="E90" s="31"/>
      <c r="F90" s="20"/>
      <c r="G90" s="31"/>
      <c r="H90" s="26">
        <f t="shared" si="10"/>
        <v>0</v>
      </c>
      <c r="I90" s="1"/>
      <c r="R90" s="4"/>
      <c r="S90" s="1"/>
    </row>
    <row r="91" spans="1:19" x14ac:dyDescent="0.25">
      <c r="A91" s="22" t="s">
        <v>153</v>
      </c>
      <c r="B91" s="11"/>
      <c r="C91" s="10"/>
      <c r="D91" s="11"/>
      <c r="E91" s="11"/>
      <c r="F91" s="10"/>
      <c r="G91" s="11"/>
      <c r="H91" s="26">
        <f t="shared" si="10"/>
        <v>0</v>
      </c>
      <c r="I91" s="1"/>
      <c r="R91" s="4"/>
      <c r="S91" s="1"/>
    </row>
    <row r="92" spans="1:19" x14ac:dyDescent="0.25">
      <c r="A92" s="22" t="s">
        <v>107</v>
      </c>
      <c r="B92" s="11"/>
      <c r="C92" s="10"/>
      <c r="D92" s="11"/>
      <c r="E92" s="11"/>
      <c r="F92" s="10"/>
      <c r="G92" s="11"/>
      <c r="H92" s="26">
        <f t="shared" si="10"/>
        <v>0</v>
      </c>
      <c r="I92" s="1"/>
      <c r="R92" s="4"/>
      <c r="S92" s="1"/>
    </row>
    <row r="93" spans="1:19" x14ac:dyDescent="0.25">
      <c r="A93" s="22" t="s">
        <v>210</v>
      </c>
      <c r="B93" s="11"/>
      <c r="C93" s="10"/>
      <c r="D93" s="11"/>
      <c r="E93" s="11"/>
      <c r="F93" s="10"/>
      <c r="G93" s="11"/>
      <c r="H93" s="26">
        <f t="shared" si="10"/>
        <v>0</v>
      </c>
      <c r="I93" s="1"/>
      <c r="R93" s="4"/>
      <c r="S93" s="1"/>
    </row>
    <row r="94" spans="1:19" x14ac:dyDescent="0.25">
      <c r="A94" s="22" t="s">
        <v>182</v>
      </c>
      <c r="B94" s="11"/>
      <c r="C94" s="10"/>
      <c r="D94" s="11"/>
      <c r="E94" s="11"/>
      <c r="F94" s="10"/>
      <c r="G94" s="11"/>
      <c r="H94" s="26">
        <f t="shared" si="10"/>
        <v>0</v>
      </c>
      <c r="I94" s="1"/>
      <c r="R94" s="4"/>
      <c r="S94" s="1"/>
    </row>
    <row r="95" spans="1:19" x14ac:dyDescent="0.25">
      <c r="A95" s="73" t="s">
        <v>3</v>
      </c>
      <c r="B95" s="74">
        <f>SUM(B96:B155)</f>
        <v>0</v>
      </c>
      <c r="C95" s="74">
        <f t="shared" ref="C95:G95" si="13">SUM(C96:C155)</f>
        <v>0</v>
      </c>
      <c r="D95" s="74">
        <f t="shared" si="13"/>
        <v>0</v>
      </c>
      <c r="E95" s="74">
        <f t="shared" si="13"/>
        <v>0</v>
      </c>
      <c r="F95" s="74">
        <f t="shared" si="13"/>
        <v>0</v>
      </c>
      <c r="G95" s="74">
        <f t="shared" si="13"/>
        <v>0</v>
      </c>
      <c r="H95" s="75">
        <f t="shared" si="10"/>
        <v>0</v>
      </c>
      <c r="I95" s="1"/>
      <c r="R95" s="4"/>
      <c r="S95" s="1"/>
    </row>
    <row r="96" spans="1:19" x14ac:dyDescent="0.25">
      <c r="A96" s="7" t="s">
        <v>113</v>
      </c>
      <c r="B96" s="11"/>
      <c r="C96" s="11"/>
      <c r="D96" s="11"/>
      <c r="E96" s="11"/>
      <c r="F96" s="17"/>
      <c r="G96" s="11"/>
      <c r="H96" s="14">
        <f t="shared" si="10"/>
        <v>0</v>
      </c>
      <c r="I96" s="1"/>
      <c r="R96" s="4"/>
      <c r="S96" s="1"/>
    </row>
    <row r="97" spans="1:19" x14ac:dyDescent="0.25">
      <c r="A97" s="7" t="s">
        <v>112</v>
      </c>
      <c r="B97" s="11"/>
      <c r="C97" s="11"/>
      <c r="D97" s="11"/>
      <c r="E97" s="11"/>
      <c r="F97" s="17"/>
      <c r="G97" s="11"/>
      <c r="H97" s="27">
        <f t="shared" si="10"/>
        <v>0</v>
      </c>
      <c r="I97" s="1"/>
      <c r="R97" s="4"/>
      <c r="S97" s="1"/>
    </row>
    <row r="98" spans="1:19" x14ac:dyDescent="0.25">
      <c r="A98" s="7" t="s">
        <v>41</v>
      </c>
      <c r="B98" s="11"/>
      <c r="C98" s="11"/>
      <c r="D98" s="11"/>
      <c r="E98" s="11"/>
      <c r="F98" s="17"/>
      <c r="G98" s="11"/>
      <c r="H98" s="27">
        <f t="shared" si="10"/>
        <v>0</v>
      </c>
      <c r="I98" s="1"/>
      <c r="R98" s="4"/>
      <c r="S98" s="1"/>
    </row>
    <row r="99" spans="1:19" x14ac:dyDescent="0.25">
      <c r="A99" s="7" t="s">
        <v>192</v>
      </c>
      <c r="B99" s="11"/>
      <c r="C99" s="11"/>
      <c r="D99" s="11"/>
      <c r="E99" s="11"/>
      <c r="F99" s="17"/>
      <c r="G99" s="11"/>
      <c r="H99" s="27">
        <f t="shared" si="10"/>
        <v>0</v>
      </c>
      <c r="I99" s="1"/>
      <c r="R99" s="4"/>
      <c r="S99" s="1"/>
    </row>
    <row r="100" spans="1:19" x14ac:dyDescent="0.25">
      <c r="A100" s="7" t="s">
        <v>213</v>
      </c>
      <c r="B100" s="11"/>
      <c r="C100" s="11"/>
      <c r="D100" s="11"/>
      <c r="E100" s="11"/>
      <c r="F100" s="17"/>
      <c r="G100" s="11"/>
      <c r="H100" s="27">
        <f t="shared" si="10"/>
        <v>0</v>
      </c>
      <c r="I100" s="1"/>
      <c r="R100" s="4"/>
      <c r="S100" s="1"/>
    </row>
    <row r="101" spans="1:19" x14ac:dyDescent="0.25">
      <c r="A101" s="7" t="s">
        <v>214</v>
      </c>
      <c r="B101" s="11"/>
      <c r="C101" s="11"/>
      <c r="D101" s="11"/>
      <c r="E101" s="11"/>
      <c r="F101" s="17"/>
      <c r="G101" s="11"/>
      <c r="H101" s="27">
        <f t="shared" si="10"/>
        <v>0</v>
      </c>
      <c r="I101" s="1"/>
      <c r="R101" s="4"/>
      <c r="S101" s="1"/>
    </row>
    <row r="102" spans="1:19" x14ac:dyDescent="0.25">
      <c r="A102" s="7" t="s">
        <v>215</v>
      </c>
      <c r="B102" s="11"/>
      <c r="C102" s="11"/>
      <c r="D102" s="11"/>
      <c r="E102" s="11"/>
      <c r="F102" s="17"/>
      <c r="G102" s="11"/>
      <c r="H102" s="27">
        <f t="shared" si="10"/>
        <v>0</v>
      </c>
      <c r="I102" s="1"/>
      <c r="R102" s="4"/>
      <c r="S102" s="1"/>
    </row>
    <row r="103" spans="1:19" x14ac:dyDescent="0.25">
      <c r="A103" s="7"/>
      <c r="B103" s="11"/>
      <c r="C103" s="11"/>
      <c r="D103" s="11"/>
      <c r="E103" s="11"/>
      <c r="F103" s="17"/>
      <c r="G103" s="11"/>
      <c r="H103" s="27">
        <f t="shared" si="10"/>
        <v>0</v>
      </c>
      <c r="I103" s="1"/>
      <c r="R103" s="4"/>
      <c r="S103" s="1"/>
    </row>
    <row r="104" spans="1:19" x14ac:dyDescent="0.25">
      <c r="A104" s="7"/>
      <c r="B104" s="11"/>
      <c r="C104" s="11"/>
      <c r="D104" s="11"/>
      <c r="E104" s="11"/>
      <c r="F104" s="17"/>
      <c r="G104" s="11"/>
      <c r="H104" s="27"/>
      <c r="I104" s="1"/>
      <c r="R104" s="4"/>
      <c r="S104" s="1"/>
    </row>
    <row r="105" spans="1:19" x14ac:dyDescent="0.25">
      <c r="A105" s="7" t="s">
        <v>216</v>
      </c>
      <c r="B105" s="11"/>
      <c r="C105" s="11"/>
      <c r="D105" s="11"/>
      <c r="E105" s="11"/>
      <c r="F105" s="17"/>
      <c r="G105" s="11"/>
      <c r="H105" s="27">
        <f t="shared" si="10"/>
        <v>0</v>
      </c>
      <c r="I105" s="1"/>
      <c r="R105" s="4"/>
      <c r="S105" s="1"/>
    </row>
    <row r="106" spans="1:19" x14ac:dyDescent="0.25">
      <c r="A106" s="7" t="s">
        <v>174</v>
      </c>
      <c r="B106" s="11"/>
      <c r="C106" s="11"/>
      <c r="D106" s="11"/>
      <c r="E106" s="11"/>
      <c r="F106" s="17"/>
      <c r="G106" s="11"/>
      <c r="H106" s="27">
        <f t="shared" si="10"/>
        <v>0</v>
      </c>
      <c r="I106" s="1"/>
      <c r="R106" s="4"/>
      <c r="S106" s="1"/>
    </row>
    <row r="107" spans="1:19" x14ac:dyDescent="0.25">
      <c r="A107" s="7" t="s">
        <v>175</v>
      </c>
      <c r="B107" s="11"/>
      <c r="C107" s="11"/>
      <c r="D107" s="11"/>
      <c r="E107" s="19"/>
      <c r="F107" s="17"/>
      <c r="G107" s="11"/>
      <c r="H107" s="27">
        <f t="shared" si="10"/>
        <v>0</v>
      </c>
      <c r="I107" s="1"/>
      <c r="R107" s="4"/>
      <c r="S107" s="1"/>
    </row>
    <row r="108" spans="1:19" x14ac:dyDescent="0.25">
      <c r="A108" s="177" t="s">
        <v>109</v>
      </c>
      <c r="B108" s="177"/>
      <c r="C108" s="177"/>
      <c r="D108" s="177"/>
      <c r="E108" s="177"/>
      <c r="F108" s="177"/>
      <c r="G108" s="177"/>
      <c r="H108" s="177"/>
      <c r="I108" s="1"/>
      <c r="R108" s="4"/>
      <c r="S108" s="1"/>
    </row>
    <row r="109" spans="1:19" x14ac:dyDescent="0.25">
      <c r="A109" s="7" t="s">
        <v>123</v>
      </c>
      <c r="B109" s="11"/>
      <c r="C109" s="11"/>
      <c r="D109" s="11"/>
      <c r="E109" s="11"/>
      <c r="F109" s="11"/>
      <c r="G109" s="11"/>
      <c r="H109" s="28">
        <f t="shared" si="10"/>
        <v>0</v>
      </c>
      <c r="I109" s="1"/>
      <c r="J109" s="176"/>
      <c r="K109" s="176"/>
      <c r="R109" s="4"/>
      <c r="S109" s="1"/>
    </row>
    <row r="110" spans="1:19" x14ac:dyDescent="0.25">
      <c r="A110" s="7" t="s">
        <v>122</v>
      </c>
      <c r="B110" s="11"/>
      <c r="C110" s="11"/>
      <c r="D110" s="10"/>
      <c r="E110" s="11"/>
      <c r="F110" s="11"/>
      <c r="G110" s="11"/>
      <c r="H110" s="14">
        <f t="shared" si="10"/>
        <v>0</v>
      </c>
      <c r="I110" s="1"/>
      <c r="J110" s="176"/>
      <c r="K110" s="176"/>
      <c r="R110" s="4"/>
      <c r="S110" s="1"/>
    </row>
    <row r="111" spans="1:19" x14ac:dyDescent="0.25">
      <c r="A111" s="7" t="s">
        <v>121</v>
      </c>
      <c r="B111" s="11"/>
      <c r="C111" s="11"/>
      <c r="D111" s="11"/>
      <c r="E111" s="11"/>
      <c r="F111" s="11"/>
      <c r="G111" s="11"/>
      <c r="H111" s="14">
        <f t="shared" si="10"/>
        <v>0</v>
      </c>
      <c r="I111" s="1"/>
      <c r="R111" s="4"/>
      <c r="S111" s="1"/>
    </row>
    <row r="112" spans="1:19" x14ac:dyDescent="0.25">
      <c r="A112" s="7" t="s">
        <v>120</v>
      </c>
      <c r="B112" s="11"/>
      <c r="C112" s="11"/>
      <c r="D112" s="11"/>
      <c r="E112" s="11"/>
      <c r="F112" s="11"/>
      <c r="G112" s="11"/>
      <c r="H112" s="14">
        <f t="shared" si="10"/>
        <v>0</v>
      </c>
      <c r="I112" s="1"/>
      <c r="R112" s="4"/>
      <c r="S112" s="1"/>
    </row>
    <row r="113" spans="1:19" x14ac:dyDescent="0.25">
      <c r="A113" s="7" t="s">
        <v>124</v>
      </c>
      <c r="B113" s="11"/>
      <c r="C113" s="11"/>
      <c r="D113" s="11"/>
      <c r="E113" s="11"/>
      <c r="F113" s="11"/>
      <c r="G113" s="11"/>
      <c r="H113" s="14">
        <f t="shared" si="10"/>
        <v>0</v>
      </c>
      <c r="I113" s="1"/>
      <c r="R113" s="4"/>
      <c r="S113" s="1"/>
    </row>
    <row r="114" spans="1:19" x14ac:dyDescent="0.25">
      <c r="A114" s="7" t="s">
        <v>48</v>
      </c>
      <c r="B114" s="11"/>
      <c r="C114" s="11"/>
      <c r="D114" s="11"/>
      <c r="E114" s="11"/>
      <c r="F114" s="11"/>
      <c r="G114" s="11"/>
      <c r="H114" s="14">
        <f>SUM(B114:G114)</f>
        <v>0</v>
      </c>
      <c r="I114" s="1"/>
      <c r="R114" s="4"/>
      <c r="S114" s="1"/>
    </row>
    <row r="115" spans="1:19" x14ac:dyDescent="0.25">
      <c r="A115" s="180" t="s">
        <v>110</v>
      </c>
      <c r="B115" s="181"/>
      <c r="C115" s="181"/>
      <c r="D115" s="181"/>
      <c r="E115" s="181"/>
      <c r="F115" s="181"/>
      <c r="G115" s="181"/>
      <c r="H115" s="175"/>
      <c r="I115" s="1"/>
      <c r="R115" s="4"/>
      <c r="S115" s="1"/>
    </row>
    <row r="116" spans="1:19" x14ac:dyDescent="0.25">
      <c r="A116" s="8" t="s">
        <v>111</v>
      </c>
      <c r="B116" s="31"/>
      <c r="C116" s="31"/>
      <c r="D116" s="31"/>
      <c r="E116" s="31"/>
      <c r="F116" s="31"/>
      <c r="G116" s="31"/>
      <c r="H116" s="14">
        <f t="shared" ref="H116:H149" si="14">SUM(B116:G116)</f>
        <v>0</v>
      </c>
      <c r="I116" s="1"/>
      <c r="R116" s="4"/>
      <c r="S116" s="1"/>
    </row>
    <row r="117" spans="1:19" x14ac:dyDescent="0.25">
      <c r="A117" s="7" t="s">
        <v>158</v>
      </c>
      <c r="B117" s="11"/>
      <c r="C117" s="11"/>
      <c r="D117" s="11"/>
      <c r="E117" s="11"/>
      <c r="F117" s="11"/>
      <c r="G117" s="11"/>
      <c r="H117" s="14">
        <f t="shared" si="14"/>
        <v>0</v>
      </c>
      <c r="I117" s="1"/>
      <c r="R117" s="4"/>
      <c r="S117" s="1"/>
    </row>
    <row r="118" spans="1:19" x14ac:dyDescent="0.25">
      <c r="A118" s="7" t="s">
        <v>156</v>
      </c>
      <c r="B118" s="11"/>
      <c r="C118" s="11"/>
      <c r="D118" s="11"/>
      <c r="E118" s="11"/>
      <c r="F118" s="11"/>
      <c r="G118" s="11"/>
      <c r="H118" s="14">
        <f t="shared" si="14"/>
        <v>0</v>
      </c>
      <c r="I118" s="1"/>
      <c r="R118" s="4"/>
      <c r="S118" s="1"/>
    </row>
    <row r="119" spans="1:19" x14ac:dyDescent="0.25">
      <c r="A119" s="7" t="s">
        <v>187</v>
      </c>
      <c r="B119" s="11"/>
      <c r="C119" s="11"/>
      <c r="D119" s="11"/>
      <c r="E119" s="11"/>
      <c r="F119" s="11"/>
      <c r="G119" s="11"/>
      <c r="H119" s="14">
        <f t="shared" si="14"/>
        <v>0</v>
      </c>
      <c r="I119" s="1"/>
      <c r="R119" s="4"/>
      <c r="S119" s="1"/>
    </row>
    <row r="120" spans="1:19" x14ac:dyDescent="0.25">
      <c r="A120" s="7" t="s">
        <v>157</v>
      </c>
      <c r="B120" s="11"/>
      <c r="C120" s="11"/>
      <c r="D120" s="11"/>
      <c r="E120" s="11"/>
      <c r="F120" s="11"/>
      <c r="G120" s="11"/>
      <c r="H120" s="14">
        <f t="shared" si="14"/>
        <v>0</v>
      </c>
      <c r="I120" s="1"/>
      <c r="R120" s="4"/>
      <c r="S120" s="1"/>
    </row>
    <row r="121" spans="1:19" x14ac:dyDescent="0.25">
      <c r="A121" s="7" t="s">
        <v>125</v>
      </c>
      <c r="B121" s="11"/>
      <c r="C121" s="11"/>
      <c r="D121" s="11"/>
      <c r="E121" s="11"/>
      <c r="F121" s="11"/>
      <c r="G121" s="11"/>
      <c r="H121" s="14">
        <f t="shared" si="14"/>
        <v>0</v>
      </c>
      <c r="I121" s="1"/>
      <c r="R121" s="4"/>
      <c r="S121" s="1"/>
    </row>
    <row r="122" spans="1:19" x14ac:dyDescent="0.25">
      <c r="A122" s="7" t="s">
        <v>126</v>
      </c>
      <c r="B122" s="11"/>
      <c r="C122" s="11"/>
      <c r="D122" s="11"/>
      <c r="E122" s="11"/>
      <c r="F122" s="11"/>
      <c r="G122" s="11"/>
      <c r="H122" s="14">
        <f t="shared" si="14"/>
        <v>0</v>
      </c>
      <c r="I122" s="1"/>
      <c r="R122" s="4"/>
      <c r="S122" s="1"/>
    </row>
    <row r="123" spans="1:19" x14ac:dyDescent="0.25">
      <c r="A123" s="7" t="s">
        <v>103</v>
      </c>
      <c r="B123" s="11"/>
      <c r="C123" s="11"/>
      <c r="D123" s="11"/>
      <c r="E123" s="11"/>
      <c r="F123" s="11"/>
      <c r="G123" s="11"/>
      <c r="H123" s="14">
        <f t="shared" si="14"/>
        <v>0</v>
      </c>
      <c r="I123" s="1"/>
      <c r="R123" s="4"/>
      <c r="S123" s="1"/>
    </row>
    <row r="124" spans="1:19" x14ac:dyDescent="0.25">
      <c r="A124" s="7" t="s">
        <v>127</v>
      </c>
      <c r="B124" s="11"/>
      <c r="C124" s="11"/>
      <c r="D124" s="11"/>
      <c r="E124" s="11"/>
      <c r="F124" s="11"/>
      <c r="G124" s="11"/>
      <c r="H124" s="14">
        <f t="shared" si="14"/>
        <v>0</v>
      </c>
      <c r="I124" s="1"/>
      <c r="R124" s="4"/>
      <c r="S124" s="1"/>
    </row>
    <row r="125" spans="1:19" x14ac:dyDescent="0.25">
      <c r="A125" s="7" t="s">
        <v>128</v>
      </c>
      <c r="B125" s="11"/>
      <c r="C125" s="11"/>
      <c r="D125" s="11"/>
      <c r="E125" s="11"/>
      <c r="F125" s="11"/>
      <c r="G125" s="11"/>
      <c r="H125" s="14">
        <f t="shared" si="14"/>
        <v>0</v>
      </c>
      <c r="I125" s="1"/>
      <c r="R125" s="4"/>
      <c r="S125" s="1"/>
    </row>
    <row r="126" spans="1:19" x14ac:dyDescent="0.25">
      <c r="A126" s="7" t="s">
        <v>129</v>
      </c>
      <c r="B126" s="11"/>
      <c r="C126" s="11"/>
      <c r="D126" s="11"/>
      <c r="E126" s="11"/>
      <c r="F126" s="11"/>
      <c r="G126" s="11"/>
      <c r="H126" s="14">
        <f t="shared" si="14"/>
        <v>0</v>
      </c>
      <c r="I126" s="1"/>
      <c r="R126" s="4"/>
      <c r="S126" s="1"/>
    </row>
    <row r="127" spans="1:19" x14ac:dyDescent="0.25">
      <c r="A127" s="7" t="s">
        <v>44</v>
      </c>
      <c r="B127" s="11"/>
      <c r="C127" s="11"/>
      <c r="D127" s="11"/>
      <c r="E127" s="11"/>
      <c r="F127" s="11"/>
      <c r="G127" s="11"/>
      <c r="H127" s="14">
        <f t="shared" si="14"/>
        <v>0</v>
      </c>
      <c r="I127" s="1"/>
      <c r="R127" s="4"/>
      <c r="S127" s="1"/>
    </row>
    <row r="128" spans="1:19" x14ac:dyDescent="0.25">
      <c r="A128" s="7" t="s">
        <v>92</v>
      </c>
      <c r="B128" s="11"/>
      <c r="C128" s="11"/>
      <c r="D128" s="11"/>
      <c r="E128" s="11"/>
      <c r="F128" s="11"/>
      <c r="G128" s="11"/>
      <c r="H128" s="14">
        <f t="shared" si="14"/>
        <v>0</v>
      </c>
      <c r="I128" s="1"/>
      <c r="R128" s="4"/>
      <c r="S128" s="1"/>
    </row>
    <row r="129" spans="1:19" x14ac:dyDescent="0.25">
      <c r="A129" s="7" t="s">
        <v>45</v>
      </c>
      <c r="B129" s="11"/>
      <c r="C129" s="11"/>
      <c r="D129" s="11"/>
      <c r="E129" s="11"/>
      <c r="F129" s="11"/>
      <c r="G129" s="11"/>
      <c r="H129" s="14">
        <f t="shared" si="14"/>
        <v>0</v>
      </c>
      <c r="I129" s="1"/>
      <c r="R129" s="4"/>
      <c r="S129" s="1"/>
    </row>
    <row r="130" spans="1:19" x14ac:dyDescent="0.25">
      <c r="A130" s="7" t="s">
        <v>99</v>
      </c>
      <c r="B130" s="11"/>
      <c r="C130" s="11"/>
      <c r="D130" s="11"/>
      <c r="E130" s="11"/>
      <c r="F130" s="11"/>
      <c r="G130" s="11"/>
      <c r="H130" s="14">
        <f t="shared" si="14"/>
        <v>0</v>
      </c>
      <c r="I130" s="1"/>
      <c r="R130" s="4"/>
      <c r="S130" s="1"/>
    </row>
    <row r="131" spans="1:19" ht="15.75" customHeight="1" x14ac:dyDescent="0.25">
      <c r="A131" s="7" t="s">
        <v>100</v>
      </c>
      <c r="B131" s="11"/>
      <c r="C131" s="11"/>
      <c r="D131" s="11"/>
      <c r="E131" s="11"/>
      <c r="F131" s="11"/>
      <c r="G131" s="11"/>
      <c r="H131" s="14">
        <f t="shared" si="14"/>
        <v>0</v>
      </c>
      <c r="I131" s="1"/>
      <c r="R131" s="4"/>
      <c r="S131" s="1"/>
    </row>
    <row r="132" spans="1:19" x14ac:dyDescent="0.25">
      <c r="A132" s="7" t="s">
        <v>46</v>
      </c>
      <c r="B132" s="11"/>
      <c r="C132" s="11"/>
      <c r="D132" s="11"/>
      <c r="E132" s="11"/>
      <c r="F132" s="11"/>
      <c r="G132" s="11"/>
      <c r="H132" s="14">
        <f t="shared" si="14"/>
        <v>0</v>
      </c>
      <c r="I132" s="1"/>
      <c r="R132" s="4"/>
      <c r="S132" s="1"/>
    </row>
    <row r="133" spans="1:19" x14ac:dyDescent="0.25">
      <c r="A133" s="7" t="s">
        <v>47</v>
      </c>
      <c r="B133" s="11"/>
      <c r="C133" s="11"/>
      <c r="D133" s="11"/>
      <c r="E133" s="11"/>
      <c r="F133" s="11"/>
      <c r="G133" s="11"/>
      <c r="H133" s="14">
        <f t="shared" si="14"/>
        <v>0</v>
      </c>
      <c r="I133" s="1"/>
      <c r="R133" s="4"/>
      <c r="S133" s="1"/>
    </row>
    <row r="134" spans="1:19" x14ac:dyDescent="0.25">
      <c r="A134" s="7" t="s">
        <v>53</v>
      </c>
      <c r="B134" s="11"/>
      <c r="C134" s="11"/>
      <c r="D134" s="11"/>
      <c r="E134" s="11"/>
      <c r="F134" s="11"/>
      <c r="G134" s="11"/>
      <c r="H134" s="14">
        <f t="shared" si="14"/>
        <v>0</v>
      </c>
      <c r="I134" s="1"/>
      <c r="R134" s="4"/>
      <c r="S134" s="1"/>
    </row>
    <row r="135" spans="1:19" x14ac:dyDescent="0.25">
      <c r="A135" s="7" t="s">
        <v>134</v>
      </c>
      <c r="B135" s="11"/>
      <c r="C135" s="11"/>
      <c r="D135" s="11"/>
      <c r="E135" s="11"/>
      <c r="F135" s="11"/>
      <c r="G135" s="11"/>
      <c r="H135" s="14">
        <f t="shared" si="14"/>
        <v>0</v>
      </c>
      <c r="I135" s="1"/>
      <c r="R135" s="4"/>
      <c r="S135" s="1"/>
    </row>
    <row r="136" spans="1:19" x14ac:dyDescent="0.25">
      <c r="A136" s="7" t="s">
        <v>135</v>
      </c>
      <c r="B136" s="11"/>
      <c r="C136" s="11"/>
      <c r="D136" s="11"/>
      <c r="E136" s="11"/>
      <c r="F136" s="11"/>
      <c r="G136" s="11"/>
      <c r="H136" s="14">
        <f t="shared" si="14"/>
        <v>0</v>
      </c>
      <c r="I136" s="1"/>
      <c r="R136" s="4"/>
      <c r="S136" s="1"/>
    </row>
    <row r="137" spans="1:19" x14ac:dyDescent="0.25">
      <c r="A137" s="7" t="s">
        <v>49</v>
      </c>
      <c r="B137" s="11"/>
      <c r="C137" s="11"/>
      <c r="D137" s="11"/>
      <c r="E137" s="11"/>
      <c r="F137" s="11"/>
      <c r="G137" s="11"/>
      <c r="H137" s="27">
        <f t="shared" si="14"/>
        <v>0</v>
      </c>
      <c r="I137" s="1"/>
      <c r="R137" s="4"/>
      <c r="S137" s="1"/>
    </row>
    <row r="138" spans="1:19" x14ac:dyDescent="0.25">
      <c r="A138" s="7" t="s">
        <v>189</v>
      </c>
      <c r="B138" s="11"/>
      <c r="C138" s="11"/>
      <c r="D138" s="11"/>
      <c r="E138" s="11"/>
      <c r="F138" s="11"/>
      <c r="G138" s="11"/>
      <c r="H138" s="27">
        <f t="shared" si="14"/>
        <v>0</v>
      </c>
      <c r="I138" s="1"/>
      <c r="R138" s="4"/>
      <c r="S138" s="1"/>
    </row>
    <row r="139" spans="1:19" x14ac:dyDescent="0.25">
      <c r="A139" s="7" t="s">
        <v>50</v>
      </c>
      <c r="B139" s="11"/>
      <c r="C139" s="11"/>
      <c r="D139" s="11"/>
      <c r="E139" s="11"/>
      <c r="F139" s="11"/>
      <c r="G139" s="11"/>
      <c r="H139" s="14">
        <f t="shared" si="14"/>
        <v>0</v>
      </c>
      <c r="I139" s="1"/>
      <c r="R139" s="4"/>
      <c r="S139" s="1"/>
    </row>
    <row r="140" spans="1:19" x14ac:dyDescent="0.25">
      <c r="A140" s="7" t="s">
        <v>104</v>
      </c>
      <c r="B140" s="11"/>
      <c r="C140" s="11"/>
      <c r="D140" s="11"/>
      <c r="E140" s="11"/>
      <c r="F140" s="11"/>
      <c r="G140" s="11"/>
      <c r="H140" s="14">
        <f t="shared" si="14"/>
        <v>0</v>
      </c>
      <c r="I140" s="1"/>
      <c r="R140" s="6"/>
      <c r="S140" s="1"/>
    </row>
    <row r="141" spans="1:19" x14ac:dyDescent="0.25">
      <c r="A141" s="7" t="s">
        <v>51</v>
      </c>
      <c r="B141" s="11"/>
      <c r="C141" s="11"/>
      <c r="D141" s="11"/>
      <c r="E141" s="11"/>
      <c r="F141" s="11"/>
      <c r="G141" s="11"/>
      <c r="H141" s="14">
        <f t="shared" si="14"/>
        <v>0</v>
      </c>
    </row>
    <row r="142" spans="1:19" x14ac:dyDescent="0.25">
      <c r="A142" s="7" t="s">
        <v>52</v>
      </c>
      <c r="B142" s="11"/>
      <c r="C142" s="11"/>
      <c r="D142" s="11"/>
      <c r="E142" s="11"/>
      <c r="F142" s="11"/>
      <c r="G142" s="11"/>
      <c r="H142" s="14">
        <f t="shared" si="14"/>
        <v>0</v>
      </c>
    </row>
    <row r="143" spans="1:19" x14ac:dyDescent="0.25">
      <c r="A143" s="7" t="s">
        <v>115</v>
      </c>
      <c r="B143" s="11"/>
      <c r="C143" s="11"/>
      <c r="D143" s="11"/>
      <c r="E143" s="11"/>
      <c r="F143" s="11"/>
      <c r="G143" s="11"/>
      <c r="H143" s="14">
        <f t="shared" si="14"/>
        <v>0</v>
      </c>
    </row>
    <row r="144" spans="1:19" x14ac:dyDescent="0.25">
      <c r="A144" s="7" t="s">
        <v>116</v>
      </c>
      <c r="B144" s="11"/>
      <c r="C144" s="11"/>
      <c r="D144" s="11"/>
      <c r="E144" s="11"/>
      <c r="F144" s="11"/>
      <c r="G144" s="11"/>
      <c r="H144" s="14">
        <f t="shared" si="14"/>
        <v>0</v>
      </c>
    </row>
    <row r="145" spans="1:13" x14ac:dyDescent="0.25">
      <c r="A145" s="7" t="s">
        <v>102</v>
      </c>
      <c r="B145" s="11"/>
      <c r="C145" s="11"/>
      <c r="D145" s="11"/>
      <c r="E145" s="11"/>
      <c r="F145" s="11"/>
      <c r="G145" s="11"/>
      <c r="H145" s="14">
        <f>SUM(B145:G145)</f>
        <v>0</v>
      </c>
    </row>
    <row r="146" spans="1:13" x14ac:dyDescent="0.25">
      <c r="A146" s="7" t="s">
        <v>203</v>
      </c>
      <c r="B146" s="11"/>
      <c r="C146" s="11"/>
      <c r="D146" s="11"/>
      <c r="E146" s="11"/>
      <c r="F146" s="11"/>
      <c r="G146" s="11"/>
      <c r="H146" s="14">
        <f>SUM(B146:G146)</f>
        <v>0</v>
      </c>
    </row>
    <row r="147" spans="1:13" x14ac:dyDescent="0.25">
      <c r="A147" s="7" t="s">
        <v>197</v>
      </c>
      <c r="B147" s="11"/>
      <c r="C147" s="11"/>
      <c r="D147" s="11"/>
      <c r="E147" s="11"/>
      <c r="F147" s="11"/>
      <c r="G147" s="11"/>
      <c r="H147" s="14">
        <f t="shared" si="14"/>
        <v>0</v>
      </c>
    </row>
    <row r="148" spans="1:13" x14ac:dyDescent="0.25">
      <c r="A148" s="7" t="s">
        <v>217</v>
      </c>
      <c r="B148" s="11"/>
      <c r="C148" s="11"/>
      <c r="D148" s="11"/>
      <c r="E148" s="11"/>
      <c r="F148" s="11"/>
      <c r="G148" s="11"/>
      <c r="H148" s="14">
        <f t="shared" si="14"/>
        <v>0</v>
      </c>
    </row>
    <row r="149" spans="1:13" x14ac:dyDescent="0.25">
      <c r="A149" s="7" t="s">
        <v>198</v>
      </c>
      <c r="B149" s="11"/>
      <c r="C149" s="11"/>
      <c r="D149" s="11"/>
      <c r="E149" s="11"/>
      <c r="F149" s="11"/>
      <c r="G149" s="11"/>
      <c r="H149" s="14">
        <f t="shared" si="14"/>
        <v>0</v>
      </c>
    </row>
    <row r="150" spans="1:13" x14ac:dyDescent="0.25">
      <c r="A150" s="7" t="s">
        <v>199</v>
      </c>
      <c r="B150" s="11"/>
      <c r="C150" s="11"/>
      <c r="D150" s="11"/>
      <c r="E150" s="11"/>
      <c r="F150" s="11"/>
      <c r="G150" s="11"/>
      <c r="H150" s="14">
        <f>SUM(B150:G150)</f>
        <v>0</v>
      </c>
    </row>
    <row r="151" spans="1:13" x14ac:dyDescent="0.25">
      <c r="A151" s="7" t="s">
        <v>200</v>
      </c>
      <c r="B151" s="11"/>
      <c r="C151" s="11"/>
      <c r="D151" s="11"/>
      <c r="E151" s="11"/>
      <c r="F151" s="11"/>
      <c r="G151" s="11"/>
      <c r="H151" s="14">
        <f>SUM(B151:G151)</f>
        <v>0</v>
      </c>
    </row>
    <row r="152" spans="1:13" x14ac:dyDescent="0.25">
      <c r="A152" s="7"/>
      <c r="B152" s="11"/>
      <c r="C152" s="11"/>
      <c r="D152" s="17"/>
      <c r="E152" s="11"/>
      <c r="F152" s="17"/>
      <c r="G152" s="11"/>
      <c r="H152" s="26"/>
    </row>
    <row r="153" spans="1:13" x14ac:dyDescent="0.25">
      <c r="A153" s="7" t="s">
        <v>105</v>
      </c>
      <c r="B153" s="11"/>
      <c r="C153" s="11"/>
      <c r="D153" s="17"/>
      <c r="E153" s="11"/>
      <c r="F153" s="17"/>
      <c r="G153" s="11"/>
      <c r="H153" s="26">
        <f>SUM(B153:G153)</f>
        <v>0</v>
      </c>
    </row>
    <row r="154" spans="1:13" x14ac:dyDescent="0.25">
      <c r="A154" s="117" t="s">
        <v>206</v>
      </c>
      <c r="B154" s="11"/>
      <c r="C154" s="11"/>
      <c r="D154" s="11"/>
      <c r="E154" s="17"/>
      <c r="F154" s="11"/>
      <c r="G154" s="17"/>
      <c r="H154" s="26">
        <f t="shared" ref="H154:H155" si="15">SUM(B154:G154)</f>
        <v>0</v>
      </c>
    </row>
    <row r="155" spans="1:13" x14ac:dyDescent="0.25">
      <c r="A155" s="6" t="s">
        <v>207</v>
      </c>
      <c r="B155" s="93"/>
      <c r="C155" s="93"/>
      <c r="D155" s="93"/>
      <c r="E155" s="118"/>
      <c r="F155" s="93"/>
      <c r="G155" s="118"/>
      <c r="H155" s="26">
        <f t="shared" si="15"/>
        <v>0</v>
      </c>
    </row>
    <row r="159" spans="1:13" x14ac:dyDescent="0.25">
      <c r="J159" s="176"/>
      <c r="K159" s="176"/>
      <c r="L159" s="176"/>
      <c r="M159" s="176"/>
    </row>
    <row r="160" spans="1:13" x14ac:dyDescent="0.25">
      <c r="J160" s="176"/>
    </row>
    <row r="167" spans="10:17" x14ac:dyDescent="0.25">
      <c r="P167" s="5"/>
      <c r="Q167" s="5"/>
    </row>
    <row r="169" spans="10:17" x14ac:dyDescent="0.25">
      <c r="J169" s="5"/>
      <c r="K169" s="5"/>
      <c r="L169" s="5"/>
      <c r="M169" s="5"/>
      <c r="N169" s="1"/>
      <c r="O169" s="1"/>
    </row>
  </sheetData>
  <mergeCells count="30">
    <mergeCell ref="A115:H115"/>
    <mergeCell ref="J159:J160"/>
    <mergeCell ref="K159:M159"/>
    <mergeCell ref="A108:H108"/>
    <mergeCell ref="J53:P53"/>
    <mergeCell ref="J54:P54"/>
    <mergeCell ref="J55:P55"/>
    <mergeCell ref="J56:P56"/>
    <mergeCell ref="J57:P57"/>
    <mergeCell ref="J58:P58"/>
    <mergeCell ref="J59:P59"/>
    <mergeCell ref="J60:P60"/>
    <mergeCell ref="J61:P61"/>
    <mergeCell ref="J62:P62"/>
    <mergeCell ref="K86:M86"/>
    <mergeCell ref="J109:J110"/>
    <mergeCell ref="K109:K110"/>
    <mergeCell ref="J52:Q52"/>
    <mergeCell ref="A3:R3"/>
    <mergeCell ref="B4:J4"/>
    <mergeCell ref="L4:R4"/>
    <mergeCell ref="A9:A10"/>
    <mergeCell ref="B9:H9"/>
    <mergeCell ref="J9:J10"/>
    <mergeCell ref="K9:Q9"/>
    <mergeCell ref="J26:J27"/>
    <mergeCell ref="K26:Q26"/>
    <mergeCell ref="J39:J40"/>
    <mergeCell ref="K39:Q39"/>
    <mergeCell ref="J50:M50"/>
  </mergeCells>
  <pageMargins left="1" right="1" top="1" bottom="1" header="0.5" footer="0.5"/>
  <pageSetup paperSize="9" scale="50" fitToHeight="0" orientation="landscape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B9687-12D0-4C8E-9526-82908E6D90D3}">
  <sheetPr>
    <pageSetUpPr fitToPage="1"/>
  </sheetPr>
  <dimension ref="A3:S168"/>
  <sheetViews>
    <sheetView topLeftCell="A34" zoomScale="80" zoomScaleNormal="80" workbookViewId="0">
      <selection activeCell="K42" sqref="K42:P49"/>
    </sheetView>
  </sheetViews>
  <sheetFormatPr baseColWidth="10" defaultRowHeight="15" x14ac:dyDescent="0.25"/>
  <cols>
    <col min="1" max="1" width="49.85546875" customWidth="1"/>
    <col min="2" max="6" width="9.85546875" customWidth="1"/>
    <col min="7" max="7" width="13.5703125" customWidth="1"/>
    <col min="8" max="8" width="9.28515625" customWidth="1"/>
    <col min="9" max="9" width="9.42578125" customWidth="1"/>
    <col min="10" max="10" width="43.7109375" customWidth="1"/>
    <col min="11" max="15" width="9.28515625" customWidth="1"/>
    <col min="16" max="16" width="10.42578125" customWidth="1"/>
    <col min="17" max="17" width="10" customWidth="1"/>
    <col min="18" max="18" width="2.85546875" customWidth="1"/>
  </cols>
  <sheetData>
    <row r="3" spans="1:19" ht="26.25" x14ac:dyDescent="0.25">
      <c r="A3" s="161"/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"/>
    </row>
    <row r="4" spans="1:19" ht="15.75" x14ac:dyDescent="0.25">
      <c r="A4" s="1" t="s">
        <v>12</v>
      </c>
      <c r="B4" s="170" t="s">
        <v>16</v>
      </c>
      <c r="C4" s="171"/>
      <c r="D4" s="171"/>
      <c r="E4" s="171"/>
      <c r="F4" s="171"/>
      <c r="G4" s="171"/>
      <c r="H4" s="171"/>
      <c r="I4" s="171"/>
      <c r="J4" s="172"/>
      <c r="K4" s="9" t="s">
        <v>14</v>
      </c>
      <c r="L4" s="162" t="s">
        <v>185</v>
      </c>
      <c r="M4" s="163"/>
      <c r="N4" s="163"/>
      <c r="O4" s="163"/>
      <c r="P4" s="163"/>
      <c r="Q4" s="163"/>
      <c r="R4" s="164"/>
      <c r="S4" s="1"/>
    </row>
    <row r="5" spans="1:19" x14ac:dyDescent="0.25">
      <c r="A5" s="1"/>
      <c r="B5" s="1"/>
      <c r="C5" s="1"/>
      <c r="D5" s="10"/>
      <c r="E5" s="1"/>
      <c r="F5" s="1"/>
      <c r="G5" s="1"/>
      <c r="H5" s="1"/>
      <c r="I5" s="1"/>
      <c r="J5" s="1"/>
      <c r="K5" s="9"/>
      <c r="L5" s="10"/>
      <c r="M5" s="10"/>
      <c r="N5" s="10"/>
      <c r="O5" s="10"/>
      <c r="P5" s="10"/>
      <c r="Q5" s="10"/>
      <c r="R5" s="10"/>
      <c r="S5" s="1"/>
    </row>
    <row r="6" spans="1:19" x14ac:dyDescent="0.25">
      <c r="A6" s="1" t="s">
        <v>15</v>
      </c>
      <c r="B6" s="30">
        <v>3</v>
      </c>
      <c r="C6" s="1"/>
      <c r="D6" s="10"/>
      <c r="E6" s="1"/>
      <c r="F6" s="1"/>
      <c r="G6" s="1"/>
      <c r="H6" s="1"/>
      <c r="I6" s="1"/>
      <c r="J6" s="1"/>
      <c r="K6" s="9" t="s">
        <v>13</v>
      </c>
      <c r="L6" s="30"/>
      <c r="M6" s="1"/>
      <c r="N6" s="1"/>
      <c r="O6" s="1"/>
      <c r="P6" s="1"/>
      <c r="Q6" s="1"/>
      <c r="R6" s="1"/>
      <c r="S6" s="1"/>
    </row>
    <row r="7" spans="1:19" x14ac:dyDescent="0.25">
      <c r="A7" s="1"/>
      <c r="B7" s="1"/>
      <c r="C7" s="1"/>
      <c r="D7" s="10"/>
      <c r="E7" s="1"/>
      <c r="F7" s="1"/>
      <c r="G7" s="1"/>
      <c r="H7" s="1"/>
      <c r="I7" s="1"/>
      <c r="J7" s="1"/>
      <c r="K7" s="1"/>
      <c r="L7" s="44"/>
      <c r="M7" s="1"/>
      <c r="N7" s="1"/>
      <c r="O7" s="1"/>
      <c r="P7" s="1"/>
      <c r="Q7" s="1"/>
      <c r="R7" s="1"/>
      <c r="S7" s="1"/>
    </row>
    <row r="8" spans="1:19" ht="15.75" thickBot="1" x14ac:dyDescent="0.3">
      <c r="A8" s="2"/>
      <c r="B8" s="2"/>
      <c r="C8" s="2"/>
      <c r="D8" s="2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3"/>
      <c r="S8" s="1"/>
    </row>
    <row r="9" spans="1:19" x14ac:dyDescent="0.25">
      <c r="A9" s="165" t="s">
        <v>148</v>
      </c>
      <c r="B9" s="167" t="s">
        <v>11</v>
      </c>
      <c r="C9" s="167"/>
      <c r="D9" s="167"/>
      <c r="E9" s="167"/>
      <c r="F9" s="167"/>
      <c r="G9" s="167"/>
      <c r="H9" s="167"/>
      <c r="I9" s="1"/>
      <c r="J9" s="168" t="s">
        <v>149</v>
      </c>
      <c r="K9" s="153" t="s">
        <v>11</v>
      </c>
      <c r="L9" s="153"/>
      <c r="M9" s="153"/>
      <c r="N9" s="153"/>
      <c r="O9" s="153"/>
      <c r="P9" s="153"/>
      <c r="Q9" s="154"/>
      <c r="R9" s="4"/>
      <c r="S9" s="1"/>
    </row>
    <row r="10" spans="1:19" x14ac:dyDescent="0.25">
      <c r="A10" s="166"/>
      <c r="B10" s="30" t="s">
        <v>8</v>
      </c>
      <c r="C10" s="30" t="s">
        <v>9</v>
      </c>
      <c r="D10" s="30" t="s">
        <v>10</v>
      </c>
      <c r="E10" s="30" t="s">
        <v>154</v>
      </c>
      <c r="F10" s="30" t="s">
        <v>155</v>
      </c>
      <c r="G10" s="30" t="s">
        <v>147</v>
      </c>
      <c r="H10" s="30" t="s">
        <v>11</v>
      </c>
      <c r="I10" s="1"/>
      <c r="J10" s="169"/>
      <c r="K10" s="30" t="s">
        <v>8</v>
      </c>
      <c r="L10" s="30" t="s">
        <v>9</v>
      </c>
      <c r="M10" s="30" t="s">
        <v>10</v>
      </c>
      <c r="N10" s="30" t="s">
        <v>154</v>
      </c>
      <c r="O10" s="30" t="s">
        <v>155</v>
      </c>
      <c r="P10" s="30" t="s">
        <v>147</v>
      </c>
      <c r="Q10" s="54" t="s">
        <v>11</v>
      </c>
      <c r="R10" s="4"/>
      <c r="S10" s="1"/>
    </row>
    <row r="11" spans="1:19" x14ac:dyDescent="0.25">
      <c r="A11" s="15" t="s">
        <v>0</v>
      </c>
      <c r="B11" s="16">
        <f t="shared" ref="B11:G11" si="0">B12+B51+B69+B82+B95</f>
        <v>0</v>
      </c>
      <c r="C11" s="16">
        <f t="shared" si="0"/>
        <v>0</v>
      </c>
      <c r="D11" s="16">
        <f t="shared" si="0"/>
        <v>0</v>
      </c>
      <c r="E11" s="16">
        <f t="shared" si="0"/>
        <v>0</v>
      </c>
      <c r="F11" s="16">
        <f t="shared" si="0"/>
        <v>0</v>
      </c>
      <c r="G11" s="16">
        <f t="shared" si="0"/>
        <v>0</v>
      </c>
      <c r="H11" s="12">
        <f>SUM(B11:G11)</f>
        <v>0</v>
      </c>
      <c r="I11" s="1"/>
      <c r="J11" s="79" t="s">
        <v>85</v>
      </c>
      <c r="K11" s="74">
        <f t="shared" ref="K11:P11" si="1">SUM(K12:K23)</f>
        <v>0</v>
      </c>
      <c r="L11" s="74">
        <f t="shared" si="1"/>
        <v>0</v>
      </c>
      <c r="M11" s="74">
        <f t="shared" si="1"/>
        <v>0</v>
      </c>
      <c r="N11" s="74">
        <f t="shared" si="1"/>
        <v>0</v>
      </c>
      <c r="O11" s="74">
        <f t="shared" si="1"/>
        <v>0</v>
      </c>
      <c r="P11" s="74">
        <f t="shared" si="1"/>
        <v>0</v>
      </c>
      <c r="Q11" s="80">
        <f t="shared" ref="Q11:Q23" si="2">SUM(K11:P11)</f>
        <v>0</v>
      </c>
      <c r="R11" s="4"/>
      <c r="S11" s="1"/>
    </row>
    <row r="12" spans="1:19" x14ac:dyDescent="0.25">
      <c r="A12" s="73" t="s">
        <v>1</v>
      </c>
      <c r="B12" s="74">
        <f t="shared" ref="B12:G12" si="3">SUM(B13:B50)</f>
        <v>0</v>
      </c>
      <c r="C12" s="74">
        <f t="shared" si="3"/>
        <v>0</v>
      </c>
      <c r="D12" s="74">
        <f t="shared" si="3"/>
        <v>0</v>
      </c>
      <c r="E12" s="74">
        <f t="shared" si="3"/>
        <v>0</v>
      </c>
      <c r="F12" s="74">
        <f t="shared" si="3"/>
        <v>0</v>
      </c>
      <c r="G12" s="74">
        <f t="shared" si="3"/>
        <v>0</v>
      </c>
      <c r="H12" s="74">
        <f>SUM(B12:G12)</f>
        <v>0</v>
      </c>
      <c r="I12" s="1"/>
      <c r="J12" s="55" t="s">
        <v>4</v>
      </c>
      <c r="K12" s="68"/>
      <c r="L12" s="68"/>
      <c r="M12" s="68"/>
      <c r="N12" s="68"/>
      <c r="O12" s="68"/>
      <c r="P12" s="68"/>
      <c r="Q12" s="40">
        <f t="shared" si="2"/>
        <v>0</v>
      </c>
      <c r="R12" s="4"/>
      <c r="S12" s="1"/>
    </row>
    <row r="13" spans="1:19" x14ac:dyDescent="0.25">
      <c r="A13" s="8" t="s">
        <v>17</v>
      </c>
      <c r="B13" s="17"/>
      <c r="C13" s="11"/>
      <c r="D13" s="11"/>
      <c r="E13" s="11"/>
      <c r="F13" s="11"/>
      <c r="G13" s="11"/>
      <c r="H13" s="12">
        <f>SUM(B13:G13)</f>
        <v>0</v>
      </c>
      <c r="I13" s="1"/>
      <c r="J13" s="55" t="s">
        <v>81</v>
      </c>
      <c r="K13" s="68"/>
      <c r="L13" s="68"/>
      <c r="M13" s="68"/>
      <c r="N13" s="68"/>
      <c r="O13" s="68"/>
      <c r="P13" s="68"/>
      <c r="Q13" s="40">
        <f t="shared" si="2"/>
        <v>0</v>
      </c>
      <c r="R13" s="4"/>
      <c r="S13" s="1"/>
    </row>
    <row r="14" spans="1:19" x14ac:dyDescent="0.25">
      <c r="A14" s="7" t="s">
        <v>18</v>
      </c>
      <c r="B14" s="17"/>
      <c r="C14" s="11"/>
      <c r="D14" s="11"/>
      <c r="E14" s="11"/>
      <c r="F14" s="11"/>
      <c r="G14" s="11"/>
      <c r="H14" s="12">
        <f t="shared" ref="H14:H48" si="4">SUM(B14:G14)</f>
        <v>0</v>
      </c>
      <c r="I14" s="1"/>
      <c r="J14" s="56" t="s">
        <v>5</v>
      </c>
      <c r="K14" s="68"/>
      <c r="L14" s="68"/>
      <c r="M14" s="68"/>
      <c r="N14" s="68"/>
      <c r="O14" s="68"/>
      <c r="P14" s="68"/>
      <c r="Q14" s="40">
        <f>SUM(K14:P14)</f>
        <v>0</v>
      </c>
      <c r="R14" s="4"/>
      <c r="S14" s="1"/>
    </row>
    <row r="15" spans="1:19" x14ac:dyDescent="0.25">
      <c r="A15" s="7" t="s">
        <v>19</v>
      </c>
      <c r="B15" s="17"/>
      <c r="C15" s="11"/>
      <c r="D15" s="13"/>
      <c r="E15" s="13"/>
      <c r="F15" s="13"/>
      <c r="G15" s="13"/>
      <c r="H15" s="12">
        <f>SUM(B15:G15)</f>
        <v>0</v>
      </c>
      <c r="I15" s="1"/>
      <c r="J15" s="56" t="s">
        <v>80</v>
      </c>
      <c r="K15" s="68"/>
      <c r="L15" s="68"/>
      <c r="M15" s="68"/>
      <c r="N15" s="68"/>
      <c r="O15" s="68"/>
      <c r="P15" s="68"/>
      <c r="Q15" s="40">
        <f t="shared" si="2"/>
        <v>0</v>
      </c>
      <c r="R15" s="4"/>
      <c r="S15" s="1"/>
    </row>
    <row r="16" spans="1:19" x14ac:dyDescent="0.25">
      <c r="A16" s="7" t="s">
        <v>27</v>
      </c>
      <c r="B16" s="10"/>
      <c r="C16" s="11"/>
      <c r="D16" s="11"/>
      <c r="E16" s="11"/>
      <c r="F16" s="11"/>
      <c r="G16" s="11"/>
      <c r="H16" s="12">
        <f t="shared" si="4"/>
        <v>0</v>
      </c>
      <c r="I16" s="1"/>
      <c r="J16" s="57" t="s">
        <v>83</v>
      </c>
      <c r="K16" s="69"/>
      <c r="L16" s="69"/>
      <c r="M16" s="69"/>
      <c r="N16" s="69"/>
      <c r="O16" s="69"/>
      <c r="P16" s="69"/>
      <c r="Q16" s="40">
        <f t="shared" si="2"/>
        <v>0</v>
      </c>
      <c r="R16" s="4"/>
      <c r="S16" s="1"/>
    </row>
    <row r="17" spans="1:19" x14ac:dyDescent="0.25">
      <c r="A17" s="7" t="s">
        <v>186</v>
      </c>
      <c r="B17" s="10"/>
      <c r="C17" s="11"/>
      <c r="D17" s="11"/>
      <c r="E17" s="11"/>
      <c r="F17" s="11"/>
      <c r="G17" s="11"/>
      <c r="H17" s="12">
        <f t="shared" si="4"/>
        <v>0</v>
      </c>
      <c r="I17" s="1"/>
      <c r="J17" s="50" t="s">
        <v>162</v>
      </c>
      <c r="K17" s="69"/>
      <c r="L17" s="69"/>
      <c r="M17" s="69"/>
      <c r="N17" s="69"/>
      <c r="O17" s="69"/>
      <c r="P17" s="69"/>
      <c r="Q17" s="40">
        <f t="shared" si="2"/>
        <v>0</v>
      </c>
      <c r="R17" s="4"/>
      <c r="S17" s="1"/>
    </row>
    <row r="18" spans="1:19" x14ac:dyDescent="0.25">
      <c r="A18" s="7" t="s">
        <v>188</v>
      </c>
      <c r="B18" s="10"/>
      <c r="C18" s="11"/>
      <c r="D18" s="11"/>
      <c r="E18" s="11"/>
      <c r="F18" s="11"/>
      <c r="G18" s="11"/>
      <c r="H18" s="12">
        <f t="shared" si="4"/>
        <v>0</v>
      </c>
      <c r="I18" s="1"/>
      <c r="J18" s="50" t="s">
        <v>163</v>
      </c>
      <c r="K18" s="69"/>
      <c r="L18" s="69"/>
      <c r="M18" s="69"/>
      <c r="N18" s="69"/>
      <c r="O18" s="69"/>
      <c r="P18" s="69"/>
      <c r="Q18" s="40">
        <f t="shared" si="2"/>
        <v>0</v>
      </c>
      <c r="R18" s="4"/>
      <c r="S18" s="1"/>
    </row>
    <row r="19" spans="1:19" x14ac:dyDescent="0.25">
      <c r="A19" s="7" t="s">
        <v>28</v>
      </c>
      <c r="B19" s="17"/>
      <c r="C19" s="11"/>
      <c r="D19" s="11"/>
      <c r="E19" s="11"/>
      <c r="F19" s="11"/>
      <c r="G19" s="11"/>
      <c r="H19" s="12">
        <f t="shared" si="4"/>
        <v>0</v>
      </c>
      <c r="I19" s="1"/>
      <c r="J19" s="50" t="s">
        <v>164</v>
      </c>
      <c r="K19" s="69"/>
      <c r="L19" s="69"/>
      <c r="M19" s="69"/>
      <c r="N19" s="69"/>
      <c r="O19" s="69"/>
      <c r="P19" s="69"/>
      <c r="Q19" s="40">
        <f t="shared" si="2"/>
        <v>0</v>
      </c>
      <c r="R19" s="4"/>
      <c r="S19" s="1"/>
    </row>
    <row r="20" spans="1:19" x14ac:dyDescent="0.25">
      <c r="A20" s="7" t="s">
        <v>29</v>
      </c>
      <c r="B20" s="10"/>
      <c r="C20" s="11"/>
      <c r="D20" s="11"/>
      <c r="E20" s="11"/>
      <c r="F20" s="11"/>
      <c r="G20" s="11"/>
      <c r="H20" s="12">
        <f t="shared" si="4"/>
        <v>0</v>
      </c>
      <c r="I20" s="1"/>
      <c r="J20" s="50" t="s">
        <v>194</v>
      </c>
      <c r="K20" s="69"/>
      <c r="L20" s="69"/>
      <c r="M20" s="69"/>
      <c r="N20" s="69"/>
      <c r="O20" s="69"/>
      <c r="P20" s="69"/>
      <c r="Q20" s="40">
        <f t="shared" si="2"/>
        <v>0</v>
      </c>
      <c r="R20" s="4"/>
      <c r="S20" s="1"/>
    </row>
    <row r="21" spans="1:19" x14ac:dyDescent="0.25">
      <c r="A21" s="7" t="s">
        <v>20</v>
      </c>
      <c r="B21" s="17"/>
      <c r="C21" s="11"/>
      <c r="D21" s="11"/>
      <c r="E21" s="11"/>
      <c r="F21" s="11"/>
      <c r="G21" s="11"/>
      <c r="H21" s="12">
        <f t="shared" si="4"/>
        <v>0</v>
      </c>
      <c r="I21" s="1"/>
      <c r="J21" s="50"/>
      <c r="K21" s="69"/>
      <c r="L21" s="69"/>
      <c r="M21" s="69"/>
      <c r="N21" s="69"/>
      <c r="O21" s="69"/>
      <c r="P21" s="69"/>
      <c r="Q21" s="40"/>
      <c r="R21" s="4"/>
      <c r="S21" s="1"/>
    </row>
    <row r="22" spans="1:19" x14ac:dyDescent="0.25">
      <c r="A22" s="7" t="s">
        <v>25</v>
      </c>
      <c r="B22" s="17"/>
      <c r="C22" s="11"/>
      <c r="D22" s="11"/>
      <c r="E22" s="11"/>
      <c r="F22" s="11"/>
      <c r="G22" s="11"/>
      <c r="H22" s="12">
        <f t="shared" si="4"/>
        <v>0</v>
      </c>
      <c r="I22" s="1"/>
      <c r="J22" s="58" t="s">
        <v>6</v>
      </c>
      <c r="K22" s="68"/>
      <c r="L22" s="68"/>
      <c r="M22" s="68"/>
      <c r="N22" s="68"/>
      <c r="O22" s="68"/>
      <c r="P22" s="68"/>
      <c r="Q22" s="40">
        <f t="shared" si="2"/>
        <v>0</v>
      </c>
      <c r="R22" s="4"/>
      <c r="S22" s="1"/>
    </row>
    <row r="23" spans="1:19" ht="15.75" thickBot="1" x14ac:dyDescent="0.3">
      <c r="A23" s="7" t="s">
        <v>218</v>
      </c>
      <c r="B23" s="17"/>
      <c r="C23" s="11"/>
      <c r="D23" s="11"/>
      <c r="E23" s="11"/>
      <c r="F23" s="11"/>
      <c r="G23" s="11"/>
      <c r="H23" s="12">
        <f t="shared" si="4"/>
        <v>0</v>
      </c>
      <c r="I23" s="1"/>
      <c r="J23" s="59" t="s">
        <v>7</v>
      </c>
      <c r="K23" s="94"/>
      <c r="L23" s="94"/>
      <c r="M23" s="94"/>
      <c r="N23" s="94"/>
      <c r="O23" s="94"/>
      <c r="P23" s="94"/>
      <c r="Q23" s="46">
        <f t="shared" si="2"/>
        <v>0</v>
      </c>
      <c r="R23" s="4"/>
      <c r="S23" s="1"/>
    </row>
    <row r="24" spans="1:19" x14ac:dyDescent="0.25">
      <c r="A24" s="7" t="s">
        <v>21</v>
      </c>
      <c r="B24" s="17"/>
      <c r="C24" s="11"/>
      <c r="D24" s="11"/>
      <c r="E24" s="11"/>
      <c r="F24" s="11"/>
      <c r="G24" s="11"/>
      <c r="H24" s="12">
        <f t="shared" si="4"/>
        <v>0</v>
      </c>
      <c r="I24" s="1"/>
      <c r="J24" s="1"/>
      <c r="K24" s="1"/>
      <c r="L24" s="1"/>
      <c r="M24" s="1"/>
      <c r="N24" s="1"/>
      <c r="O24" s="1"/>
      <c r="P24" s="1"/>
      <c r="Q24" s="1"/>
      <c r="R24" s="4"/>
      <c r="S24" s="1"/>
    </row>
    <row r="25" spans="1:19" ht="15.75" thickBot="1" x14ac:dyDescent="0.3">
      <c r="A25" s="7" t="s">
        <v>24</v>
      </c>
      <c r="B25" s="17"/>
      <c r="C25" s="11"/>
      <c r="D25" s="11"/>
      <c r="E25" s="11"/>
      <c r="F25" s="11"/>
      <c r="G25" s="11"/>
      <c r="H25" s="12">
        <f t="shared" si="4"/>
        <v>0</v>
      </c>
      <c r="I25" s="1"/>
      <c r="J25" s="1"/>
      <c r="K25" s="1"/>
      <c r="L25" s="1"/>
      <c r="M25" s="1"/>
      <c r="N25" s="1"/>
      <c r="O25" s="1"/>
      <c r="P25" s="1"/>
      <c r="Q25" s="1"/>
      <c r="R25" s="4"/>
      <c r="S25" s="1"/>
    </row>
    <row r="26" spans="1:19" x14ac:dyDescent="0.25">
      <c r="A26" s="7" t="s">
        <v>79</v>
      </c>
      <c r="B26" s="17"/>
      <c r="C26" s="11"/>
      <c r="D26" s="11"/>
      <c r="E26" s="11"/>
      <c r="F26" s="11"/>
      <c r="G26" s="11"/>
      <c r="H26" s="12">
        <f t="shared" si="4"/>
        <v>0</v>
      </c>
      <c r="I26" s="1"/>
      <c r="J26" s="151" t="s">
        <v>169</v>
      </c>
      <c r="K26" s="153" t="s">
        <v>11</v>
      </c>
      <c r="L26" s="153"/>
      <c r="M26" s="153"/>
      <c r="N26" s="153"/>
      <c r="O26" s="153"/>
      <c r="P26" s="153"/>
      <c r="Q26" s="154"/>
      <c r="R26" s="4"/>
      <c r="S26" s="1"/>
    </row>
    <row r="27" spans="1:19" x14ac:dyDescent="0.25">
      <c r="A27" s="7" t="s">
        <v>75</v>
      </c>
      <c r="B27" s="17"/>
      <c r="C27" s="11"/>
      <c r="D27" s="11"/>
      <c r="E27" s="11"/>
      <c r="F27" s="11"/>
      <c r="G27" s="11"/>
      <c r="H27" s="12">
        <f t="shared" si="4"/>
        <v>0</v>
      </c>
      <c r="I27" s="1"/>
      <c r="J27" s="152"/>
      <c r="K27" s="30" t="s">
        <v>8</v>
      </c>
      <c r="L27" s="30" t="s">
        <v>9</v>
      </c>
      <c r="M27" s="30" t="s">
        <v>176</v>
      </c>
      <c r="N27" s="30" t="s">
        <v>154</v>
      </c>
      <c r="O27" s="30" t="s">
        <v>155</v>
      </c>
      <c r="P27" s="60" t="s">
        <v>147</v>
      </c>
      <c r="Q27" s="54" t="s">
        <v>11</v>
      </c>
      <c r="R27" s="4"/>
      <c r="S27" s="1"/>
    </row>
    <row r="28" spans="1:19" x14ac:dyDescent="0.25">
      <c r="A28" s="7" t="s">
        <v>76</v>
      </c>
      <c r="B28" s="17"/>
      <c r="C28" s="11"/>
      <c r="D28" s="11"/>
      <c r="E28" s="11"/>
      <c r="F28" s="11"/>
      <c r="G28" s="11"/>
      <c r="H28" s="12">
        <f t="shared" si="4"/>
        <v>0</v>
      </c>
      <c r="I28" s="1"/>
      <c r="J28" s="79" t="s">
        <v>146</v>
      </c>
      <c r="K28" s="74">
        <f t="shared" ref="K28:P28" si="5">SUM(K29:K37)</f>
        <v>0</v>
      </c>
      <c r="L28" s="74">
        <f t="shared" si="5"/>
        <v>0</v>
      </c>
      <c r="M28" s="74">
        <f t="shared" si="5"/>
        <v>0</v>
      </c>
      <c r="N28" s="74">
        <f t="shared" si="5"/>
        <v>0</v>
      </c>
      <c r="O28" s="74">
        <f t="shared" si="5"/>
        <v>0</v>
      </c>
      <c r="P28" s="74">
        <f t="shared" si="5"/>
        <v>0</v>
      </c>
      <c r="Q28" s="80">
        <f>SUM(K28:P28)</f>
        <v>0</v>
      </c>
      <c r="R28" s="4"/>
      <c r="S28" s="1"/>
    </row>
    <row r="29" spans="1:19" x14ac:dyDescent="0.25">
      <c r="A29" s="7" t="s">
        <v>74</v>
      </c>
      <c r="B29" s="17"/>
      <c r="C29" s="11"/>
      <c r="D29" s="11"/>
      <c r="E29" s="11"/>
      <c r="F29" s="11"/>
      <c r="G29" s="11"/>
      <c r="H29" s="12">
        <f t="shared" si="4"/>
        <v>0</v>
      </c>
      <c r="I29" s="1"/>
      <c r="J29" s="45" t="s">
        <v>64</v>
      </c>
      <c r="K29" s="68"/>
      <c r="L29" s="68"/>
      <c r="M29" s="68"/>
      <c r="N29" s="68"/>
      <c r="O29" s="68"/>
      <c r="P29" s="69"/>
      <c r="Q29" s="40">
        <f>SUM(K29:P29)</f>
        <v>0</v>
      </c>
      <c r="R29" s="4"/>
      <c r="S29" s="1"/>
    </row>
    <row r="30" spans="1:19" x14ac:dyDescent="0.25">
      <c r="A30" s="7" t="s">
        <v>22</v>
      </c>
      <c r="B30" s="17"/>
      <c r="C30" s="11"/>
      <c r="D30" s="11"/>
      <c r="E30" s="11"/>
      <c r="F30" s="11"/>
      <c r="G30" s="11"/>
      <c r="H30" s="12">
        <f t="shared" si="4"/>
        <v>0</v>
      </c>
      <c r="I30" s="1"/>
      <c r="J30" s="45" t="s">
        <v>170</v>
      </c>
      <c r="K30" s="68"/>
      <c r="L30" s="68"/>
      <c r="M30" s="68"/>
      <c r="N30" s="68"/>
      <c r="O30" s="68"/>
      <c r="P30" s="69"/>
      <c r="Q30" s="40">
        <f>SUM(K30:P30)</f>
        <v>0</v>
      </c>
      <c r="R30" s="4"/>
      <c r="S30" s="1"/>
    </row>
    <row r="31" spans="1:19" x14ac:dyDescent="0.25">
      <c r="A31" s="7" t="s">
        <v>23</v>
      </c>
      <c r="B31" s="17"/>
      <c r="C31" s="11"/>
      <c r="D31" s="11"/>
      <c r="E31" s="11"/>
      <c r="F31" s="11"/>
      <c r="G31" s="11"/>
      <c r="H31" s="12">
        <f t="shared" si="4"/>
        <v>0</v>
      </c>
      <c r="I31" s="1"/>
      <c r="J31" s="45" t="s">
        <v>171</v>
      </c>
      <c r="K31" s="68"/>
      <c r="L31" s="68"/>
      <c r="M31" s="68"/>
      <c r="N31" s="68"/>
      <c r="O31" s="68"/>
      <c r="P31" s="69"/>
      <c r="Q31" s="40">
        <f>SUM(K31:P31)</f>
        <v>0</v>
      </c>
      <c r="R31" s="4"/>
      <c r="S31" s="1"/>
    </row>
    <row r="32" spans="1:19" x14ac:dyDescent="0.25">
      <c r="A32" s="7" t="s">
        <v>202</v>
      </c>
      <c r="B32" s="17"/>
      <c r="C32" s="11"/>
      <c r="D32" s="11"/>
      <c r="E32" s="11"/>
      <c r="F32" s="11"/>
      <c r="G32" s="11"/>
      <c r="H32" s="12">
        <f t="shared" si="4"/>
        <v>0</v>
      </c>
      <c r="I32" s="1"/>
      <c r="J32" s="49" t="s">
        <v>65</v>
      </c>
      <c r="K32" s="68"/>
      <c r="L32" s="68"/>
      <c r="M32" s="68"/>
      <c r="N32" s="68"/>
      <c r="O32" s="68"/>
      <c r="P32" s="69"/>
      <c r="Q32" s="40">
        <f t="shared" ref="Q32:Q37" si="6">SUM(K32:P32)</f>
        <v>0</v>
      </c>
      <c r="R32" s="4"/>
      <c r="S32" s="1"/>
    </row>
    <row r="33" spans="1:19" x14ac:dyDescent="0.25">
      <c r="A33" s="7" t="s">
        <v>159</v>
      </c>
      <c r="B33" s="17"/>
      <c r="C33" s="11"/>
      <c r="D33" s="11"/>
      <c r="E33" s="11"/>
      <c r="F33" s="11"/>
      <c r="G33" s="11"/>
      <c r="H33" s="12">
        <f t="shared" si="4"/>
        <v>0</v>
      </c>
      <c r="I33" s="1"/>
      <c r="J33" s="50" t="s">
        <v>130</v>
      </c>
      <c r="K33" s="70"/>
      <c r="L33" s="70"/>
      <c r="M33" s="70"/>
      <c r="N33" s="70"/>
      <c r="O33" s="70"/>
      <c r="P33" s="69"/>
      <c r="Q33" s="40">
        <f t="shared" si="6"/>
        <v>0</v>
      </c>
      <c r="R33" s="4"/>
      <c r="S33" s="1"/>
    </row>
    <row r="34" spans="1:19" x14ac:dyDescent="0.25">
      <c r="A34" s="7" t="s">
        <v>26</v>
      </c>
      <c r="B34" s="17"/>
      <c r="C34" s="11"/>
      <c r="D34" s="11"/>
      <c r="E34" s="11"/>
      <c r="F34" s="11"/>
      <c r="G34" s="11"/>
      <c r="H34" s="12">
        <f t="shared" si="4"/>
        <v>0</v>
      </c>
      <c r="I34" s="1"/>
      <c r="J34" s="67" t="s">
        <v>131</v>
      </c>
      <c r="K34" s="65"/>
      <c r="L34" s="65"/>
      <c r="M34" s="65"/>
      <c r="N34" s="65"/>
      <c r="O34" s="65"/>
      <c r="P34" s="31"/>
      <c r="Q34" s="40">
        <f t="shared" si="6"/>
        <v>0</v>
      </c>
      <c r="R34" s="4"/>
      <c r="S34" s="1"/>
    </row>
    <row r="35" spans="1:19" x14ac:dyDescent="0.25">
      <c r="A35" s="7" t="s">
        <v>82</v>
      </c>
      <c r="B35" s="17"/>
      <c r="C35" s="11"/>
      <c r="D35" s="11"/>
      <c r="E35" s="11"/>
      <c r="F35" s="11"/>
      <c r="G35" s="11"/>
      <c r="H35" s="12">
        <f t="shared" si="4"/>
        <v>0</v>
      </c>
      <c r="I35" s="1"/>
      <c r="J35" s="67" t="s">
        <v>160</v>
      </c>
      <c r="K35" s="65"/>
      <c r="L35" s="65"/>
      <c r="M35" s="65"/>
      <c r="N35" s="65"/>
      <c r="O35" s="65"/>
      <c r="P35" s="31"/>
      <c r="Q35" s="40">
        <f t="shared" si="6"/>
        <v>0</v>
      </c>
      <c r="R35" s="4"/>
      <c r="S35" s="1"/>
    </row>
    <row r="36" spans="1:19" x14ac:dyDescent="0.25">
      <c r="A36" s="7" t="s">
        <v>30</v>
      </c>
      <c r="B36" s="17"/>
      <c r="C36" s="11"/>
      <c r="D36" s="11"/>
      <c r="E36" s="11"/>
      <c r="F36" s="11"/>
      <c r="G36" s="11"/>
      <c r="H36" s="12">
        <f t="shared" si="4"/>
        <v>0</v>
      </c>
      <c r="I36" s="1"/>
      <c r="J36" s="67" t="s">
        <v>211</v>
      </c>
      <c r="K36" s="65"/>
      <c r="L36" s="65"/>
      <c r="M36" s="65"/>
      <c r="N36" s="65"/>
      <c r="O36" s="65"/>
      <c r="P36" s="31"/>
      <c r="Q36" s="40">
        <f t="shared" si="6"/>
        <v>0</v>
      </c>
      <c r="R36" s="4"/>
      <c r="S36" s="1"/>
    </row>
    <row r="37" spans="1:19" ht="15.75" thickBot="1" x14ac:dyDescent="0.3">
      <c r="A37" s="7" t="s">
        <v>31</v>
      </c>
      <c r="B37" s="17"/>
      <c r="C37" s="11"/>
      <c r="D37" s="11"/>
      <c r="E37" s="11"/>
      <c r="F37" s="11"/>
      <c r="G37" s="11"/>
      <c r="H37" s="12">
        <f t="shared" si="4"/>
        <v>0</v>
      </c>
      <c r="I37" s="1"/>
      <c r="J37" s="51" t="s">
        <v>161</v>
      </c>
      <c r="K37" s="71"/>
      <c r="L37" s="71"/>
      <c r="M37" s="71"/>
      <c r="N37" s="71"/>
      <c r="O37" s="71"/>
      <c r="P37" s="72"/>
      <c r="Q37" s="46">
        <f t="shared" si="6"/>
        <v>0</v>
      </c>
      <c r="R37" s="4"/>
      <c r="S37" s="1"/>
    </row>
    <row r="38" spans="1:19" ht="15.75" thickBot="1" x14ac:dyDescent="0.3">
      <c r="A38" s="7" t="s">
        <v>66</v>
      </c>
      <c r="B38" s="17"/>
      <c r="C38" s="11"/>
      <c r="D38" s="11"/>
      <c r="E38" s="11"/>
      <c r="F38" s="11"/>
      <c r="G38" s="11"/>
      <c r="H38" s="12">
        <f t="shared" si="4"/>
        <v>0</v>
      </c>
      <c r="I38" s="1"/>
      <c r="J38" s="34"/>
      <c r="K38" s="34"/>
      <c r="L38" s="34"/>
      <c r="M38" s="34"/>
      <c r="N38" s="34"/>
      <c r="O38" s="34"/>
      <c r="P38" s="34"/>
      <c r="R38" s="4"/>
      <c r="S38" s="1"/>
    </row>
    <row r="39" spans="1:19" x14ac:dyDescent="0.25">
      <c r="A39" s="7" t="s">
        <v>67</v>
      </c>
      <c r="B39" s="17"/>
      <c r="C39" s="11"/>
      <c r="D39" s="11"/>
      <c r="E39" s="11"/>
      <c r="F39" s="11"/>
      <c r="G39" s="11"/>
      <c r="H39" s="12">
        <f t="shared" si="4"/>
        <v>0</v>
      </c>
      <c r="I39" s="1"/>
      <c r="J39" s="151" t="s">
        <v>136</v>
      </c>
      <c r="K39" s="153" t="s">
        <v>11</v>
      </c>
      <c r="L39" s="153"/>
      <c r="M39" s="153"/>
      <c r="N39" s="153"/>
      <c r="O39" s="153"/>
      <c r="P39" s="153"/>
      <c r="Q39" s="154"/>
      <c r="R39" s="4"/>
      <c r="S39" s="1"/>
    </row>
    <row r="40" spans="1:19" x14ac:dyDescent="0.25">
      <c r="A40" s="7" t="s">
        <v>77</v>
      </c>
      <c r="B40" s="17"/>
      <c r="C40" s="11"/>
      <c r="D40" s="11"/>
      <c r="E40" s="11"/>
      <c r="F40" s="11"/>
      <c r="G40" s="11"/>
      <c r="H40" s="12">
        <f t="shared" si="4"/>
        <v>0</v>
      </c>
      <c r="I40" s="1"/>
      <c r="J40" s="152"/>
      <c r="K40" s="30" t="s">
        <v>8</v>
      </c>
      <c r="L40" s="30" t="s">
        <v>9</v>
      </c>
      <c r="M40" s="30" t="s">
        <v>10</v>
      </c>
      <c r="N40" s="30" t="s">
        <v>154</v>
      </c>
      <c r="O40" s="30" t="s">
        <v>155</v>
      </c>
      <c r="P40" s="30" t="s">
        <v>147</v>
      </c>
      <c r="Q40" s="54" t="s">
        <v>11</v>
      </c>
      <c r="R40" s="4"/>
      <c r="S40" s="1"/>
    </row>
    <row r="41" spans="1:19" ht="15.75" thickBot="1" x14ac:dyDescent="0.3">
      <c r="A41" s="7" t="s">
        <v>78</v>
      </c>
      <c r="B41" s="17"/>
      <c r="C41" s="11"/>
      <c r="D41" s="11"/>
      <c r="E41" s="11"/>
      <c r="F41" s="11"/>
      <c r="G41" s="11"/>
      <c r="H41" s="12">
        <f t="shared" si="4"/>
        <v>0</v>
      </c>
      <c r="I41" s="1"/>
      <c r="J41" s="95" t="s">
        <v>150</v>
      </c>
      <c r="K41" s="29">
        <f t="shared" ref="K41:P41" si="7">SUM(K42:K49)</f>
        <v>0</v>
      </c>
      <c r="L41" s="29">
        <f t="shared" si="7"/>
        <v>0</v>
      </c>
      <c r="M41" s="29">
        <f t="shared" si="7"/>
        <v>0</v>
      </c>
      <c r="N41" s="29">
        <f t="shared" si="7"/>
        <v>0</v>
      </c>
      <c r="O41" s="29">
        <f t="shared" si="7"/>
        <v>0</v>
      </c>
      <c r="P41" s="29">
        <f t="shared" si="7"/>
        <v>0</v>
      </c>
      <c r="Q41" s="96">
        <f>SUM(K41:P41)</f>
        <v>0</v>
      </c>
      <c r="R41" s="4"/>
      <c r="S41" s="1"/>
    </row>
    <row r="42" spans="1:19" x14ac:dyDescent="0.25">
      <c r="A42" s="7" t="s">
        <v>42</v>
      </c>
      <c r="B42" s="17"/>
      <c r="C42" s="11"/>
      <c r="D42" s="11"/>
      <c r="E42" s="11"/>
      <c r="F42" s="11"/>
      <c r="G42" s="11"/>
      <c r="H42" s="12">
        <f t="shared" si="4"/>
        <v>0</v>
      </c>
      <c r="I42" s="1"/>
      <c r="J42" s="97" t="s">
        <v>165</v>
      </c>
      <c r="K42" s="98"/>
      <c r="L42" s="98"/>
      <c r="M42" s="98"/>
      <c r="N42" s="98"/>
      <c r="O42" s="98"/>
      <c r="P42" s="98"/>
      <c r="Q42" s="99">
        <f t="shared" ref="Q42:Q49" si="8">SUM(K42:P42)</f>
        <v>0</v>
      </c>
      <c r="R42" s="4"/>
      <c r="S42" s="1"/>
    </row>
    <row r="43" spans="1:19" x14ac:dyDescent="0.25">
      <c r="A43" s="7" t="s">
        <v>43</v>
      </c>
      <c r="B43" s="17"/>
      <c r="C43" s="11"/>
      <c r="D43" s="11"/>
      <c r="E43" s="11"/>
      <c r="F43" s="11"/>
      <c r="G43" s="11"/>
      <c r="H43" s="12">
        <f t="shared" si="4"/>
        <v>0</v>
      </c>
      <c r="I43" s="1"/>
      <c r="J43" s="86" t="s">
        <v>166</v>
      </c>
      <c r="K43" s="89"/>
      <c r="L43" s="89"/>
      <c r="M43" s="89"/>
      <c r="N43" s="89"/>
      <c r="O43" s="89"/>
      <c r="P43" s="89"/>
      <c r="Q43" s="40">
        <f t="shared" si="8"/>
        <v>0</v>
      </c>
      <c r="R43" s="4"/>
      <c r="S43" s="1"/>
    </row>
    <row r="44" spans="1:19" x14ac:dyDescent="0.25">
      <c r="A44" s="7" t="s">
        <v>101</v>
      </c>
      <c r="B44" s="17"/>
      <c r="C44" s="11"/>
      <c r="D44" s="11"/>
      <c r="E44" s="11"/>
      <c r="F44" s="11"/>
      <c r="G44" s="11"/>
      <c r="H44" s="12">
        <f t="shared" si="4"/>
        <v>0</v>
      </c>
      <c r="I44" s="1"/>
      <c r="J44" s="86" t="s">
        <v>167</v>
      </c>
      <c r="K44" s="89"/>
      <c r="L44" s="89"/>
      <c r="M44" s="89"/>
      <c r="N44" s="89"/>
      <c r="O44" s="89"/>
      <c r="P44" s="89"/>
      <c r="Q44" s="40">
        <f t="shared" si="8"/>
        <v>0</v>
      </c>
      <c r="R44" s="4"/>
      <c r="S44" s="1"/>
    </row>
    <row r="45" spans="1:19" x14ac:dyDescent="0.25">
      <c r="A45" s="7" t="s">
        <v>95</v>
      </c>
      <c r="B45" s="37"/>
      <c r="C45" s="11"/>
      <c r="D45" s="11"/>
      <c r="E45" s="11"/>
      <c r="F45" s="11"/>
      <c r="G45" s="11"/>
      <c r="H45" s="12">
        <f t="shared" si="4"/>
        <v>0</v>
      </c>
      <c r="I45" s="1"/>
      <c r="J45" s="86" t="s">
        <v>168</v>
      </c>
      <c r="K45" s="89"/>
      <c r="L45" s="89"/>
      <c r="M45" s="89"/>
      <c r="N45" s="89"/>
      <c r="O45" s="89"/>
      <c r="P45" s="89"/>
      <c r="Q45" s="40">
        <f>SUM(K45:P45)</f>
        <v>0</v>
      </c>
      <c r="R45" s="4"/>
      <c r="S45" s="1"/>
    </row>
    <row r="46" spans="1:19" x14ac:dyDescent="0.25">
      <c r="A46" s="7" t="s">
        <v>96</v>
      </c>
      <c r="B46" s="37"/>
      <c r="C46" s="11"/>
      <c r="D46" s="11"/>
      <c r="E46" s="11"/>
      <c r="F46" s="11"/>
      <c r="G46" s="11"/>
      <c r="H46" s="12">
        <f t="shared" si="4"/>
        <v>0</v>
      </c>
      <c r="J46" s="86" t="s">
        <v>34</v>
      </c>
      <c r="K46" s="89"/>
      <c r="L46" s="89"/>
      <c r="M46" s="89"/>
      <c r="N46" s="89"/>
      <c r="O46" s="89"/>
      <c r="P46" s="89"/>
      <c r="Q46" s="40">
        <f t="shared" si="8"/>
        <v>0</v>
      </c>
      <c r="R46" s="4"/>
      <c r="S46" s="1"/>
    </row>
    <row r="47" spans="1:19" x14ac:dyDescent="0.25">
      <c r="A47" s="7" t="s">
        <v>97</v>
      </c>
      <c r="B47" s="37"/>
      <c r="C47" s="11"/>
      <c r="D47" s="11"/>
      <c r="E47" s="11"/>
      <c r="F47" s="11"/>
      <c r="G47" s="11"/>
      <c r="H47" s="12">
        <f t="shared" si="4"/>
        <v>0</v>
      </c>
      <c r="I47" s="1"/>
      <c r="J47" s="86" t="s">
        <v>179</v>
      </c>
      <c r="K47" s="89"/>
      <c r="L47" s="89"/>
      <c r="M47" s="89"/>
      <c r="N47" s="89"/>
      <c r="O47" s="89"/>
      <c r="P47" s="89"/>
      <c r="Q47" s="40">
        <f t="shared" si="8"/>
        <v>0</v>
      </c>
      <c r="R47" s="4"/>
      <c r="S47" s="1"/>
    </row>
    <row r="48" spans="1:19" x14ac:dyDescent="0.25">
      <c r="A48" s="36" t="s">
        <v>98</v>
      </c>
      <c r="B48" s="37"/>
      <c r="C48" s="11"/>
      <c r="D48" s="11"/>
      <c r="E48" s="11"/>
      <c r="F48" s="11"/>
      <c r="G48" s="11"/>
      <c r="H48" s="12">
        <f t="shared" si="4"/>
        <v>0</v>
      </c>
      <c r="I48" s="1"/>
      <c r="J48" s="86" t="s">
        <v>177</v>
      </c>
      <c r="K48" s="89"/>
      <c r="L48" s="89"/>
      <c r="M48" s="89"/>
      <c r="N48" s="89"/>
      <c r="O48" s="89"/>
      <c r="P48" s="89"/>
      <c r="Q48" s="40">
        <f t="shared" si="8"/>
        <v>0</v>
      </c>
      <c r="R48" s="4"/>
      <c r="S48" s="1"/>
    </row>
    <row r="49" spans="1:19" ht="15.75" thickBot="1" x14ac:dyDescent="0.3">
      <c r="A49" s="7" t="s">
        <v>86</v>
      </c>
      <c r="B49" s="17"/>
      <c r="C49" s="11"/>
      <c r="D49" s="11"/>
      <c r="E49" s="11"/>
      <c r="F49" s="11"/>
      <c r="G49" s="11"/>
      <c r="H49" s="14">
        <f>SUM(B49:G49)</f>
        <v>0</v>
      </c>
      <c r="I49" s="1"/>
      <c r="J49" s="87" t="s">
        <v>178</v>
      </c>
      <c r="K49" s="71"/>
      <c r="L49" s="71"/>
      <c r="M49" s="71"/>
      <c r="N49" s="71"/>
      <c r="O49" s="71"/>
      <c r="P49" s="71"/>
      <c r="Q49" s="46">
        <f t="shared" si="8"/>
        <v>0</v>
      </c>
      <c r="R49" s="4"/>
      <c r="S49" s="1"/>
    </row>
    <row r="50" spans="1:19" x14ac:dyDescent="0.25">
      <c r="A50" s="18" t="s">
        <v>87</v>
      </c>
      <c r="B50" s="38"/>
      <c r="C50" s="19"/>
      <c r="D50" s="19"/>
      <c r="E50" s="19"/>
      <c r="F50" s="19"/>
      <c r="G50" s="19"/>
      <c r="H50" s="14">
        <f>SUM(B50:G50)</f>
        <v>0</v>
      </c>
      <c r="I50" s="1"/>
      <c r="J50" s="155"/>
      <c r="K50" s="155"/>
      <c r="L50" s="155"/>
      <c r="M50" s="155"/>
      <c r="N50" s="34"/>
      <c r="O50" s="34"/>
      <c r="P50" s="34"/>
      <c r="Q50" s="35"/>
      <c r="R50" s="4"/>
      <c r="S50" s="1"/>
    </row>
    <row r="51" spans="1:19" ht="15.75" thickBot="1" x14ac:dyDescent="0.3">
      <c r="A51" s="73" t="s">
        <v>139</v>
      </c>
      <c r="B51" s="75">
        <f t="shared" ref="B51:G51" si="9">SUM(B52:B68)</f>
        <v>0</v>
      </c>
      <c r="C51" s="75">
        <f t="shared" si="9"/>
        <v>0</v>
      </c>
      <c r="D51" s="77">
        <f t="shared" si="9"/>
        <v>0</v>
      </c>
      <c r="E51" s="75">
        <f t="shared" si="9"/>
        <v>0</v>
      </c>
      <c r="F51" s="75">
        <f t="shared" si="9"/>
        <v>0</v>
      </c>
      <c r="G51" s="78">
        <f t="shared" si="9"/>
        <v>0</v>
      </c>
      <c r="H51" s="75">
        <f>SUM(B51:G51)</f>
        <v>0</v>
      </c>
      <c r="I51" s="1"/>
      <c r="Q51" s="24"/>
      <c r="R51" s="4"/>
      <c r="S51" s="1"/>
    </row>
    <row r="52" spans="1:19" x14ac:dyDescent="0.25">
      <c r="A52" s="7" t="s">
        <v>90</v>
      </c>
      <c r="B52" s="13"/>
      <c r="C52" s="13"/>
      <c r="D52" s="25"/>
      <c r="E52" s="65"/>
      <c r="F52" s="65"/>
      <c r="G52" s="65"/>
      <c r="H52" s="26">
        <f t="shared" ref="H52:H113" si="10">SUM(B52:G52)</f>
        <v>0</v>
      </c>
      <c r="I52" s="1"/>
      <c r="J52" s="158" t="s">
        <v>152</v>
      </c>
      <c r="K52" s="159"/>
      <c r="L52" s="159"/>
      <c r="M52" s="159"/>
      <c r="N52" s="159"/>
      <c r="O52" s="159"/>
      <c r="P52" s="159"/>
      <c r="Q52" s="160"/>
      <c r="R52" s="4"/>
      <c r="S52" s="1"/>
    </row>
    <row r="53" spans="1:19" x14ac:dyDescent="0.25">
      <c r="A53" s="7" t="s">
        <v>91</v>
      </c>
      <c r="B53" s="13"/>
      <c r="C53" s="13"/>
      <c r="D53" s="25"/>
      <c r="E53" s="66"/>
      <c r="F53" s="66"/>
      <c r="G53" s="66"/>
      <c r="H53" s="26">
        <f t="shared" si="10"/>
        <v>0</v>
      </c>
      <c r="I53" s="1"/>
      <c r="J53" s="156" t="s">
        <v>72</v>
      </c>
      <c r="K53" s="157"/>
      <c r="L53" s="157"/>
      <c r="M53" s="157"/>
      <c r="N53" s="157"/>
      <c r="O53" s="157"/>
      <c r="P53" s="157"/>
      <c r="Q53" s="62" t="s">
        <v>11</v>
      </c>
      <c r="R53" s="4"/>
      <c r="S53" s="1"/>
    </row>
    <row r="54" spans="1:19" x14ac:dyDescent="0.25">
      <c r="A54" s="7" t="s">
        <v>32</v>
      </c>
      <c r="B54" s="13"/>
      <c r="C54" s="13"/>
      <c r="D54" s="25"/>
      <c r="E54" s="66"/>
      <c r="F54" s="66"/>
      <c r="G54" s="66"/>
      <c r="H54" s="26">
        <f t="shared" si="10"/>
        <v>0</v>
      </c>
      <c r="I54" s="1"/>
      <c r="J54" s="156" t="s">
        <v>71</v>
      </c>
      <c r="K54" s="157"/>
      <c r="L54" s="157"/>
      <c r="M54" s="157"/>
      <c r="N54" s="157"/>
      <c r="O54" s="157"/>
      <c r="P54" s="157"/>
      <c r="Q54" s="47"/>
      <c r="R54" s="4"/>
      <c r="S54" s="1"/>
    </row>
    <row r="55" spans="1:19" x14ac:dyDescent="0.25">
      <c r="A55" s="7" t="s">
        <v>34</v>
      </c>
      <c r="B55" s="11"/>
      <c r="C55" s="13"/>
      <c r="D55" s="23"/>
      <c r="E55" s="66"/>
      <c r="F55" s="66"/>
      <c r="G55" s="66"/>
      <c r="H55" s="26">
        <f t="shared" si="10"/>
        <v>0</v>
      </c>
      <c r="I55" s="1"/>
      <c r="J55" s="156" t="s">
        <v>137</v>
      </c>
      <c r="K55" s="157"/>
      <c r="L55" s="157"/>
      <c r="M55" s="157"/>
      <c r="N55" s="157"/>
      <c r="O55" s="157"/>
      <c r="P55" s="157"/>
      <c r="Q55" s="47">
        <f>(H12)</f>
        <v>0</v>
      </c>
      <c r="R55" s="4"/>
      <c r="S55" s="1"/>
    </row>
    <row r="56" spans="1:19" x14ac:dyDescent="0.25">
      <c r="A56" s="7" t="s">
        <v>181</v>
      </c>
      <c r="B56" s="13"/>
      <c r="C56" s="13"/>
      <c r="D56" s="25"/>
      <c r="E56" s="66"/>
      <c r="F56" s="66"/>
      <c r="G56" s="66"/>
      <c r="H56" s="26">
        <f t="shared" si="10"/>
        <v>0</v>
      </c>
      <c r="I56" s="1"/>
      <c r="J56" s="156" t="s">
        <v>138</v>
      </c>
      <c r="K56" s="157"/>
      <c r="L56" s="157"/>
      <c r="M56" s="157"/>
      <c r="N56" s="157"/>
      <c r="O56" s="157"/>
      <c r="P56" s="157"/>
      <c r="Q56" s="48">
        <f>(H51)</f>
        <v>0</v>
      </c>
      <c r="R56" s="4"/>
      <c r="S56" s="1"/>
    </row>
    <row r="57" spans="1:19" x14ac:dyDescent="0.25">
      <c r="A57" s="7" t="s">
        <v>184</v>
      </c>
      <c r="B57" s="11"/>
      <c r="C57" s="11"/>
      <c r="D57" s="23"/>
      <c r="E57" s="66"/>
      <c r="F57" s="66"/>
      <c r="G57" s="66"/>
      <c r="H57" s="26">
        <f t="shared" si="10"/>
        <v>0</v>
      </c>
      <c r="I57" s="1"/>
      <c r="J57" s="156" t="s">
        <v>140</v>
      </c>
      <c r="K57" s="157"/>
      <c r="L57" s="157"/>
      <c r="M57" s="157"/>
      <c r="N57" s="157"/>
      <c r="O57" s="157"/>
      <c r="P57" s="157"/>
      <c r="Q57" s="48">
        <f>(H69)</f>
        <v>0</v>
      </c>
      <c r="R57" s="4"/>
      <c r="S57" s="1"/>
    </row>
    <row r="58" spans="1:19" x14ac:dyDescent="0.25">
      <c r="A58" s="7" t="s">
        <v>88</v>
      </c>
      <c r="B58" s="11"/>
      <c r="C58" s="11"/>
      <c r="D58" s="23"/>
      <c r="E58" s="66"/>
      <c r="F58" s="66"/>
      <c r="G58" s="66"/>
      <c r="H58" s="26">
        <f t="shared" si="10"/>
        <v>0</v>
      </c>
      <c r="I58" s="1"/>
      <c r="J58" s="156" t="s">
        <v>144</v>
      </c>
      <c r="K58" s="157"/>
      <c r="L58" s="157"/>
      <c r="M58" s="157"/>
      <c r="N58" s="157"/>
      <c r="O58" s="157"/>
      <c r="P58" s="157"/>
      <c r="Q58" s="48">
        <f>H82</f>
        <v>0</v>
      </c>
      <c r="R58" s="4"/>
      <c r="S58" s="1"/>
    </row>
    <row r="59" spans="1:19" x14ac:dyDescent="0.25">
      <c r="A59" s="7" t="s">
        <v>89</v>
      </c>
      <c r="B59" s="11"/>
      <c r="C59" s="11"/>
      <c r="D59" s="23"/>
      <c r="E59" s="66"/>
      <c r="F59" s="66"/>
      <c r="G59" s="66"/>
      <c r="H59" s="26">
        <f t="shared" si="10"/>
        <v>0</v>
      </c>
      <c r="I59" s="1"/>
      <c r="J59" s="156" t="s">
        <v>141</v>
      </c>
      <c r="K59" s="157"/>
      <c r="L59" s="157"/>
      <c r="M59" s="157"/>
      <c r="N59" s="157"/>
      <c r="O59" s="157"/>
      <c r="P59" s="157"/>
      <c r="Q59" s="48">
        <f>H95</f>
        <v>0</v>
      </c>
      <c r="R59" s="4"/>
      <c r="S59" s="1"/>
    </row>
    <row r="60" spans="1:19" x14ac:dyDescent="0.25">
      <c r="A60" s="7" t="s">
        <v>183</v>
      </c>
      <c r="B60" s="11"/>
      <c r="C60" s="11"/>
      <c r="D60" s="23"/>
      <c r="E60" s="66"/>
      <c r="F60" s="66"/>
      <c r="G60" s="66"/>
      <c r="H60" s="26">
        <f t="shared" si="10"/>
        <v>0</v>
      </c>
      <c r="I60" s="1"/>
      <c r="J60" s="156" t="s">
        <v>143</v>
      </c>
      <c r="K60" s="157"/>
      <c r="L60" s="157"/>
      <c r="M60" s="157"/>
      <c r="N60" s="157"/>
      <c r="O60" s="157"/>
      <c r="P60" s="157"/>
      <c r="Q60" s="63">
        <f>Q11</f>
        <v>0</v>
      </c>
      <c r="R60" s="4"/>
      <c r="S60" s="1"/>
    </row>
    <row r="61" spans="1:19" x14ac:dyDescent="0.25">
      <c r="A61" s="7" t="s">
        <v>36</v>
      </c>
      <c r="B61" s="11"/>
      <c r="C61" s="11"/>
      <c r="D61" s="23"/>
      <c r="E61" s="66"/>
      <c r="F61" s="66"/>
      <c r="G61" s="66"/>
      <c r="H61" s="26">
        <f t="shared" si="10"/>
        <v>0</v>
      </c>
      <c r="I61" s="1"/>
      <c r="J61" s="156" t="s">
        <v>145</v>
      </c>
      <c r="K61" s="157"/>
      <c r="L61" s="157"/>
      <c r="M61" s="157"/>
      <c r="N61" s="157"/>
      <c r="O61" s="157"/>
      <c r="P61" s="157"/>
      <c r="Q61" s="41">
        <f>Q28</f>
        <v>0</v>
      </c>
      <c r="R61" s="4"/>
      <c r="S61" s="1"/>
    </row>
    <row r="62" spans="1:19" ht="15.75" thickBot="1" x14ac:dyDescent="0.3">
      <c r="A62" s="7" t="s">
        <v>119</v>
      </c>
      <c r="B62" s="11"/>
      <c r="C62" s="10"/>
      <c r="D62" s="23"/>
      <c r="E62" s="66"/>
      <c r="F62" s="66"/>
      <c r="G62" s="66"/>
      <c r="H62" s="26">
        <f>SUM(B62:G62)</f>
        <v>0</v>
      </c>
      <c r="I62" s="1"/>
      <c r="J62" s="178" t="s">
        <v>151</v>
      </c>
      <c r="K62" s="179"/>
      <c r="L62" s="179"/>
      <c r="M62" s="179"/>
      <c r="N62" s="179"/>
      <c r="O62" s="179"/>
      <c r="P62" s="179"/>
      <c r="Q62" s="64">
        <f>Q41</f>
        <v>0</v>
      </c>
      <c r="R62" s="4"/>
      <c r="S62" s="1"/>
    </row>
    <row r="63" spans="1:19" ht="15.75" thickBot="1" x14ac:dyDescent="0.3">
      <c r="A63" s="7" t="s">
        <v>118</v>
      </c>
      <c r="B63" s="11"/>
      <c r="C63" s="11"/>
      <c r="D63" s="23"/>
      <c r="E63" s="66"/>
      <c r="F63" s="66"/>
      <c r="G63" s="66"/>
      <c r="H63" s="33">
        <f>SUM(B63:G63)</f>
        <v>0</v>
      </c>
      <c r="I63" s="1"/>
      <c r="M63" s="53"/>
      <c r="N63" s="53"/>
      <c r="O63" s="53"/>
      <c r="P63" s="39" t="s">
        <v>11</v>
      </c>
      <c r="Q63" s="61">
        <f>SUM(Q54:Q62)</f>
        <v>0</v>
      </c>
      <c r="R63" s="4"/>
      <c r="S63" s="1"/>
    </row>
    <row r="64" spans="1:19" x14ac:dyDescent="0.25">
      <c r="A64" s="8" t="s">
        <v>37</v>
      </c>
      <c r="B64" s="31"/>
      <c r="C64" s="20"/>
      <c r="D64" s="42"/>
      <c r="E64" s="65"/>
      <c r="F64" s="65"/>
      <c r="G64" s="65"/>
      <c r="H64" s="26">
        <f t="shared" si="10"/>
        <v>0</v>
      </c>
      <c r="I64" s="1"/>
      <c r="P64" s="1"/>
      <c r="Q64" s="1"/>
      <c r="R64" s="4"/>
      <c r="S64" s="1"/>
    </row>
    <row r="65" spans="1:19" x14ac:dyDescent="0.25">
      <c r="A65" s="7" t="s">
        <v>38</v>
      </c>
      <c r="B65" s="11"/>
      <c r="C65" s="10"/>
      <c r="D65" s="23"/>
      <c r="E65" s="66"/>
      <c r="F65" s="66"/>
      <c r="G65" s="66"/>
      <c r="H65" s="26">
        <f t="shared" si="10"/>
        <v>0</v>
      </c>
      <c r="I65" s="1"/>
      <c r="R65" s="4"/>
      <c r="S65" s="1"/>
    </row>
    <row r="66" spans="1:19" x14ac:dyDescent="0.25">
      <c r="A66" s="7" t="s">
        <v>73</v>
      </c>
      <c r="B66" s="11"/>
      <c r="C66" s="10"/>
      <c r="D66" s="23"/>
      <c r="E66" s="11"/>
      <c r="F66" s="11"/>
      <c r="G66" s="11"/>
      <c r="H66" s="26">
        <f t="shared" si="10"/>
        <v>0</v>
      </c>
      <c r="I66" s="1"/>
      <c r="J66" s="1"/>
      <c r="K66" s="1"/>
      <c r="L66" s="1"/>
      <c r="M66" s="1"/>
      <c r="N66" s="1"/>
      <c r="O66" s="1"/>
      <c r="R66" s="4"/>
      <c r="S66" s="1"/>
    </row>
    <row r="67" spans="1:19" x14ac:dyDescent="0.25">
      <c r="A67" s="7" t="s">
        <v>39</v>
      </c>
      <c r="B67" s="11"/>
      <c r="C67" s="10"/>
      <c r="D67" s="23"/>
      <c r="E67" s="11"/>
      <c r="F67" s="11"/>
      <c r="G67" s="11"/>
      <c r="H67" s="26">
        <f t="shared" si="10"/>
        <v>0</v>
      </c>
      <c r="I67" s="1"/>
      <c r="R67" s="4"/>
      <c r="S67" s="1"/>
    </row>
    <row r="68" spans="1:19" x14ac:dyDescent="0.25">
      <c r="A68" s="18" t="s">
        <v>40</v>
      </c>
      <c r="B68" s="19"/>
      <c r="C68" s="21"/>
      <c r="D68" s="43"/>
      <c r="E68" s="19"/>
      <c r="F68" s="19"/>
      <c r="G68" s="19"/>
      <c r="H68" s="26">
        <f t="shared" si="10"/>
        <v>0</v>
      </c>
      <c r="I68" s="1"/>
      <c r="R68" s="4"/>
      <c r="S68" s="1"/>
    </row>
    <row r="69" spans="1:19" x14ac:dyDescent="0.25">
      <c r="A69" s="73" t="s">
        <v>54</v>
      </c>
      <c r="B69" s="74">
        <f t="shared" ref="B69:G69" si="11">SUM(B70:B81)</f>
        <v>0</v>
      </c>
      <c r="C69" s="74">
        <f t="shared" si="11"/>
        <v>0</v>
      </c>
      <c r="D69" s="74">
        <f t="shared" si="11"/>
        <v>0</v>
      </c>
      <c r="E69" s="74">
        <f t="shared" si="11"/>
        <v>0</v>
      </c>
      <c r="F69" s="74">
        <f t="shared" si="11"/>
        <v>0</v>
      </c>
      <c r="G69" s="76">
        <f t="shared" si="11"/>
        <v>0</v>
      </c>
      <c r="H69" s="75">
        <f t="shared" si="10"/>
        <v>0</v>
      </c>
      <c r="I69" s="1"/>
      <c r="R69" s="4"/>
      <c r="S69" s="1"/>
    </row>
    <row r="70" spans="1:19" x14ac:dyDescent="0.25">
      <c r="A70" s="52" t="s">
        <v>55</v>
      </c>
      <c r="B70" s="65"/>
      <c r="C70" s="10"/>
      <c r="D70" s="65"/>
      <c r="E70" s="65"/>
      <c r="F70" s="11"/>
      <c r="G70" s="65"/>
      <c r="H70" s="26">
        <f t="shared" si="10"/>
        <v>0</v>
      </c>
      <c r="I70" s="1"/>
      <c r="R70" s="4"/>
      <c r="S70" s="1"/>
    </row>
    <row r="71" spans="1:19" x14ac:dyDescent="0.25">
      <c r="A71" s="52" t="s">
        <v>56</v>
      </c>
      <c r="B71" s="66"/>
      <c r="C71" s="91"/>
      <c r="D71" s="66"/>
      <c r="E71" s="66"/>
      <c r="F71" s="11"/>
      <c r="G71" s="66"/>
      <c r="H71" s="26">
        <f t="shared" si="10"/>
        <v>0</v>
      </c>
      <c r="I71" s="1"/>
      <c r="R71" s="4"/>
      <c r="S71" s="1"/>
    </row>
    <row r="72" spans="1:19" x14ac:dyDescent="0.25">
      <c r="A72" s="52" t="s">
        <v>58</v>
      </c>
      <c r="B72" s="66"/>
      <c r="C72" s="10"/>
      <c r="D72" s="66"/>
      <c r="E72" s="66"/>
      <c r="F72" s="11"/>
      <c r="G72" s="66"/>
      <c r="H72" s="26">
        <f t="shared" si="10"/>
        <v>0</v>
      </c>
      <c r="I72" s="1"/>
      <c r="R72" s="4"/>
      <c r="S72" s="1"/>
    </row>
    <row r="73" spans="1:19" x14ac:dyDescent="0.25">
      <c r="A73" s="52" t="s">
        <v>68</v>
      </c>
      <c r="B73" s="66"/>
      <c r="C73" s="91"/>
      <c r="D73" s="66"/>
      <c r="E73" s="66"/>
      <c r="F73" s="92"/>
      <c r="G73" s="66"/>
      <c r="H73" s="26">
        <f t="shared" si="10"/>
        <v>0</v>
      </c>
      <c r="I73" s="1"/>
      <c r="R73" s="4"/>
      <c r="S73" s="1"/>
    </row>
    <row r="74" spans="1:19" x14ac:dyDescent="0.25">
      <c r="A74" s="52" t="s">
        <v>69</v>
      </c>
      <c r="B74" s="66"/>
      <c r="C74" s="91"/>
      <c r="D74" s="66"/>
      <c r="E74" s="66"/>
      <c r="F74" s="92"/>
      <c r="G74" s="66"/>
      <c r="H74" s="26">
        <f t="shared" si="10"/>
        <v>0</v>
      </c>
      <c r="I74" s="1"/>
      <c r="R74" s="4"/>
      <c r="S74" s="1"/>
    </row>
    <row r="75" spans="1:19" x14ac:dyDescent="0.25">
      <c r="A75" s="52" t="s">
        <v>57</v>
      </c>
      <c r="B75" s="66"/>
      <c r="C75" s="91"/>
      <c r="D75" s="66"/>
      <c r="E75" s="66"/>
      <c r="F75" s="91"/>
      <c r="G75" s="66"/>
      <c r="H75" s="26">
        <f t="shared" si="10"/>
        <v>0</v>
      </c>
      <c r="I75" s="1"/>
      <c r="R75" s="4"/>
      <c r="S75" s="1"/>
    </row>
    <row r="76" spans="1:19" x14ac:dyDescent="0.25">
      <c r="A76" s="52" t="s">
        <v>142</v>
      </c>
      <c r="B76" s="66"/>
      <c r="C76" s="91"/>
      <c r="D76" s="66"/>
      <c r="E76" s="66"/>
      <c r="F76" s="92"/>
      <c r="G76" s="66"/>
      <c r="H76" s="26">
        <f t="shared" si="10"/>
        <v>0</v>
      </c>
      <c r="I76" s="1"/>
      <c r="R76" s="4"/>
      <c r="S76" s="1"/>
    </row>
    <row r="77" spans="1:19" x14ac:dyDescent="0.25">
      <c r="A77" s="52" t="s">
        <v>59</v>
      </c>
      <c r="B77" s="66"/>
      <c r="C77" s="91"/>
      <c r="D77" s="66"/>
      <c r="E77" s="66"/>
      <c r="F77" s="92"/>
      <c r="G77" s="66"/>
      <c r="H77" s="26">
        <f t="shared" si="10"/>
        <v>0</v>
      </c>
      <c r="I77" s="1"/>
      <c r="R77" s="4"/>
      <c r="S77" s="1"/>
    </row>
    <row r="78" spans="1:19" x14ac:dyDescent="0.25">
      <c r="A78" s="52" t="s">
        <v>60</v>
      </c>
      <c r="B78" s="66"/>
      <c r="C78" s="91"/>
      <c r="D78" s="66"/>
      <c r="E78" s="66"/>
      <c r="F78" s="91"/>
      <c r="G78" s="66"/>
      <c r="H78" s="26">
        <f t="shared" si="10"/>
        <v>0</v>
      </c>
      <c r="I78" s="1"/>
      <c r="R78" s="4"/>
      <c r="S78" s="1"/>
    </row>
    <row r="79" spans="1:19" x14ac:dyDescent="0.25">
      <c r="A79" s="52" t="s">
        <v>106</v>
      </c>
      <c r="B79" s="66"/>
      <c r="C79" s="91"/>
      <c r="D79" s="66"/>
      <c r="E79" s="66"/>
      <c r="F79" s="91"/>
      <c r="G79" s="66"/>
      <c r="H79" s="26">
        <f t="shared" si="10"/>
        <v>0</v>
      </c>
      <c r="I79" s="1"/>
      <c r="R79" s="4"/>
      <c r="S79" s="1"/>
    </row>
    <row r="80" spans="1:19" x14ac:dyDescent="0.25">
      <c r="A80" s="52" t="s">
        <v>132</v>
      </c>
      <c r="B80" s="66"/>
      <c r="C80" s="91"/>
      <c r="D80" s="66"/>
      <c r="E80" s="66"/>
      <c r="F80" s="92"/>
      <c r="G80" s="66"/>
      <c r="H80" s="26">
        <f t="shared" si="10"/>
        <v>0</v>
      </c>
      <c r="I80" s="1"/>
      <c r="R80" s="4"/>
      <c r="S80" s="1"/>
    </row>
    <row r="81" spans="1:19" x14ac:dyDescent="0.25">
      <c r="A81" s="52" t="s">
        <v>133</v>
      </c>
      <c r="B81" s="93"/>
      <c r="C81" s="91"/>
      <c r="D81" s="93"/>
      <c r="E81" s="93"/>
      <c r="F81" s="92"/>
      <c r="G81" s="93"/>
      <c r="H81" s="26">
        <f t="shared" si="10"/>
        <v>0</v>
      </c>
      <c r="I81" s="1"/>
      <c r="R81" s="4"/>
      <c r="S81" s="1"/>
    </row>
    <row r="82" spans="1:19" x14ac:dyDescent="0.25">
      <c r="A82" s="73" t="s">
        <v>70</v>
      </c>
      <c r="B82" s="74">
        <f>SUM(B83:B94)</f>
        <v>0</v>
      </c>
      <c r="C82" s="74">
        <f t="shared" ref="C82:G82" si="12">SUM(C83:C94)</f>
        <v>0</v>
      </c>
      <c r="D82" s="74">
        <f t="shared" si="12"/>
        <v>0</v>
      </c>
      <c r="E82" s="74">
        <f t="shared" si="12"/>
        <v>0</v>
      </c>
      <c r="F82" s="74">
        <f t="shared" si="12"/>
        <v>0</v>
      </c>
      <c r="G82" s="74">
        <f t="shared" si="12"/>
        <v>0</v>
      </c>
      <c r="H82" s="75">
        <f t="shared" si="10"/>
        <v>0</v>
      </c>
      <c r="I82" s="1"/>
      <c r="R82" s="4"/>
      <c r="S82" s="1"/>
    </row>
    <row r="83" spans="1:19" x14ac:dyDescent="0.25">
      <c r="A83" s="22" t="s">
        <v>84</v>
      </c>
      <c r="B83" s="11"/>
      <c r="C83" s="10"/>
      <c r="D83" s="11"/>
      <c r="E83" s="11"/>
      <c r="F83" s="10"/>
      <c r="G83" s="11"/>
      <c r="H83" s="26">
        <f t="shared" si="10"/>
        <v>0</v>
      </c>
      <c r="I83" s="1"/>
      <c r="R83" s="4"/>
      <c r="S83" s="1"/>
    </row>
    <row r="84" spans="1:19" x14ac:dyDescent="0.25">
      <c r="A84" s="22" t="s">
        <v>114</v>
      </c>
      <c r="B84" s="11"/>
      <c r="C84" s="10"/>
      <c r="D84" s="11"/>
      <c r="E84" s="11"/>
      <c r="F84" s="10"/>
      <c r="G84" s="11"/>
      <c r="H84" s="26">
        <f t="shared" si="10"/>
        <v>0</v>
      </c>
      <c r="I84" s="1"/>
      <c r="R84" s="4"/>
      <c r="S84" s="1"/>
    </row>
    <row r="85" spans="1:19" ht="14.25" customHeight="1" x14ac:dyDescent="0.25">
      <c r="A85" s="22" t="s">
        <v>61</v>
      </c>
      <c r="B85" s="11"/>
      <c r="C85" s="10"/>
      <c r="D85" s="11"/>
      <c r="E85" s="11"/>
      <c r="F85" s="10"/>
      <c r="G85" s="11"/>
      <c r="H85" s="26">
        <f t="shared" si="10"/>
        <v>0</v>
      </c>
      <c r="I85" s="1"/>
      <c r="R85" s="4"/>
      <c r="S85" s="1"/>
    </row>
    <row r="86" spans="1:19" x14ac:dyDescent="0.25">
      <c r="A86" s="22" t="s">
        <v>62</v>
      </c>
      <c r="B86" s="11"/>
      <c r="C86" s="10"/>
      <c r="D86" s="11"/>
      <c r="E86" s="11"/>
      <c r="F86" s="10"/>
      <c r="G86" s="11"/>
      <c r="H86" s="26">
        <f t="shared" si="10"/>
        <v>0</v>
      </c>
      <c r="I86" s="1"/>
      <c r="K86" s="176"/>
      <c r="L86" s="176"/>
      <c r="M86" s="176"/>
      <c r="R86" s="4"/>
      <c r="S86" s="1"/>
    </row>
    <row r="87" spans="1:19" x14ac:dyDescent="0.25">
      <c r="A87" s="22" t="s">
        <v>93</v>
      </c>
      <c r="B87" s="11"/>
      <c r="C87" s="10"/>
      <c r="D87" s="11"/>
      <c r="E87" s="11"/>
      <c r="F87" s="10"/>
      <c r="G87" s="11"/>
      <c r="H87" s="26">
        <f t="shared" si="10"/>
        <v>0</v>
      </c>
      <c r="I87" s="1"/>
      <c r="R87" s="4"/>
      <c r="S87" s="1"/>
    </row>
    <row r="88" spans="1:19" x14ac:dyDescent="0.25">
      <c r="A88" s="22" t="s">
        <v>94</v>
      </c>
      <c r="B88" s="11"/>
      <c r="C88" s="10"/>
      <c r="D88" s="11"/>
      <c r="E88" s="11"/>
      <c r="F88" s="10"/>
      <c r="G88" s="11"/>
      <c r="H88" s="33">
        <f t="shared" si="10"/>
        <v>0</v>
      </c>
      <c r="I88" s="1"/>
      <c r="R88" s="4"/>
      <c r="S88" s="1"/>
    </row>
    <row r="89" spans="1:19" x14ac:dyDescent="0.25">
      <c r="A89" s="81" t="s">
        <v>108</v>
      </c>
      <c r="B89" s="82"/>
      <c r="C89" s="83"/>
      <c r="D89" s="82"/>
      <c r="E89" s="82"/>
      <c r="F89" s="85"/>
      <c r="G89" s="82"/>
      <c r="H89" s="84">
        <f>SUM(B89:G89)</f>
        <v>0</v>
      </c>
      <c r="I89" s="1"/>
      <c r="R89" s="4"/>
      <c r="S89" s="1"/>
    </row>
    <row r="90" spans="1:19" x14ac:dyDescent="0.25">
      <c r="A90" s="32" t="s">
        <v>63</v>
      </c>
      <c r="B90" s="31"/>
      <c r="C90" s="20"/>
      <c r="D90" s="31"/>
      <c r="E90" s="31"/>
      <c r="F90" s="20"/>
      <c r="G90" s="31"/>
      <c r="H90" s="26">
        <f t="shared" si="10"/>
        <v>0</v>
      </c>
      <c r="I90" s="1"/>
      <c r="R90" s="4"/>
      <c r="S90" s="1"/>
    </row>
    <row r="91" spans="1:19" x14ac:dyDescent="0.25">
      <c r="A91" s="22" t="s">
        <v>153</v>
      </c>
      <c r="B91" s="11"/>
      <c r="C91" s="10"/>
      <c r="D91" s="11"/>
      <c r="E91" s="11"/>
      <c r="F91" s="10"/>
      <c r="G91" s="11"/>
      <c r="H91" s="26">
        <f t="shared" si="10"/>
        <v>0</v>
      </c>
      <c r="I91" s="1"/>
      <c r="R91" s="4"/>
      <c r="S91" s="1"/>
    </row>
    <row r="92" spans="1:19" x14ac:dyDescent="0.25">
      <c r="A92" s="22" t="s">
        <v>107</v>
      </c>
      <c r="B92" s="11"/>
      <c r="C92" s="10"/>
      <c r="D92" s="11"/>
      <c r="E92" s="11"/>
      <c r="F92" s="10"/>
      <c r="G92" s="11"/>
      <c r="H92" s="26">
        <f t="shared" si="10"/>
        <v>0</v>
      </c>
      <c r="I92" s="1"/>
      <c r="R92" s="4"/>
      <c r="S92" s="1"/>
    </row>
    <row r="93" spans="1:19" x14ac:dyDescent="0.25">
      <c r="A93" s="22" t="s">
        <v>210</v>
      </c>
      <c r="B93" s="11"/>
      <c r="C93" s="10"/>
      <c r="D93" s="11"/>
      <c r="E93" s="11"/>
      <c r="F93" s="10"/>
      <c r="G93" s="11"/>
      <c r="H93" s="26">
        <f t="shared" si="10"/>
        <v>0</v>
      </c>
      <c r="I93" s="1"/>
      <c r="R93" s="4"/>
      <c r="S93" s="1"/>
    </row>
    <row r="94" spans="1:19" x14ac:dyDescent="0.25">
      <c r="A94" s="22" t="s">
        <v>182</v>
      </c>
      <c r="B94" s="11"/>
      <c r="C94" s="10"/>
      <c r="D94" s="11"/>
      <c r="E94" s="11"/>
      <c r="F94" s="10"/>
      <c r="G94" s="11"/>
      <c r="H94" s="26">
        <f t="shared" si="10"/>
        <v>0</v>
      </c>
      <c r="I94" s="1"/>
      <c r="R94" s="4"/>
      <c r="S94" s="1"/>
    </row>
    <row r="95" spans="1:19" x14ac:dyDescent="0.25">
      <c r="A95" s="73" t="s">
        <v>3</v>
      </c>
      <c r="B95" s="74">
        <f>SUM(B96:B155)</f>
        <v>0</v>
      </c>
      <c r="C95" s="74">
        <f t="shared" ref="C95:G95" si="13">SUM(C96:C155)</f>
        <v>0</v>
      </c>
      <c r="D95" s="74">
        <f t="shared" si="13"/>
        <v>0</v>
      </c>
      <c r="E95" s="74">
        <f t="shared" si="13"/>
        <v>0</v>
      </c>
      <c r="F95" s="74">
        <f t="shared" si="13"/>
        <v>0</v>
      </c>
      <c r="G95" s="74">
        <f t="shared" si="13"/>
        <v>0</v>
      </c>
      <c r="H95" s="75">
        <f t="shared" si="10"/>
        <v>0</v>
      </c>
      <c r="I95" s="1"/>
      <c r="R95" s="4"/>
      <c r="S95" s="1"/>
    </row>
    <row r="96" spans="1:19" x14ac:dyDescent="0.25">
      <c r="A96" s="7" t="s">
        <v>113</v>
      </c>
      <c r="B96" s="11"/>
      <c r="C96" s="11"/>
      <c r="D96" s="11"/>
      <c r="E96" s="11"/>
      <c r="F96" s="17"/>
      <c r="G96" s="11"/>
      <c r="H96" s="14">
        <f t="shared" si="10"/>
        <v>0</v>
      </c>
      <c r="I96" s="1"/>
      <c r="R96" s="4"/>
      <c r="S96" s="1"/>
    </row>
    <row r="97" spans="1:19" x14ac:dyDescent="0.25">
      <c r="A97" s="7" t="s">
        <v>112</v>
      </c>
      <c r="B97" s="11"/>
      <c r="C97" s="11"/>
      <c r="D97" s="11"/>
      <c r="E97" s="11"/>
      <c r="F97" s="17"/>
      <c r="G97" s="11"/>
      <c r="H97" s="27">
        <f t="shared" si="10"/>
        <v>0</v>
      </c>
      <c r="I97" s="1"/>
      <c r="R97" s="4"/>
      <c r="S97" s="1"/>
    </row>
    <row r="98" spans="1:19" x14ac:dyDescent="0.25">
      <c r="A98" s="7" t="s">
        <v>41</v>
      </c>
      <c r="B98" s="11"/>
      <c r="C98" s="11"/>
      <c r="D98" s="11"/>
      <c r="E98" s="11"/>
      <c r="F98" s="17"/>
      <c r="G98" s="11"/>
      <c r="H98" s="27">
        <f t="shared" si="10"/>
        <v>0</v>
      </c>
      <c r="I98" s="1"/>
      <c r="R98" s="4"/>
      <c r="S98" s="1"/>
    </row>
    <row r="99" spans="1:19" x14ac:dyDescent="0.25">
      <c r="A99" s="7" t="s">
        <v>192</v>
      </c>
      <c r="B99" s="11"/>
      <c r="C99" s="11"/>
      <c r="D99" s="11"/>
      <c r="E99" s="11"/>
      <c r="F99" s="17"/>
      <c r="G99" s="11"/>
      <c r="H99" s="27">
        <f t="shared" si="10"/>
        <v>0</v>
      </c>
      <c r="I99" s="1"/>
      <c r="R99" s="4"/>
      <c r="S99" s="1"/>
    </row>
    <row r="100" spans="1:19" x14ac:dyDescent="0.25">
      <c r="A100" s="7" t="s">
        <v>213</v>
      </c>
      <c r="B100" s="11"/>
      <c r="C100" s="11"/>
      <c r="D100" s="11"/>
      <c r="E100" s="11"/>
      <c r="F100" s="17"/>
      <c r="G100" s="11"/>
      <c r="H100" s="27">
        <f t="shared" si="10"/>
        <v>0</v>
      </c>
      <c r="I100" s="1"/>
      <c r="R100" s="4"/>
      <c r="S100" s="1"/>
    </row>
    <row r="101" spans="1:19" x14ac:dyDescent="0.25">
      <c r="A101" s="7" t="s">
        <v>214</v>
      </c>
      <c r="B101" s="11"/>
      <c r="C101" s="11"/>
      <c r="D101" s="11"/>
      <c r="E101" s="11"/>
      <c r="F101" s="17"/>
      <c r="G101" s="11"/>
      <c r="H101" s="27">
        <f t="shared" si="10"/>
        <v>0</v>
      </c>
      <c r="I101" s="1"/>
      <c r="R101" s="4"/>
      <c r="S101" s="1"/>
    </row>
    <row r="102" spans="1:19" x14ac:dyDescent="0.25">
      <c r="A102" s="7" t="s">
        <v>215</v>
      </c>
      <c r="B102" s="11"/>
      <c r="C102" s="11"/>
      <c r="D102" s="11"/>
      <c r="E102" s="11"/>
      <c r="F102" s="17"/>
      <c r="G102" s="11"/>
      <c r="H102" s="27">
        <f t="shared" si="10"/>
        <v>0</v>
      </c>
      <c r="I102" s="1"/>
      <c r="R102" s="4"/>
      <c r="S102" s="1"/>
    </row>
    <row r="103" spans="1:19" x14ac:dyDescent="0.25">
      <c r="A103" s="7" t="s">
        <v>219</v>
      </c>
      <c r="B103" s="11"/>
      <c r="C103" s="11"/>
      <c r="D103" s="11"/>
      <c r="E103" s="11"/>
      <c r="F103" s="17"/>
      <c r="G103" s="11"/>
      <c r="H103" s="27">
        <f t="shared" si="10"/>
        <v>0</v>
      </c>
      <c r="I103" s="1"/>
      <c r="R103" s="4"/>
      <c r="S103" s="1"/>
    </row>
    <row r="104" spans="1:19" x14ac:dyDescent="0.25">
      <c r="A104" s="7" t="s">
        <v>220</v>
      </c>
      <c r="B104" s="11"/>
      <c r="C104" s="11"/>
      <c r="D104" s="11"/>
      <c r="E104" s="11"/>
      <c r="F104" s="17"/>
      <c r="G104" s="11"/>
      <c r="H104" s="27">
        <f t="shared" si="10"/>
        <v>0</v>
      </c>
      <c r="I104" s="1"/>
      <c r="R104" s="4"/>
      <c r="S104" s="1"/>
    </row>
    <row r="105" spans="1:19" x14ac:dyDescent="0.25">
      <c r="A105" s="7" t="s">
        <v>216</v>
      </c>
      <c r="B105" s="11"/>
      <c r="C105" s="11"/>
      <c r="D105" s="11"/>
      <c r="E105" s="11"/>
      <c r="F105" s="17"/>
      <c r="G105" s="11"/>
      <c r="H105" s="27">
        <f t="shared" si="10"/>
        <v>0</v>
      </c>
      <c r="I105" s="1"/>
      <c r="R105" s="4"/>
      <c r="S105" s="1"/>
    </row>
    <row r="106" spans="1:19" x14ac:dyDescent="0.25">
      <c r="A106" s="7" t="s">
        <v>174</v>
      </c>
      <c r="B106" s="11"/>
      <c r="C106" s="11"/>
      <c r="D106" s="11"/>
      <c r="E106" s="11"/>
      <c r="F106" s="17"/>
      <c r="G106" s="11"/>
      <c r="H106" s="27">
        <f t="shared" si="10"/>
        <v>0</v>
      </c>
      <c r="I106" s="1"/>
      <c r="R106" s="4"/>
      <c r="S106" s="1"/>
    </row>
    <row r="107" spans="1:19" x14ac:dyDescent="0.25">
      <c r="A107" s="7" t="s">
        <v>175</v>
      </c>
      <c r="B107" s="11"/>
      <c r="C107" s="11"/>
      <c r="D107" s="11"/>
      <c r="E107" s="19"/>
      <c r="F107" s="17"/>
      <c r="G107" s="11"/>
      <c r="H107" s="27">
        <f t="shared" si="10"/>
        <v>0</v>
      </c>
      <c r="I107" s="1"/>
      <c r="R107" s="4"/>
      <c r="S107" s="1"/>
    </row>
    <row r="108" spans="1:19" x14ac:dyDescent="0.25">
      <c r="A108" s="177" t="s">
        <v>109</v>
      </c>
      <c r="B108" s="177"/>
      <c r="C108" s="177"/>
      <c r="D108" s="177"/>
      <c r="E108" s="177"/>
      <c r="F108" s="177"/>
      <c r="G108" s="177"/>
      <c r="H108" s="177"/>
      <c r="I108" s="1"/>
      <c r="R108" s="4"/>
      <c r="S108" s="1"/>
    </row>
    <row r="109" spans="1:19" x14ac:dyDescent="0.25">
      <c r="A109" s="7" t="s">
        <v>123</v>
      </c>
      <c r="B109" s="11"/>
      <c r="C109" s="11"/>
      <c r="D109" s="11"/>
      <c r="E109" s="11"/>
      <c r="F109" s="11"/>
      <c r="G109" s="11"/>
      <c r="H109" s="28">
        <f t="shared" si="10"/>
        <v>0</v>
      </c>
      <c r="I109" s="1"/>
      <c r="J109" s="176"/>
      <c r="K109" s="176"/>
      <c r="R109" s="4"/>
      <c r="S109" s="1"/>
    </row>
    <row r="110" spans="1:19" x14ac:dyDescent="0.25">
      <c r="A110" s="7" t="s">
        <v>122</v>
      </c>
      <c r="B110" s="11"/>
      <c r="C110" s="11"/>
      <c r="D110" s="10"/>
      <c r="E110" s="11"/>
      <c r="F110" s="11"/>
      <c r="G110" s="11"/>
      <c r="H110" s="14">
        <f t="shared" si="10"/>
        <v>0</v>
      </c>
      <c r="I110" s="1"/>
      <c r="J110" s="176"/>
      <c r="K110" s="176"/>
      <c r="R110" s="4"/>
      <c r="S110" s="1"/>
    </row>
    <row r="111" spans="1:19" x14ac:dyDescent="0.25">
      <c r="A111" s="7" t="s">
        <v>121</v>
      </c>
      <c r="B111" s="11"/>
      <c r="C111" s="11"/>
      <c r="D111" s="11"/>
      <c r="E111" s="11"/>
      <c r="F111" s="11"/>
      <c r="G111" s="11"/>
      <c r="H111" s="14">
        <f t="shared" si="10"/>
        <v>0</v>
      </c>
      <c r="I111" s="1"/>
      <c r="R111" s="4"/>
      <c r="S111" s="1"/>
    </row>
    <row r="112" spans="1:19" x14ac:dyDescent="0.25">
      <c r="A112" s="7" t="s">
        <v>120</v>
      </c>
      <c r="B112" s="11"/>
      <c r="C112" s="11"/>
      <c r="D112" s="11"/>
      <c r="E112" s="11"/>
      <c r="F112" s="11"/>
      <c r="G112" s="11"/>
      <c r="H112" s="14">
        <f t="shared" si="10"/>
        <v>0</v>
      </c>
      <c r="I112" s="1"/>
      <c r="R112" s="4"/>
      <c r="S112" s="1"/>
    </row>
    <row r="113" spans="1:19" x14ac:dyDescent="0.25">
      <c r="A113" s="7" t="s">
        <v>124</v>
      </c>
      <c r="B113" s="11"/>
      <c r="C113" s="11"/>
      <c r="D113" s="11"/>
      <c r="E113" s="11"/>
      <c r="F113" s="11"/>
      <c r="G113" s="11"/>
      <c r="H113" s="14">
        <f t="shared" si="10"/>
        <v>0</v>
      </c>
      <c r="I113" s="1"/>
      <c r="R113" s="4"/>
      <c r="S113" s="1"/>
    </row>
    <row r="114" spans="1:19" x14ac:dyDescent="0.25">
      <c r="A114" s="7" t="s">
        <v>48</v>
      </c>
      <c r="B114" s="11"/>
      <c r="C114" s="11"/>
      <c r="D114" s="11"/>
      <c r="E114" s="11"/>
      <c r="F114" s="11"/>
      <c r="G114" s="11"/>
      <c r="H114" s="14">
        <f>SUM(B114:G114)</f>
        <v>0</v>
      </c>
      <c r="I114" s="1"/>
      <c r="R114" s="4"/>
      <c r="S114" s="1"/>
    </row>
    <row r="115" spans="1:19" x14ac:dyDescent="0.25">
      <c r="A115" s="180" t="s">
        <v>110</v>
      </c>
      <c r="B115" s="181"/>
      <c r="C115" s="181"/>
      <c r="D115" s="181"/>
      <c r="E115" s="181"/>
      <c r="F115" s="181"/>
      <c r="G115" s="181"/>
      <c r="H115" s="175"/>
      <c r="I115" s="1"/>
      <c r="R115" s="4"/>
      <c r="S115" s="1"/>
    </row>
    <row r="116" spans="1:19" x14ac:dyDescent="0.25">
      <c r="A116" s="8" t="s">
        <v>111</v>
      </c>
      <c r="B116" s="31"/>
      <c r="C116" s="31"/>
      <c r="D116" s="31"/>
      <c r="E116" s="31"/>
      <c r="F116" s="31"/>
      <c r="G116" s="31"/>
      <c r="H116" s="14">
        <f t="shared" ref="H116:H149" si="14">SUM(B116:G116)</f>
        <v>0</v>
      </c>
      <c r="I116" s="1"/>
      <c r="R116" s="4"/>
      <c r="S116" s="1"/>
    </row>
    <row r="117" spans="1:19" x14ac:dyDescent="0.25">
      <c r="A117" s="7" t="s">
        <v>158</v>
      </c>
      <c r="B117" s="11"/>
      <c r="C117" s="11"/>
      <c r="D117" s="11"/>
      <c r="E117" s="11"/>
      <c r="F117" s="11"/>
      <c r="G117" s="11"/>
      <c r="H117" s="14">
        <f t="shared" si="14"/>
        <v>0</v>
      </c>
      <c r="I117" s="1"/>
      <c r="R117" s="4"/>
      <c r="S117" s="1"/>
    </row>
    <row r="118" spans="1:19" x14ac:dyDescent="0.25">
      <c r="A118" s="7" t="s">
        <v>156</v>
      </c>
      <c r="B118" s="11"/>
      <c r="C118" s="11"/>
      <c r="D118" s="11"/>
      <c r="E118" s="11"/>
      <c r="F118" s="11"/>
      <c r="G118" s="11"/>
      <c r="H118" s="14">
        <f t="shared" si="14"/>
        <v>0</v>
      </c>
      <c r="I118" s="1"/>
      <c r="R118" s="4"/>
      <c r="S118" s="1"/>
    </row>
    <row r="119" spans="1:19" x14ac:dyDescent="0.25">
      <c r="A119" s="7" t="s">
        <v>187</v>
      </c>
      <c r="B119" s="11"/>
      <c r="C119" s="11"/>
      <c r="D119" s="11"/>
      <c r="E119" s="11"/>
      <c r="F119" s="11"/>
      <c r="G119" s="11"/>
      <c r="H119" s="14">
        <f t="shared" si="14"/>
        <v>0</v>
      </c>
      <c r="I119" s="1"/>
      <c r="R119" s="4"/>
      <c r="S119" s="1"/>
    </row>
    <row r="120" spans="1:19" x14ac:dyDescent="0.25">
      <c r="A120" s="7" t="s">
        <v>157</v>
      </c>
      <c r="B120" s="11"/>
      <c r="C120" s="11"/>
      <c r="D120" s="11"/>
      <c r="E120" s="11"/>
      <c r="F120" s="11"/>
      <c r="G120" s="11"/>
      <c r="H120" s="14">
        <f t="shared" si="14"/>
        <v>0</v>
      </c>
      <c r="I120" s="1"/>
      <c r="R120" s="4"/>
      <c r="S120" s="1"/>
    </row>
    <row r="121" spans="1:19" x14ac:dyDescent="0.25">
      <c r="A121" s="7" t="s">
        <v>125</v>
      </c>
      <c r="B121" s="11"/>
      <c r="C121" s="11"/>
      <c r="D121" s="11"/>
      <c r="E121" s="11"/>
      <c r="F121" s="11"/>
      <c r="G121" s="11"/>
      <c r="H121" s="14">
        <f t="shared" si="14"/>
        <v>0</v>
      </c>
      <c r="I121" s="1"/>
      <c r="R121" s="4"/>
      <c r="S121" s="1"/>
    </row>
    <row r="122" spans="1:19" x14ac:dyDescent="0.25">
      <c r="A122" s="7" t="s">
        <v>126</v>
      </c>
      <c r="B122" s="11"/>
      <c r="C122" s="11"/>
      <c r="D122" s="11"/>
      <c r="E122" s="11"/>
      <c r="F122" s="11"/>
      <c r="G122" s="11"/>
      <c r="H122" s="14">
        <f t="shared" si="14"/>
        <v>0</v>
      </c>
      <c r="I122" s="1"/>
      <c r="R122" s="4"/>
      <c r="S122" s="1"/>
    </row>
    <row r="123" spans="1:19" x14ac:dyDescent="0.25">
      <c r="A123" s="7" t="s">
        <v>103</v>
      </c>
      <c r="B123" s="11"/>
      <c r="C123" s="11"/>
      <c r="D123" s="11"/>
      <c r="E123" s="11"/>
      <c r="F123" s="11"/>
      <c r="G123" s="11"/>
      <c r="H123" s="14">
        <f t="shared" si="14"/>
        <v>0</v>
      </c>
      <c r="I123" s="1"/>
      <c r="R123" s="4"/>
      <c r="S123" s="1"/>
    </row>
    <row r="124" spans="1:19" x14ac:dyDescent="0.25">
      <c r="A124" s="7" t="s">
        <v>127</v>
      </c>
      <c r="B124" s="11"/>
      <c r="C124" s="11"/>
      <c r="D124" s="11"/>
      <c r="E124" s="11"/>
      <c r="F124" s="11"/>
      <c r="G124" s="11"/>
      <c r="H124" s="14">
        <f t="shared" si="14"/>
        <v>0</v>
      </c>
      <c r="I124" s="1"/>
      <c r="R124" s="4"/>
      <c r="S124" s="1"/>
    </row>
    <row r="125" spans="1:19" x14ac:dyDescent="0.25">
      <c r="A125" s="7" t="s">
        <v>128</v>
      </c>
      <c r="B125" s="11"/>
      <c r="C125" s="11"/>
      <c r="D125" s="11"/>
      <c r="E125" s="11"/>
      <c r="F125" s="11"/>
      <c r="G125" s="11"/>
      <c r="H125" s="14">
        <f t="shared" si="14"/>
        <v>0</v>
      </c>
      <c r="I125" s="1"/>
      <c r="R125" s="4"/>
      <c r="S125" s="1"/>
    </row>
    <row r="126" spans="1:19" x14ac:dyDescent="0.25">
      <c r="A126" s="7" t="s">
        <v>129</v>
      </c>
      <c r="B126" s="11"/>
      <c r="C126" s="11"/>
      <c r="D126" s="11"/>
      <c r="E126" s="11"/>
      <c r="F126" s="11"/>
      <c r="G126" s="11"/>
      <c r="H126" s="14">
        <f t="shared" si="14"/>
        <v>0</v>
      </c>
      <c r="I126" s="1"/>
      <c r="R126" s="4"/>
      <c r="S126" s="1"/>
    </row>
    <row r="127" spans="1:19" x14ac:dyDescent="0.25">
      <c r="A127" s="7" t="s">
        <v>44</v>
      </c>
      <c r="B127" s="11"/>
      <c r="C127" s="11"/>
      <c r="D127" s="11"/>
      <c r="E127" s="11"/>
      <c r="F127" s="11"/>
      <c r="G127" s="11"/>
      <c r="H127" s="14">
        <f t="shared" si="14"/>
        <v>0</v>
      </c>
      <c r="I127" s="1"/>
      <c r="R127" s="4"/>
      <c r="S127" s="1"/>
    </row>
    <row r="128" spans="1:19" x14ac:dyDescent="0.25">
      <c r="A128" s="7" t="s">
        <v>92</v>
      </c>
      <c r="B128" s="11"/>
      <c r="C128" s="11"/>
      <c r="D128" s="11"/>
      <c r="E128" s="11"/>
      <c r="F128" s="11"/>
      <c r="G128" s="11"/>
      <c r="H128" s="14">
        <f t="shared" si="14"/>
        <v>0</v>
      </c>
      <c r="I128" s="1"/>
      <c r="R128" s="4"/>
      <c r="S128" s="1"/>
    </row>
    <row r="129" spans="1:19" x14ac:dyDescent="0.25">
      <c r="A129" s="7" t="s">
        <v>45</v>
      </c>
      <c r="B129" s="11"/>
      <c r="C129" s="11"/>
      <c r="D129" s="11"/>
      <c r="E129" s="11"/>
      <c r="F129" s="11"/>
      <c r="G129" s="11"/>
      <c r="H129" s="14">
        <f t="shared" si="14"/>
        <v>0</v>
      </c>
      <c r="I129" s="1"/>
      <c r="R129" s="4"/>
      <c r="S129" s="1"/>
    </row>
    <row r="130" spans="1:19" x14ac:dyDescent="0.25">
      <c r="A130" s="7" t="s">
        <v>99</v>
      </c>
      <c r="B130" s="11"/>
      <c r="C130" s="11"/>
      <c r="D130" s="11"/>
      <c r="E130" s="11"/>
      <c r="F130" s="11"/>
      <c r="G130" s="11"/>
      <c r="H130" s="14">
        <f t="shared" si="14"/>
        <v>0</v>
      </c>
      <c r="I130" s="1"/>
      <c r="R130" s="4"/>
      <c r="S130" s="1"/>
    </row>
    <row r="131" spans="1:19" ht="15.75" customHeight="1" x14ac:dyDescent="0.25">
      <c r="A131" s="7" t="s">
        <v>100</v>
      </c>
      <c r="B131" s="11"/>
      <c r="C131" s="11"/>
      <c r="D131" s="11"/>
      <c r="E131" s="11"/>
      <c r="F131" s="11"/>
      <c r="G131" s="11"/>
      <c r="H131" s="14">
        <f t="shared" si="14"/>
        <v>0</v>
      </c>
      <c r="I131" s="1"/>
      <c r="R131" s="4"/>
      <c r="S131" s="1"/>
    </row>
    <row r="132" spans="1:19" x14ac:dyDescent="0.25">
      <c r="A132" s="7" t="s">
        <v>46</v>
      </c>
      <c r="B132" s="11"/>
      <c r="C132" s="11"/>
      <c r="D132" s="11"/>
      <c r="E132" s="11"/>
      <c r="F132" s="11"/>
      <c r="G132" s="11"/>
      <c r="H132" s="14">
        <f t="shared" si="14"/>
        <v>0</v>
      </c>
      <c r="I132" s="1"/>
      <c r="R132" s="4"/>
      <c r="S132" s="1"/>
    </row>
    <row r="133" spans="1:19" x14ac:dyDescent="0.25">
      <c r="A133" s="7" t="s">
        <v>47</v>
      </c>
      <c r="B133" s="11"/>
      <c r="C133" s="11"/>
      <c r="D133" s="11"/>
      <c r="E133" s="11"/>
      <c r="F133" s="11"/>
      <c r="G133" s="11"/>
      <c r="H133" s="14">
        <f t="shared" si="14"/>
        <v>0</v>
      </c>
      <c r="I133" s="1"/>
      <c r="R133" s="4"/>
      <c r="S133" s="1"/>
    </row>
    <row r="134" spans="1:19" x14ac:dyDescent="0.25">
      <c r="A134" s="7" t="s">
        <v>53</v>
      </c>
      <c r="B134" s="11"/>
      <c r="C134" s="11"/>
      <c r="D134" s="11"/>
      <c r="E134" s="11"/>
      <c r="F134" s="11"/>
      <c r="G134" s="11"/>
      <c r="H134" s="14">
        <f t="shared" si="14"/>
        <v>0</v>
      </c>
      <c r="I134" s="1"/>
      <c r="R134" s="4"/>
      <c r="S134" s="1"/>
    </row>
    <row r="135" spans="1:19" x14ac:dyDescent="0.25">
      <c r="A135" s="7" t="s">
        <v>134</v>
      </c>
      <c r="B135" s="11"/>
      <c r="C135" s="11"/>
      <c r="D135" s="11"/>
      <c r="E135" s="11"/>
      <c r="F135" s="11"/>
      <c r="G135" s="11"/>
      <c r="H135" s="14">
        <f t="shared" si="14"/>
        <v>0</v>
      </c>
      <c r="I135" s="1"/>
      <c r="R135" s="4"/>
      <c r="S135" s="1"/>
    </row>
    <row r="136" spans="1:19" x14ac:dyDescent="0.25">
      <c r="A136" s="7" t="s">
        <v>135</v>
      </c>
      <c r="B136" s="11"/>
      <c r="C136" s="11"/>
      <c r="D136" s="11"/>
      <c r="E136" s="11"/>
      <c r="F136" s="11"/>
      <c r="G136" s="11"/>
      <c r="H136" s="14">
        <f t="shared" si="14"/>
        <v>0</v>
      </c>
      <c r="I136" s="1"/>
      <c r="R136" s="4"/>
      <c r="S136" s="1"/>
    </row>
    <row r="137" spans="1:19" x14ac:dyDescent="0.25">
      <c r="A137" s="7" t="s">
        <v>49</v>
      </c>
      <c r="B137" s="11"/>
      <c r="C137" s="11"/>
      <c r="D137" s="11"/>
      <c r="E137" s="11"/>
      <c r="F137" s="11"/>
      <c r="G137" s="11"/>
      <c r="H137" s="27">
        <f t="shared" si="14"/>
        <v>0</v>
      </c>
      <c r="I137" s="1"/>
      <c r="R137" s="4"/>
      <c r="S137" s="1"/>
    </row>
    <row r="138" spans="1:19" x14ac:dyDescent="0.25">
      <c r="A138" s="7" t="s">
        <v>189</v>
      </c>
      <c r="B138" s="11"/>
      <c r="C138" s="11"/>
      <c r="D138" s="11"/>
      <c r="E138" s="11"/>
      <c r="F138" s="11"/>
      <c r="G138" s="11"/>
      <c r="H138" s="27">
        <f t="shared" si="14"/>
        <v>0</v>
      </c>
      <c r="I138" s="1"/>
      <c r="R138" s="4"/>
      <c r="S138" s="1"/>
    </row>
    <row r="139" spans="1:19" x14ac:dyDescent="0.25">
      <c r="A139" s="7" t="s">
        <v>50</v>
      </c>
      <c r="B139" s="11"/>
      <c r="C139" s="11"/>
      <c r="D139" s="11"/>
      <c r="E139" s="11"/>
      <c r="F139" s="11"/>
      <c r="G139" s="11"/>
      <c r="H139" s="14">
        <f t="shared" si="14"/>
        <v>0</v>
      </c>
      <c r="I139" s="1"/>
      <c r="R139" s="4"/>
      <c r="S139" s="1"/>
    </row>
    <row r="140" spans="1:19" x14ac:dyDescent="0.25">
      <c r="A140" s="7" t="s">
        <v>104</v>
      </c>
      <c r="B140" s="11"/>
      <c r="C140" s="11"/>
      <c r="D140" s="11"/>
      <c r="E140" s="11"/>
      <c r="F140" s="11"/>
      <c r="G140" s="11"/>
      <c r="H140" s="14">
        <f t="shared" si="14"/>
        <v>0</v>
      </c>
      <c r="I140" s="1"/>
      <c r="R140" s="6"/>
      <c r="S140" s="1"/>
    </row>
    <row r="141" spans="1:19" x14ac:dyDescent="0.25">
      <c r="A141" s="7" t="s">
        <v>51</v>
      </c>
      <c r="B141" s="11"/>
      <c r="C141" s="11"/>
      <c r="D141" s="11"/>
      <c r="E141" s="11"/>
      <c r="F141" s="11"/>
      <c r="G141" s="11"/>
      <c r="H141" s="14">
        <f t="shared" si="14"/>
        <v>0</v>
      </c>
    </row>
    <row r="142" spans="1:19" x14ac:dyDescent="0.25">
      <c r="A142" s="7" t="s">
        <v>52</v>
      </c>
      <c r="B142" s="11"/>
      <c r="C142" s="11"/>
      <c r="D142" s="11"/>
      <c r="E142" s="11"/>
      <c r="F142" s="11"/>
      <c r="G142" s="11"/>
      <c r="H142" s="14">
        <f t="shared" si="14"/>
        <v>0</v>
      </c>
    </row>
    <row r="143" spans="1:19" x14ac:dyDescent="0.25">
      <c r="A143" s="7" t="s">
        <v>115</v>
      </c>
      <c r="B143" s="11"/>
      <c r="C143" s="11"/>
      <c r="D143" s="11"/>
      <c r="E143" s="11"/>
      <c r="F143" s="11"/>
      <c r="G143" s="11"/>
      <c r="H143" s="14">
        <f t="shared" si="14"/>
        <v>0</v>
      </c>
    </row>
    <row r="144" spans="1:19" x14ac:dyDescent="0.25">
      <c r="A144" s="7" t="s">
        <v>116</v>
      </c>
      <c r="B144" s="11"/>
      <c r="C144" s="11"/>
      <c r="D144" s="11"/>
      <c r="E144" s="11"/>
      <c r="F144" s="11"/>
      <c r="G144" s="11"/>
      <c r="H144" s="14">
        <f t="shared" si="14"/>
        <v>0</v>
      </c>
    </row>
    <row r="145" spans="1:13" x14ac:dyDescent="0.25">
      <c r="A145" s="7" t="s">
        <v>102</v>
      </c>
      <c r="B145" s="11"/>
      <c r="C145" s="11"/>
      <c r="D145" s="11"/>
      <c r="E145" s="11"/>
      <c r="F145" s="11"/>
      <c r="G145" s="11"/>
      <c r="H145" s="14">
        <f t="shared" si="14"/>
        <v>0</v>
      </c>
    </row>
    <row r="146" spans="1:13" x14ac:dyDescent="0.25">
      <c r="A146" s="7" t="s">
        <v>203</v>
      </c>
      <c r="B146" s="11"/>
      <c r="C146" s="11"/>
      <c r="D146" s="11"/>
      <c r="E146" s="11"/>
      <c r="F146" s="11"/>
      <c r="G146" s="11"/>
      <c r="H146" s="14">
        <f t="shared" si="14"/>
        <v>0</v>
      </c>
    </row>
    <row r="147" spans="1:13" x14ac:dyDescent="0.25">
      <c r="A147" s="7" t="s">
        <v>197</v>
      </c>
      <c r="B147" s="11"/>
      <c r="C147" s="11"/>
      <c r="D147" s="11"/>
      <c r="E147" s="11"/>
      <c r="F147" s="11"/>
      <c r="G147" s="11"/>
      <c r="H147" s="14">
        <f t="shared" si="14"/>
        <v>0</v>
      </c>
    </row>
    <row r="148" spans="1:13" x14ac:dyDescent="0.25">
      <c r="A148" s="7" t="s">
        <v>217</v>
      </c>
      <c r="B148" s="11"/>
      <c r="C148" s="11"/>
      <c r="D148" s="11"/>
      <c r="E148" s="11"/>
      <c r="F148" s="11"/>
      <c r="G148" s="11"/>
      <c r="H148" s="14">
        <f t="shared" si="14"/>
        <v>0</v>
      </c>
    </row>
    <row r="149" spans="1:13" x14ac:dyDescent="0.25">
      <c r="A149" s="7" t="s">
        <v>198</v>
      </c>
      <c r="B149" s="11"/>
      <c r="C149" s="11"/>
      <c r="D149" s="11"/>
      <c r="E149" s="11"/>
      <c r="F149" s="11"/>
      <c r="G149" s="11"/>
      <c r="H149" s="14">
        <f t="shared" si="14"/>
        <v>0</v>
      </c>
    </row>
    <row r="150" spans="1:13" x14ac:dyDescent="0.25">
      <c r="A150" s="7" t="s">
        <v>199</v>
      </c>
      <c r="B150" s="11"/>
      <c r="C150" s="11"/>
      <c r="D150" s="11"/>
      <c r="E150" s="11"/>
      <c r="F150" s="11"/>
      <c r="G150" s="11"/>
      <c r="H150" s="14">
        <f>SUM(B150:G150)</f>
        <v>0</v>
      </c>
    </row>
    <row r="151" spans="1:13" x14ac:dyDescent="0.25">
      <c r="A151" s="7" t="s">
        <v>200</v>
      </c>
      <c r="B151" s="11"/>
      <c r="C151" s="11"/>
      <c r="D151" s="11"/>
      <c r="E151" s="11"/>
      <c r="F151" s="11"/>
      <c r="G151" s="11"/>
      <c r="H151" s="14">
        <f>SUM(B151:G151)</f>
        <v>0</v>
      </c>
    </row>
    <row r="152" spans="1:13" x14ac:dyDescent="0.25">
      <c r="A152" s="7"/>
      <c r="B152" s="11"/>
      <c r="C152" s="11"/>
      <c r="D152" s="11"/>
      <c r="E152" s="17"/>
      <c r="F152" s="11"/>
      <c r="G152" s="11"/>
      <c r="H152" s="14"/>
    </row>
    <row r="153" spans="1:13" x14ac:dyDescent="0.25">
      <c r="A153" s="7" t="s">
        <v>105</v>
      </c>
      <c r="B153" s="11"/>
      <c r="C153" s="11"/>
      <c r="D153" s="11"/>
      <c r="E153" s="17"/>
      <c r="F153" s="11"/>
      <c r="G153" s="11"/>
      <c r="H153" s="14">
        <f>SUM(B153:G153)</f>
        <v>0</v>
      </c>
    </row>
    <row r="154" spans="1:13" x14ac:dyDescent="0.25">
      <c r="A154" s="7" t="s">
        <v>206</v>
      </c>
      <c r="B154" s="11"/>
      <c r="C154" s="11"/>
      <c r="D154" s="11"/>
      <c r="E154" s="11"/>
      <c r="F154" s="11"/>
      <c r="G154" s="11"/>
      <c r="H154" s="14">
        <f t="shared" ref="H154:H155" si="15">SUM(B154:G154)</f>
        <v>0</v>
      </c>
    </row>
    <row r="155" spans="1:13" x14ac:dyDescent="0.25">
      <c r="A155" s="107" t="s">
        <v>207</v>
      </c>
      <c r="B155" s="93"/>
      <c r="C155" s="93"/>
      <c r="D155" s="93"/>
      <c r="E155" s="93"/>
      <c r="F155" s="93"/>
      <c r="G155" s="93"/>
      <c r="H155" s="14">
        <f t="shared" si="15"/>
        <v>0</v>
      </c>
    </row>
    <row r="158" spans="1:13" x14ac:dyDescent="0.25">
      <c r="J158" s="176"/>
      <c r="K158" s="176"/>
      <c r="L158" s="176"/>
      <c r="M158" s="176"/>
    </row>
    <row r="159" spans="1:13" x14ac:dyDescent="0.25">
      <c r="J159" s="176"/>
    </row>
    <row r="166" spans="10:17" x14ac:dyDescent="0.25">
      <c r="P166" s="5"/>
      <c r="Q166" s="5"/>
    </row>
    <row r="168" spans="10:17" x14ac:dyDescent="0.25">
      <c r="J168" s="5"/>
      <c r="K168" s="5"/>
      <c r="L168" s="5"/>
      <c r="M168" s="5"/>
      <c r="N168" s="1"/>
      <c r="O168" s="1"/>
    </row>
  </sheetData>
  <mergeCells count="30">
    <mergeCell ref="J52:Q52"/>
    <mergeCell ref="A3:R3"/>
    <mergeCell ref="B4:J4"/>
    <mergeCell ref="L4:R4"/>
    <mergeCell ref="A9:A10"/>
    <mergeCell ref="B9:H9"/>
    <mergeCell ref="J9:J10"/>
    <mergeCell ref="K9:Q9"/>
    <mergeCell ref="J26:J27"/>
    <mergeCell ref="K26:Q26"/>
    <mergeCell ref="J39:J40"/>
    <mergeCell ref="K39:Q39"/>
    <mergeCell ref="J50:M50"/>
    <mergeCell ref="A108:H108"/>
    <mergeCell ref="J60:P60"/>
    <mergeCell ref="J61:P61"/>
    <mergeCell ref="J62:P62"/>
    <mergeCell ref="J53:P53"/>
    <mergeCell ref="J54:P54"/>
    <mergeCell ref="J55:P55"/>
    <mergeCell ref="J56:P56"/>
    <mergeCell ref="J57:P57"/>
    <mergeCell ref="K86:M86"/>
    <mergeCell ref="J58:P58"/>
    <mergeCell ref="J59:P59"/>
    <mergeCell ref="J109:J110"/>
    <mergeCell ref="K109:K110"/>
    <mergeCell ref="A115:H115"/>
    <mergeCell ref="J158:J159"/>
    <mergeCell ref="K158:M158"/>
  </mergeCells>
  <pageMargins left="1" right="1" top="1" bottom="1" header="0.5" footer="0.5"/>
  <pageSetup paperSize="9" scale="50" fitToHeight="0" orientation="landscape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067B-494E-42A9-BEB4-F1E66ED6867B}">
  <sheetPr>
    <pageSetUpPr fitToPage="1"/>
  </sheetPr>
  <dimension ref="A3:S170"/>
  <sheetViews>
    <sheetView topLeftCell="J61" zoomScale="90" zoomScaleNormal="90" workbookViewId="0">
      <selection activeCell="I30" sqref="I30"/>
    </sheetView>
  </sheetViews>
  <sheetFormatPr baseColWidth="10" defaultRowHeight="15" x14ac:dyDescent="0.25"/>
  <cols>
    <col min="1" max="1" width="49.85546875" customWidth="1"/>
    <col min="2" max="6" width="9.85546875" customWidth="1"/>
    <col min="7" max="7" width="13.5703125" customWidth="1"/>
    <col min="8" max="8" width="9.28515625" customWidth="1"/>
    <col min="9" max="9" width="9.42578125" customWidth="1"/>
    <col min="10" max="10" width="43.7109375" customWidth="1"/>
    <col min="11" max="15" width="9.28515625" customWidth="1"/>
    <col min="16" max="16" width="10.42578125" customWidth="1"/>
    <col min="17" max="17" width="10" customWidth="1"/>
    <col min="18" max="18" width="2.85546875" customWidth="1"/>
  </cols>
  <sheetData>
    <row r="3" spans="1:19" ht="26.25" x14ac:dyDescent="0.25">
      <c r="A3" s="161"/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"/>
    </row>
    <row r="4" spans="1:19" ht="15.75" x14ac:dyDescent="0.25">
      <c r="A4" s="1" t="s">
        <v>12</v>
      </c>
      <c r="B4" s="170" t="s">
        <v>16</v>
      </c>
      <c r="C4" s="171"/>
      <c r="D4" s="171"/>
      <c r="E4" s="171"/>
      <c r="F4" s="171"/>
      <c r="G4" s="171"/>
      <c r="H4" s="171"/>
      <c r="I4" s="171"/>
      <c r="J4" s="172"/>
      <c r="K4" s="9" t="s">
        <v>14</v>
      </c>
      <c r="L4" s="162" t="s">
        <v>208</v>
      </c>
      <c r="M4" s="163"/>
      <c r="N4" s="163"/>
      <c r="O4" s="163"/>
      <c r="P4" s="163"/>
      <c r="Q4" s="163"/>
      <c r="R4" s="164"/>
      <c r="S4" s="1"/>
    </row>
    <row r="5" spans="1:19" x14ac:dyDescent="0.25">
      <c r="A5" s="1"/>
      <c r="B5" s="1"/>
      <c r="C5" s="1"/>
      <c r="D5" s="10"/>
      <c r="E5" s="1"/>
      <c r="F5" s="1"/>
      <c r="G5" s="1"/>
      <c r="H5" s="1"/>
      <c r="I5" s="1"/>
      <c r="J5" s="1"/>
      <c r="K5" s="9"/>
      <c r="L5" s="10"/>
      <c r="M5" s="10"/>
      <c r="N5" s="10"/>
      <c r="O5" s="10"/>
      <c r="P5" s="10"/>
      <c r="Q5" s="10"/>
      <c r="R5" s="10"/>
      <c r="S5" s="1"/>
    </row>
    <row r="6" spans="1:19" x14ac:dyDescent="0.25">
      <c r="A6" s="1" t="s">
        <v>204</v>
      </c>
      <c r="B6" s="30">
        <v>3</v>
      </c>
      <c r="C6" s="1"/>
      <c r="D6" s="10"/>
      <c r="E6" s="1"/>
      <c r="F6" s="1"/>
      <c r="G6" s="1"/>
      <c r="H6" s="1"/>
      <c r="I6" s="1"/>
      <c r="J6" s="1"/>
      <c r="K6" s="9" t="s">
        <v>13</v>
      </c>
      <c r="L6" s="30">
        <v>2025</v>
      </c>
      <c r="M6" s="1"/>
      <c r="N6" s="1"/>
      <c r="O6" s="1"/>
      <c r="P6" s="1"/>
      <c r="Q6" s="1"/>
      <c r="R6" s="1"/>
      <c r="S6" s="1"/>
    </row>
    <row r="7" spans="1:19" x14ac:dyDescent="0.25">
      <c r="A7" s="1"/>
      <c r="B7" s="1"/>
      <c r="C7" s="1"/>
      <c r="D7" s="10"/>
      <c r="E7" s="1"/>
      <c r="F7" s="1"/>
      <c r="G7" s="1"/>
      <c r="H7" s="1"/>
      <c r="I7" s="1"/>
      <c r="J7" s="1"/>
      <c r="K7" s="1"/>
      <c r="L7" s="44"/>
      <c r="M7" s="1"/>
      <c r="N7" s="1"/>
      <c r="O7" s="1"/>
      <c r="P7" s="1"/>
      <c r="Q7" s="1"/>
      <c r="R7" s="1"/>
      <c r="S7" s="1"/>
    </row>
    <row r="8" spans="1:19" ht="15.75" thickBot="1" x14ac:dyDescent="0.3">
      <c r="A8" s="2"/>
      <c r="B8" s="2"/>
      <c r="C8" s="2"/>
      <c r="D8" s="2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3"/>
      <c r="S8" s="1"/>
    </row>
    <row r="9" spans="1:19" x14ac:dyDescent="0.25">
      <c r="A9" s="165" t="s">
        <v>148</v>
      </c>
      <c r="B9" s="167" t="s">
        <v>11</v>
      </c>
      <c r="C9" s="167"/>
      <c r="D9" s="167"/>
      <c r="E9" s="167"/>
      <c r="F9" s="167"/>
      <c r="G9" s="167"/>
      <c r="H9" s="167"/>
      <c r="I9" s="1"/>
      <c r="J9" s="168" t="s">
        <v>149</v>
      </c>
      <c r="K9" s="153" t="s">
        <v>11</v>
      </c>
      <c r="L9" s="153"/>
      <c r="M9" s="153"/>
      <c r="N9" s="153"/>
      <c r="O9" s="153"/>
      <c r="P9" s="153"/>
      <c r="Q9" s="154"/>
      <c r="R9" s="4"/>
      <c r="S9" s="1"/>
    </row>
    <row r="10" spans="1:19" x14ac:dyDescent="0.25">
      <c r="A10" s="166"/>
      <c r="B10" s="30" t="s">
        <v>8</v>
      </c>
      <c r="C10" s="30" t="s">
        <v>9</v>
      </c>
      <c r="D10" s="30" t="s">
        <v>10</v>
      </c>
      <c r="E10" s="30" t="s">
        <v>154</v>
      </c>
      <c r="F10" s="30" t="s">
        <v>155</v>
      </c>
      <c r="G10" s="30" t="s">
        <v>147</v>
      </c>
      <c r="H10" s="30" t="s">
        <v>11</v>
      </c>
      <c r="I10" s="1"/>
      <c r="J10" s="169"/>
      <c r="K10" s="30" t="s">
        <v>8</v>
      </c>
      <c r="L10" s="30" t="s">
        <v>9</v>
      </c>
      <c r="M10" s="30" t="s">
        <v>10</v>
      </c>
      <c r="N10" s="30" t="s">
        <v>154</v>
      </c>
      <c r="O10" s="30" t="s">
        <v>155</v>
      </c>
      <c r="P10" s="30" t="s">
        <v>147</v>
      </c>
      <c r="Q10" s="54" t="s">
        <v>11</v>
      </c>
      <c r="R10" s="4"/>
      <c r="S10" s="1"/>
    </row>
    <row r="11" spans="1:19" x14ac:dyDescent="0.25">
      <c r="A11" s="15" t="s">
        <v>0</v>
      </c>
      <c r="B11" s="16" t="e">
        <f>B12+B51+B69+B82+B95+K11+K28+K41</f>
        <v>#REF!</v>
      </c>
      <c r="C11" s="16" t="e">
        <f t="shared" ref="C11:G11" si="0">C12+C51+C69+C82+C95+L11+L28+L41</f>
        <v>#REF!</v>
      </c>
      <c r="D11" s="16" t="e">
        <f t="shared" si="0"/>
        <v>#REF!</v>
      </c>
      <c r="E11" s="16" t="e">
        <f t="shared" si="0"/>
        <v>#REF!</v>
      </c>
      <c r="F11" s="16" t="e">
        <f t="shared" si="0"/>
        <v>#REF!</v>
      </c>
      <c r="G11" s="16" t="e">
        <f t="shared" si="0"/>
        <v>#REF!</v>
      </c>
      <c r="H11" s="14" t="e">
        <f>SUM(B11:G11)</f>
        <v>#REF!</v>
      </c>
      <c r="I11" s="1"/>
      <c r="J11" s="79" t="s">
        <v>85</v>
      </c>
      <c r="K11" s="74" t="e">
        <f t="shared" ref="K11:P11" si="1">SUM(K12:K23)</f>
        <v>#REF!</v>
      </c>
      <c r="L11" s="74" t="e">
        <f t="shared" si="1"/>
        <v>#REF!</v>
      </c>
      <c r="M11" s="74" t="e">
        <f t="shared" si="1"/>
        <v>#REF!</v>
      </c>
      <c r="N11" s="74" t="e">
        <f t="shared" si="1"/>
        <v>#REF!</v>
      </c>
      <c r="O11" s="74" t="e">
        <f t="shared" si="1"/>
        <v>#REF!</v>
      </c>
      <c r="P11" s="74" t="e">
        <f t="shared" si="1"/>
        <v>#REF!</v>
      </c>
      <c r="Q11" s="80" t="e">
        <f t="shared" ref="Q11:Q23" si="2">SUM(K11:P11)</f>
        <v>#REF!</v>
      </c>
      <c r="R11" s="4"/>
      <c r="S11" s="1"/>
    </row>
    <row r="12" spans="1:19" x14ac:dyDescent="0.25">
      <c r="A12" s="73" t="s">
        <v>1</v>
      </c>
      <c r="B12" s="74" t="e">
        <f>SUM(B13:B50)</f>
        <v>#REF!</v>
      </c>
      <c r="C12" s="74" t="e">
        <f t="shared" ref="C12:G12" si="3">SUM(C13:C50)</f>
        <v>#REF!</v>
      </c>
      <c r="D12" s="74" t="e">
        <f t="shared" si="3"/>
        <v>#REF!</v>
      </c>
      <c r="E12" s="74" t="e">
        <f t="shared" si="3"/>
        <v>#REF!</v>
      </c>
      <c r="F12" s="74" t="e">
        <f t="shared" si="3"/>
        <v>#REF!</v>
      </c>
      <c r="G12" s="74" t="e">
        <f t="shared" si="3"/>
        <v>#REF!</v>
      </c>
      <c r="H12" s="74" t="e">
        <f>SUM(B12:G12)</f>
        <v>#REF!</v>
      </c>
      <c r="I12" s="1"/>
      <c r="J12" s="55" t="s">
        <v>4</v>
      </c>
      <c r="K12" s="68" t="e">
        <f>SUM(ENERO!K12+FEBRERO!K12+MARZO!K12+ABRIL!K12+MAYO!K12+#REF!+#REF!+#REF!+#REF!+#REF!+#REF!+#REF!)</f>
        <v>#REF!</v>
      </c>
      <c r="L12" s="68" t="e">
        <f>SUM(ENERO!L12+FEBRERO!L12+MARZO!L12+ABRIL!L12+MAYO!L12+#REF!+#REF!+#REF!+#REF!+#REF!+#REF!+#REF!)</f>
        <v>#REF!</v>
      </c>
      <c r="M12" s="68" t="e">
        <f>SUM(ENERO!M12+FEBRERO!M12+MARZO!M12+ABRIL!M12+MAYO!M12+#REF!+#REF!+#REF!+#REF!+#REF!+#REF!+#REF!)</f>
        <v>#REF!</v>
      </c>
      <c r="N12" s="68" t="e">
        <f>SUM(ENERO!N12+FEBRERO!N12+MARZO!N12+ABRIL!N12+MAYO!N12+#REF!+#REF!+#REF!+#REF!+#REF!+#REF!+#REF!)</f>
        <v>#REF!</v>
      </c>
      <c r="O12" s="68" t="e">
        <f>SUM(ENERO!O12+FEBRERO!O12+MARZO!O12+ABRIL!O12+MAYO!O12+#REF!+#REF!+#REF!+#REF!+#REF!+#REF!+#REF!)</f>
        <v>#REF!</v>
      </c>
      <c r="P12" s="68" t="e">
        <f>SUM(ENERO!P12+FEBRERO!P12+MARZO!P12+ABRIL!P12+MAYO!P12+#REF!+#REF!+#REF!+#REF!+#REF!+#REF!+#REF!)</f>
        <v>#REF!</v>
      </c>
      <c r="Q12" s="40" t="e">
        <f t="shared" si="2"/>
        <v>#REF!</v>
      </c>
      <c r="R12" s="4"/>
      <c r="S12" s="1"/>
    </row>
    <row r="13" spans="1:19" x14ac:dyDescent="0.25">
      <c r="A13" s="8" t="s">
        <v>17</v>
      </c>
      <c r="B13" s="17" t="e">
        <f>SUM(ENERO!B13+FEBRERO!B13+MARZO!B13+ABRIL!B13+MAYO!B13+#REF!+#REF!+#REF!+#REF!+#REF!+#REF!+#REF!)</f>
        <v>#REF!</v>
      </c>
      <c r="C13" s="17" t="e">
        <f>SUM(ENERO!C13+FEBRERO!C13+MARZO!C13+ABRIL!C13+MAYO!C13+#REF!+#REF!+#REF!+#REF!+#REF!+#REF!+#REF!)</f>
        <v>#REF!</v>
      </c>
      <c r="D13" s="17" t="e">
        <f>SUM(ENERO!D13+FEBRERO!D13+MARZO!D13+ABRIL!D13+MAYO!D13+#REF!+#REF!+#REF!+#REF!+#REF!+#REF!+#REF!)</f>
        <v>#REF!</v>
      </c>
      <c r="E13" s="17" t="e">
        <f>SUM(ENERO!E13+FEBRERO!E13+MARZO!E13+ABRIL!E13+MAYO!E13+#REF!+#REF!+#REF!+#REF!+#REF!+#REF!+#REF!)</f>
        <v>#REF!</v>
      </c>
      <c r="F13" s="17" t="e">
        <f>SUM(ENERO!F13+FEBRERO!F13+MARZO!F13+ABRIL!F13+MAYO!F13+#REF!+#REF!+#REF!+#REF!+#REF!+#REF!+#REF!)</f>
        <v>#REF!</v>
      </c>
      <c r="G13" s="17" t="e">
        <f>SUM(ENERO!G13+FEBRERO!G13+MARZO!G13+ABRIL!G13+MAYO!G13+#REF!+#REF!+#REF!+#REF!+#REF!+#REF!+#REF!)</f>
        <v>#REF!</v>
      </c>
      <c r="H13" s="12" t="e">
        <f>SUM(B13:G13)</f>
        <v>#REF!</v>
      </c>
      <c r="I13" s="1"/>
      <c r="J13" s="55" t="s">
        <v>81</v>
      </c>
      <c r="K13" s="68" t="e">
        <f>SUM(ENERO!K13+FEBRERO!K13+MARZO!K13+ABRIL!K13+MAYO!K13+#REF!+#REF!+#REF!+#REF!+#REF!+#REF!+#REF!)</f>
        <v>#REF!</v>
      </c>
      <c r="L13" s="68" t="e">
        <f>SUM(ENERO!L13+FEBRERO!L13+MARZO!L13+ABRIL!L13+MAYO!L13+#REF!+#REF!+#REF!+#REF!+#REF!+#REF!+#REF!)</f>
        <v>#REF!</v>
      </c>
      <c r="M13" s="68" t="e">
        <f>SUM(ENERO!M13+FEBRERO!M13+MARZO!M13+ABRIL!M13+MAYO!M13+#REF!+#REF!+#REF!+#REF!+#REF!+#REF!+#REF!)</f>
        <v>#REF!</v>
      </c>
      <c r="N13" s="68" t="e">
        <f>SUM(ENERO!N13+FEBRERO!N13+MARZO!N13+ABRIL!N13+MAYO!N13+#REF!+#REF!+#REF!+#REF!+#REF!+#REF!+#REF!)</f>
        <v>#REF!</v>
      </c>
      <c r="O13" s="68" t="e">
        <f>SUM(ENERO!O13+FEBRERO!O13+MARZO!O13+ABRIL!O13+MAYO!O13+#REF!+#REF!+#REF!+#REF!+#REF!+#REF!+#REF!)</f>
        <v>#REF!</v>
      </c>
      <c r="P13" s="68" t="e">
        <f>SUM(ENERO!P13+FEBRERO!P13+MARZO!P13+ABRIL!P13+MAYO!P13+#REF!+#REF!+#REF!+#REF!+#REF!+#REF!+#REF!)</f>
        <v>#REF!</v>
      </c>
      <c r="Q13" s="40" t="e">
        <f t="shared" si="2"/>
        <v>#REF!</v>
      </c>
      <c r="R13" s="4"/>
      <c r="S13" s="1"/>
    </row>
    <row r="14" spans="1:19" x14ac:dyDescent="0.25">
      <c r="A14" s="7" t="s">
        <v>18</v>
      </c>
      <c r="B14" s="17" t="e">
        <f>SUM(ENERO!B14+FEBRERO!B14+MARZO!B14+ABRIL!B14+MAYO!B14+#REF!+#REF!+#REF!+#REF!+#REF!+#REF!+#REF!)</f>
        <v>#REF!</v>
      </c>
      <c r="C14" s="17" t="e">
        <f>SUM(ENERO!C14+FEBRERO!C14+MARZO!C14+ABRIL!C14+MAYO!C14+#REF!+#REF!+#REF!+#REF!+#REF!+#REF!+#REF!)</f>
        <v>#REF!</v>
      </c>
      <c r="D14" s="17" t="e">
        <f>SUM(ENERO!D14+FEBRERO!D14+MARZO!D14+ABRIL!D14+MAYO!D14+#REF!+#REF!+#REF!+#REF!+#REF!+#REF!+#REF!)</f>
        <v>#REF!</v>
      </c>
      <c r="E14" s="17" t="e">
        <f>SUM(ENERO!E14+FEBRERO!E14+MARZO!E14+ABRIL!E14+MAYO!E14+#REF!+#REF!+#REF!+#REF!+#REF!+#REF!+#REF!)</f>
        <v>#REF!</v>
      </c>
      <c r="F14" s="17" t="e">
        <f>SUM(ENERO!F14+FEBRERO!F14+MARZO!F14+ABRIL!F14+MAYO!F14+#REF!+#REF!+#REF!+#REF!+#REF!+#REF!+#REF!)</f>
        <v>#REF!</v>
      </c>
      <c r="G14" s="17" t="e">
        <f>SUM(ENERO!G14+FEBRERO!G14+MARZO!G14+ABRIL!G14+MAYO!G14+#REF!+#REF!+#REF!+#REF!+#REF!+#REF!+#REF!)</f>
        <v>#REF!</v>
      </c>
      <c r="H14" s="12" t="e">
        <f t="shared" ref="H14:H48" si="4">SUM(B14:G14)</f>
        <v>#REF!</v>
      </c>
      <c r="I14" s="1"/>
      <c r="J14" s="56" t="s">
        <v>5</v>
      </c>
      <c r="K14" s="68" t="e">
        <f>SUM(ENERO!K14+FEBRERO!K14+MARZO!K14+ABRIL!K14+MAYO!K14+#REF!+#REF!+#REF!+#REF!+#REF!+#REF!+#REF!)</f>
        <v>#REF!</v>
      </c>
      <c r="L14" s="68" t="e">
        <f>SUM(ENERO!L14+FEBRERO!L14+MARZO!L14+ABRIL!L14+MAYO!L14+#REF!+#REF!+#REF!+#REF!+#REF!+#REF!+#REF!)</f>
        <v>#REF!</v>
      </c>
      <c r="M14" s="68" t="e">
        <f>SUM(ENERO!M14+FEBRERO!M14+MARZO!M14+ABRIL!M14+MAYO!M14+#REF!+#REF!+#REF!+#REF!+#REF!+#REF!+#REF!)</f>
        <v>#REF!</v>
      </c>
      <c r="N14" s="68" t="e">
        <f>SUM(ENERO!N14+FEBRERO!N14+MARZO!N14+ABRIL!N14+MAYO!N14+#REF!+#REF!+#REF!+#REF!+#REF!+#REF!+#REF!)</f>
        <v>#REF!</v>
      </c>
      <c r="O14" s="68" t="e">
        <f>SUM(ENERO!O14+FEBRERO!O14+MARZO!O14+ABRIL!O14+MAYO!O14+#REF!+#REF!+#REF!+#REF!+#REF!+#REF!+#REF!)</f>
        <v>#REF!</v>
      </c>
      <c r="P14" s="68" t="e">
        <f>SUM(ENERO!P14+FEBRERO!P14+MARZO!P14+ABRIL!P14+MAYO!P14+#REF!+#REF!+#REF!+#REF!+#REF!+#REF!+#REF!)</f>
        <v>#REF!</v>
      </c>
      <c r="Q14" s="40" t="e">
        <f>SUM(K14:P14)</f>
        <v>#REF!</v>
      </c>
      <c r="R14" s="4"/>
      <c r="S14" s="1"/>
    </row>
    <row r="15" spans="1:19" x14ac:dyDescent="0.25">
      <c r="A15" s="7" t="s">
        <v>19</v>
      </c>
      <c r="B15" s="17" t="e">
        <f>SUM(ENERO!B15+FEBRERO!B15+MARZO!B15+ABRIL!B15+MAYO!B15+#REF!+#REF!+#REF!+#REF!+#REF!+#REF!+#REF!)</f>
        <v>#REF!</v>
      </c>
      <c r="C15" s="17" t="e">
        <f>SUM(ENERO!C15+FEBRERO!C15+MARZO!C15+ABRIL!C15+MAYO!C15+#REF!+#REF!+#REF!+#REF!+#REF!+#REF!+#REF!)</f>
        <v>#REF!</v>
      </c>
      <c r="D15" s="17" t="e">
        <f>SUM(ENERO!D15+FEBRERO!D15+MARZO!D15+ABRIL!D15+MAYO!D15+#REF!+#REF!+#REF!+#REF!+#REF!+#REF!+#REF!)</f>
        <v>#REF!</v>
      </c>
      <c r="E15" s="17" t="e">
        <f>SUM(ENERO!E15+FEBRERO!E15+MARZO!E15+ABRIL!E15+MAYO!E15+#REF!+#REF!+#REF!+#REF!+#REF!+#REF!+#REF!)</f>
        <v>#REF!</v>
      </c>
      <c r="F15" s="17" t="e">
        <f>SUM(ENERO!F15+FEBRERO!F15+MARZO!F15+ABRIL!F15+MAYO!F15+#REF!+#REF!+#REF!+#REF!+#REF!+#REF!+#REF!)</f>
        <v>#REF!</v>
      </c>
      <c r="G15" s="17" t="e">
        <f>SUM(ENERO!G15+FEBRERO!G15+MARZO!G15+ABRIL!G15+MAYO!G15+#REF!+#REF!+#REF!+#REF!+#REF!+#REF!+#REF!)</f>
        <v>#REF!</v>
      </c>
      <c r="H15" s="12" t="e">
        <f>SUM(B15:G15)</f>
        <v>#REF!</v>
      </c>
      <c r="I15" s="1"/>
      <c r="J15" s="56" t="s">
        <v>80</v>
      </c>
      <c r="K15" s="68" t="e">
        <f>SUM(ENERO!K15+FEBRERO!K15+MARZO!K15+ABRIL!K15+MAYO!K15+#REF!+#REF!+#REF!+#REF!+#REF!+#REF!+#REF!)</f>
        <v>#REF!</v>
      </c>
      <c r="L15" s="68" t="e">
        <f>SUM(ENERO!L15+FEBRERO!L15+MARZO!L15+ABRIL!L15+MAYO!L15+#REF!+#REF!+#REF!+#REF!+#REF!+#REF!+#REF!)</f>
        <v>#REF!</v>
      </c>
      <c r="M15" s="68" t="e">
        <f>SUM(ENERO!M15+FEBRERO!M15+MARZO!M15+ABRIL!M15+MAYO!M15+#REF!+#REF!+#REF!+#REF!+#REF!+#REF!+#REF!)</f>
        <v>#REF!</v>
      </c>
      <c r="N15" s="68" t="e">
        <f>SUM(ENERO!N15+FEBRERO!N15+MARZO!N15+ABRIL!N15+MAYO!N15+#REF!+#REF!+#REF!+#REF!+#REF!+#REF!+#REF!)</f>
        <v>#REF!</v>
      </c>
      <c r="O15" s="68" t="e">
        <f>SUM(ENERO!O15+FEBRERO!O15+MARZO!O15+ABRIL!O15+MAYO!O15+#REF!+#REF!+#REF!+#REF!+#REF!+#REF!+#REF!)</f>
        <v>#REF!</v>
      </c>
      <c r="P15" s="68" t="e">
        <f>SUM(ENERO!P15+FEBRERO!P15+MARZO!P15+ABRIL!P15+MAYO!P15+#REF!+#REF!+#REF!+#REF!+#REF!+#REF!+#REF!)</f>
        <v>#REF!</v>
      </c>
      <c r="Q15" s="40" t="e">
        <f t="shared" si="2"/>
        <v>#REF!</v>
      </c>
      <c r="R15" s="4"/>
      <c r="S15" s="1"/>
    </row>
    <row r="16" spans="1:19" x14ac:dyDescent="0.25">
      <c r="A16" s="7" t="s">
        <v>27</v>
      </c>
      <c r="B16" s="17" t="e">
        <f>SUM(ENERO!B16+FEBRERO!B16+MARZO!B16+ABRIL!B16+MAYO!B16+#REF!+#REF!+#REF!+#REF!+#REF!+#REF!+#REF!)</f>
        <v>#REF!</v>
      </c>
      <c r="C16" s="17" t="e">
        <f>SUM(ENERO!C16+FEBRERO!C16+MARZO!C16+ABRIL!C16+MAYO!C16+#REF!+#REF!+#REF!+#REF!+#REF!+#REF!+#REF!)</f>
        <v>#REF!</v>
      </c>
      <c r="D16" s="17" t="e">
        <f>SUM(ENERO!D16+FEBRERO!D16+MARZO!D16+ABRIL!D16+MAYO!D16+#REF!+#REF!+#REF!+#REF!+#REF!+#REF!+#REF!)</f>
        <v>#REF!</v>
      </c>
      <c r="E16" s="17" t="e">
        <f>SUM(ENERO!E16+FEBRERO!E16+MARZO!E16+ABRIL!E16+MAYO!E16+#REF!+#REF!+#REF!+#REF!+#REF!+#REF!+#REF!)</f>
        <v>#REF!</v>
      </c>
      <c r="F16" s="17" t="e">
        <f>SUM(ENERO!F16+FEBRERO!F16+MARZO!F16+ABRIL!F16+MAYO!F16+#REF!+#REF!+#REF!+#REF!+#REF!+#REF!+#REF!)</f>
        <v>#REF!</v>
      </c>
      <c r="G16" s="17" t="e">
        <f>SUM(ENERO!G16+FEBRERO!G16+MARZO!G16+ABRIL!G16+MAYO!G16+#REF!+#REF!+#REF!+#REF!+#REF!+#REF!+#REF!)</f>
        <v>#REF!</v>
      </c>
      <c r="H16" s="12" t="e">
        <f t="shared" si="4"/>
        <v>#REF!</v>
      </c>
      <c r="I16" s="1"/>
      <c r="J16" s="57" t="s">
        <v>83</v>
      </c>
      <c r="K16" s="68" t="e">
        <f>SUM(ENERO!K16+FEBRERO!K16+MARZO!K16+ABRIL!K16+MAYO!K16+#REF!+#REF!+#REF!+#REF!+#REF!+#REF!+#REF!)</f>
        <v>#REF!</v>
      </c>
      <c r="L16" s="68" t="e">
        <f>SUM(ENERO!L16+FEBRERO!L16+MARZO!L16+ABRIL!L16+MAYO!L16+#REF!+#REF!+#REF!+#REF!+#REF!+#REF!+#REF!)</f>
        <v>#REF!</v>
      </c>
      <c r="M16" s="68" t="e">
        <f>SUM(ENERO!M16+FEBRERO!M16+MARZO!M16+ABRIL!M16+MAYO!M16+#REF!+#REF!+#REF!+#REF!+#REF!+#REF!+#REF!)</f>
        <v>#REF!</v>
      </c>
      <c r="N16" s="68" t="e">
        <f>SUM(ENERO!N16+FEBRERO!N16+MARZO!N16+ABRIL!N16+MAYO!N16+#REF!+#REF!+#REF!+#REF!+#REF!+#REF!+#REF!)</f>
        <v>#REF!</v>
      </c>
      <c r="O16" s="68" t="e">
        <f>SUM(ENERO!O16+FEBRERO!O16+MARZO!O16+ABRIL!O16+MAYO!O16+#REF!+#REF!+#REF!+#REF!+#REF!+#REF!+#REF!)</f>
        <v>#REF!</v>
      </c>
      <c r="P16" s="68" t="e">
        <f>SUM(ENERO!P16+FEBRERO!P16+MARZO!P16+ABRIL!P16+MAYO!P16+#REF!+#REF!+#REF!+#REF!+#REF!+#REF!+#REF!)</f>
        <v>#REF!</v>
      </c>
      <c r="Q16" s="40" t="e">
        <f t="shared" si="2"/>
        <v>#REF!</v>
      </c>
      <c r="R16" s="4"/>
      <c r="S16" s="1"/>
    </row>
    <row r="17" spans="1:19" x14ac:dyDescent="0.25">
      <c r="A17" s="7" t="s">
        <v>186</v>
      </c>
      <c r="B17" s="17" t="e">
        <f>SUM(ENERO!B17+FEBRERO!B17+MARZO!B17+ABRIL!B17+MAYO!B17+#REF!+#REF!+#REF!+#REF!+#REF!+#REF!+#REF!)</f>
        <v>#REF!</v>
      </c>
      <c r="C17" s="17" t="e">
        <f>SUM(ENERO!C17+FEBRERO!C17+MARZO!C17+ABRIL!C17+MAYO!C17+#REF!+#REF!+#REF!+#REF!+#REF!+#REF!+#REF!)</f>
        <v>#REF!</v>
      </c>
      <c r="D17" s="17" t="e">
        <f>SUM(ENERO!D17+FEBRERO!D17+MARZO!D17+ABRIL!D17+MAYO!D17+#REF!+#REF!+#REF!+#REF!+#REF!+#REF!+#REF!)</f>
        <v>#REF!</v>
      </c>
      <c r="E17" s="17" t="e">
        <f>SUM(ENERO!E17+FEBRERO!E17+MARZO!E17+ABRIL!E17+MAYO!E17+#REF!+#REF!+#REF!+#REF!+#REF!+#REF!+#REF!)</f>
        <v>#REF!</v>
      </c>
      <c r="F17" s="17" t="e">
        <f>SUM(ENERO!F17+FEBRERO!F17+MARZO!F17+ABRIL!F17+MAYO!F17+#REF!+#REF!+#REF!+#REF!+#REF!+#REF!+#REF!)</f>
        <v>#REF!</v>
      </c>
      <c r="G17" s="17" t="e">
        <f>SUM(ENERO!G17+FEBRERO!G17+MARZO!G17+ABRIL!G17+MAYO!G17+#REF!+#REF!+#REF!+#REF!+#REF!+#REF!+#REF!)</f>
        <v>#REF!</v>
      </c>
      <c r="H17" s="12" t="e">
        <f t="shared" si="4"/>
        <v>#REF!</v>
      </c>
      <c r="I17" s="1"/>
      <c r="J17" s="50" t="s">
        <v>162</v>
      </c>
      <c r="K17" s="68" t="e">
        <f>SUM(ENERO!K17+FEBRERO!K17+MARZO!K17+ABRIL!K17+MAYO!K17+#REF!+#REF!+#REF!+#REF!+#REF!+#REF!+#REF!)</f>
        <v>#REF!</v>
      </c>
      <c r="L17" s="68" t="e">
        <f>SUM(ENERO!L17+FEBRERO!L17+MARZO!L17+ABRIL!L17+MAYO!L17+#REF!+#REF!+#REF!+#REF!+#REF!+#REF!+#REF!)</f>
        <v>#REF!</v>
      </c>
      <c r="M17" s="68" t="e">
        <f>SUM(ENERO!M17+FEBRERO!M17+MARZO!M17+ABRIL!M17+MAYO!M17+#REF!+#REF!+#REF!+#REF!+#REF!+#REF!+#REF!)</f>
        <v>#REF!</v>
      </c>
      <c r="N17" s="68" t="e">
        <f>SUM(ENERO!N17+FEBRERO!N17+MARZO!N17+ABRIL!N17+MAYO!N17+#REF!+#REF!+#REF!+#REF!+#REF!+#REF!+#REF!)</f>
        <v>#REF!</v>
      </c>
      <c r="O17" s="68" t="e">
        <f>SUM(ENERO!O17+FEBRERO!O17+MARZO!O17+ABRIL!O17+MAYO!O17+#REF!+#REF!+#REF!+#REF!+#REF!+#REF!+#REF!)</f>
        <v>#REF!</v>
      </c>
      <c r="P17" s="68" t="e">
        <f>SUM(ENERO!P17+FEBRERO!P17+MARZO!P17+ABRIL!P17+MAYO!P17+#REF!+#REF!+#REF!+#REF!+#REF!+#REF!+#REF!)</f>
        <v>#REF!</v>
      </c>
      <c r="Q17" s="40" t="e">
        <f t="shared" si="2"/>
        <v>#REF!</v>
      </c>
      <c r="R17" s="4"/>
      <c r="S17" s="1"/>
    </row>
    <row r="18" spans="1:19" x14ac:dyDescent="0.25">
      <c r="A18" s="7" t="s">
        <v>188</v>
      </c>
      <c r="B18" s="17" t="e">
        <f>SUM(ENERO!B18+FEBRERO!B18+MARZO!B18+ABRIL!B18+MAYO!B18+#REF!+#REF!+#REF!+#REF!+#REF!+#REF!+#REF!)</f>
        <v>#REF!</v>
      </c>
      <c r="C18" s="17" t="e">
        <f>SUM(ENERO!C18+FEBRERO!C18+MARZO!C18+ABRIL!C18+MAYO!C18+#REF!+#REF!+#REF!+#REF!+#REF!+#REF!+#REF!)</f>
        <v>#REF!</v>
      </c>
      <c r="D18" s="17" t="e">
        <f>SUM(ENERO!D18+FEBRERO!D18+MARZO!D18+ABRIL!D18+MAYO!D18+#REF!+#REF!+#REF!+#REF!+#REF!+#REF!+#REF!)</f>
        <v>#REF!</v>
      </c>
      <c r="E18" s="17" t="e">
        <f>SUM(ENERO!E18+FEBRERO!E18+MARZO!E18+ABRIL!E18+MAYO!E18+#REF!+#REF!+#REF!+#REF!+#REF!+#REF!+#REF!)</f>
        <v>#REF!</v>
      </c>
      <c r="F18" s="17" t="e">
        <f>SUM(ENERO!F18+FEBRERO!F18+MARZO!F18+ABRIL!F18+MAYO!F18+#REF!+#REF!+#REF!+#REF!+#REF!+#REF!+#REF!)</f>
        <v>#REF!</v>
      </c>
      <c r="G18" s="17" t="e">
        <f>SUM(ENERO!G18+FEBRERO!G18+MARZO!G18+ABRIL!G18+MAYO!G18+#REF!+#REF!+#REF!+#REF!+#REF!+#REF!+#REF!)</f>
        <v>#REF!</v>
      </c>
      <c r="H18" s="12" t="e">
        <f t="shared" si="4"/>
        <v>#REF!</v>
      </c>
      <c r="I18" s="1"/>
      <c r="J18" s="50" t="s">
        <v>163</v>
      </c>
      <c r="K18" s="68" t="e">
        <f>SUM(ENERO!K18+FEBRERO!K18+MARZO!K18+ABRIL!K18+MAYO!K18+#REF!+#REF!+#REF!+#REF!+#REF!+#REF!+#REF!)</f>
        <v>#REF!</v>
      </c>
      <c r="L18" s="68" t="e">
        <f>SUM(ENERO!L18+FEBRERO!L18+MARZO!L18+ABRIL!L18+MAYO!L18+#REF!+#REF!+#REF!+#REF!+#REF!+#REF!+#REF!)</f>
        <v>#REF!</v>
      </c>
      <c r="M18" s="68" t="e">
        <f>SUM(ENERO!M18+FEBRERO!M18+MARZO!M18+ABRIL!M18+MAYO!M18+#REF!+#REF!+#REF!+#REF!+#REF!+#REF!+#REF!)</f>
        <v>#REF!</v>
      </c>
      <c r="N18" s="68" t="e">
        <f>SUM(ENERO!N18+FEBRERO!N18+MARZO!N18+ABRIL!N18+MAYO!N18+#REF!+#REF!+#REF!+#REF!+#REF!+#REF!+#REF!)</f>
        <v>#REF!</v>
      </c>
      <c r="O18" s="68" t="e">
        <f>SUM(ENERO!O18+FEBRERO!O18+MARZO!O18+ABRIL!O18+MAYO!O18+#REF!+#REF!+#REF!+#REF!+#REF!+#REF!+#REF!)</f>
        <v>#REF!</v>
      </c>
      <c r="P18" s="68" t="e">
        <f>SUM(ENERO!P18+FEBRERO!P18+MARZO!P18+ABRIL!P18+MAYO!P18+#REF!+#REF!+#REF!+#REF!+#REF!+#REF!+#REF!)</f>
        <v>#REF!</v>
      </c>
      <c r="Q18" s="40" t="e">
        <f t="shared" si="2"/>
        <v>#REF!</v>
      </c>
      <c r="R18" s="4"/>
      <c r="S18" s="1"/>
    </row>
    <row r="19" spans="1:19" x14ac:dyDescent="0.25">
      <c r="A19" s="7" t="s">
        <v>28</v>
      </c>
      <c r="B19" s="17" t="e">
        <f>SUM(ENERO!B19+FEBRERO!B19+MARZO!B19+ABRIL!B19+MAYO!B19+#REF!+#REF!+#REF!+#REF!+#REF!+#REF!+#REF!)</f>
        <v>#REF!</v>
      </c>
      <c r="C19" s="17" t="e">
        <f>SUM(ENERO!C19+FEBRERO!C19+MARZO!C19+ABRIL!C19+MAYO!C19+#REF!+#REF!+#REF!+#REF!+#REF!+#REF!+#REF!)</f>
        <v>#REF!</v>
      </c>
      <c r="D19" s="17" t="e">
        <f>SUM(ENERO!D19+FEBRERO!D19+MARZO!D19+ABRIL!D19+MAYO!D19+#REF!+#REF!+#REF!+#REF!+#REF!+#REF!+#REF!)</f>
        <v>#REF!</v>
      </c>
      <c r="E19" s="17" t="e">
        <f>SUM(ENERO!E19+FEBRERO!E19+MARZO!E19+ABRIL!E19+MAYO!E19+#REF!+#REF!+#REF!+#REF!+#REF!+#REF!+#REF!)</f>
        <v>#REF!</v>
      </c>
      <c r="F19" s="17" t="e">
        <f>SUM(ENERO!F19+FEBRERO!F19+MARZO!F19+ABRIL!F19+MAYO!F19+#REF!+#REF!+#REF!+#REF!+#REF!+#REF!+#REF!)</f>
        <v>#REF!</v>
      </c>
      <c r="G19" s="17" t="e">
        <f>SUM(ENERO!G19+FEBRERO!G19+MARZO!G19+ABRIL!G19+MAYO!G19+#REF!+#REF!+#REF!+#REF!+#REF!+#REF!+#REF!)</f>
        <v>#REF!</v>
      </c>
      <c r="H19" s="12" t="e">
        <f t="shared" si="4"/>
        <v>#REF!</v>
      </c>
      <c r="I19" s="1"/>
      <c r="J19" s="50" t="s">
        <v>164</v>
      </c>
      <c r="K19" s="68" t="e">
        <f>SUM(ENERO!K19+FEBRERO!K19+MARZO!K19+ABRIL!K19+MAYO!K19+#REF!+#REF!+#REF!+#REF!+#REF!+#REF!+#REF!)</f>
        <v>#REF!</v>
      </c>
      <c r="L19" s="68" t="e">
        <f>SUM(ENERO!L19+FEBRERO!L19+MARZO!L19+ABRIL!L19+MAYO!L19+#REF!+#REF!+#REF!+#REF!+#REF!+#REF!+#REF!)</f>
        <v>#REF!</v>
      </c>
      <c r="M19" s="68" t="e">
        <f>SUM(ENERO!M19+FEBRERO!M19+MARZO!M19+ABRIL!M19+MAYO!M19+#REF!+#REF!+#REF!+#REF!+#REF!+#REF!+#REF!)</f>
        <v>#REF!</v>
      </c>
      <c r="N19" s="68" t="e">
        <f>SUM(ENERO!N19+FEBRERO!N19+MARZO!N19+ABRIL!N19+MAYO!N19+#REF!+#REF!+#REF!+#REF!+#REF!+#REF!+#REF!)</f>
        <v>#REF!</v>
      </c>
      <c r="O19" s="68" t="e">
        <f>SUM(ENERO!O19+FEBRERO!O19+MARZO!O19+ABRIL!O19+MAYO!O19+#REF!+#REF!+#REF!+#REF!+#REF!+#REF!+#REF!)</f>
        <v>#REF!</v>
      </c>
      <c r="P19" s="68" t="e">
        <f>SUM(ENERO!P19+FEBRERO!P19+MARZO!P19+ABRIL!P19+MAYO!P19+#REF!+#REF!+#REF!+#REF!+#REF!+#REF!+#REF!)</f>
        <v>#REF!</v>
      </c>
      <c r="Q19" s="40" t="e">
        <f t="shared" si="2"/>
        <v>#REF!</v>
      </c>
      <c r="R19" s="4"/>
      <c r="S19" s="1"/>
    </row>
    <row r="20" spans="1:19" x14ac:dyDescent="0.25">
      <c r="A20" s="7" t="s">
        <v>29</v>
      </c>
      <c r="B20" s="17" t="e">
        <f>SUM(ENERO!B20+FEBRERO!B20+MARZO!B20+ABRIL!B20+MAYO!B20+#REF!+#REF!+#REF!+#REF!+#REF!+#REF!+#REF!)</f>
        <v>#REF!</v>
      </c>
      <c r="C20" s="17" t="e">
        <f>SUM(ENERO!C20+FEBRERO!C20+MARZO!C20+ABRIL!C20+MAYO!C20+#REF!+#REF!+#REF!+#REF!+#REF!+#REF!+#REF!)</f>
        <v>#REF!</v>
      </c>
      <c r="D20" s="17" t="e">
        <f>SUM(ENERO!D20+FEBRERO!D20+MARZO!D20+ABRIL!D20+MAYO!D20+#REF!+#REF!+#REF!+#REF!+#REF!+#REF!+#REF!)</f>
        <v>#REF!</v>
      </c>
      <c r="E20" s="17" t="e">
        <f>SUM(ENERO!E20+FEBRERO!E20+MARZO!E20+ABRIL!E20+MAYO!E20+#REF!+#REF!+#REF!+#REF!+#REF!+#REF!+#REF!)</f>
        <v>#REF!</v>
      </c>
      <c r="F20" s="17" t="e">
        <f>SUM(ENERO!F20+FEBRERO!F20+MARZO!F20+ABRIL!F20+MAYO!F20+#REF!+#REF!+#REF!+#REF!+#REF!+#REF!+#REF!)</f>
        <v>#REF!</v>
      </c>
      <c r="G20" s="17" t="e">
        <f>SUM(ENERO!G20+FEBRERO!G20+MARZO!G20+ABRIL!G20+MAYO!G20+#REF!+#REF!+#REF!+#REF!+#REF!+#REF!+#REF!)</f>
        <v>#REF!</v>
      </c>
      <c r="H20" s="12" t="e">
        <f t="shared" si="4"/>
        <v>#REF!</v>
      </c>
      <c r="I20" s="1"/>
      <c r="J20" s="50" t="s">
        <v>194</v>
      </c>
      <c r="K20" s="68" t="e">
        <f>SUM(ENERO!K20+FEBRERO!K20+MARZO!K20+ABRIL!K20+MAYO!K20+#REF!+#REF!+#REF!+#REF!+#REF!+#REF!+#REF!)</f>
        <v>#REF!</v>
      </c>
      <c r="L20" s="68" t="e">
        <f>SUM(ENERO!L20+FEBRERO!L20+MARZO!L20+ABRIL!L20+MAYO!L20+#REF!+#REF!+#REF!+#REF!+#REF!+#REF!+#REF!)</f>
        <v>#REF!</v>
      </c>
      <c r="M20" s="68" t="e">
        <f>SUM(ENERO!M20+FEBRERO!M20+MARZO!M20+ABRIL!M20+MAYO!M20+#REF!+#REF!+#REF!+#REF!+#REF!+#REF!+#REF!)</f>
        <v>#REF!</v>
      </c>
      <c r="N20" s="68" t="e">
        <f>SUM(ENERO!N20+FEBRERO!N20+MARZO!N20+ABRIL!N20+MAYO!N20+#REF!+#REF!+#REF!+#REF!+#REF!+#REF!+#REF!)</f>
        <v>#REF!</v>
      </c>
      <c r="O20" s="68" t="e">
        <f>SUM(ENERO!O20+FEBRERO!O20+MARZO!O20+ABRIL!O20+MAYO!O20+#REF!+#REF!+#REF!+#REF!+#REF!+#REF!+#REF!)</f>
        <v>#REF!</v>
      </c>
      <c r="P20" s="68" t="e">
        <f>SUM(ENERO!P20+FEBRERO!P20+MARZO!P20+ABRIL!P20+MAYO!P20+#REF!+#REF!+#REF!+#REF!+#REF!+#REF!+#REF!)</f>
        <v>#REF!</v>
      </c>
      <c r="Q20" s="40" t="e">
        <f t="shared" si="2"/>
        <v>#REF!</v>
      </c>
      <c r="R20" s="4"/>
      <c r="S20" s="1"/>
    </row>
    <row r="21" spans="1:19" x14ac:dyDescent="0.25">
      <c r="A21" s="7" t="s">
        <v>20</v>
      </c>
      <c r="B21" s="17" t="e">
        <f>SUM(ENERO!B21+FEBRERO!B21+MARZO!B21+ABRIL!B21+MAYO!B21+#REF!+#REF!+#REF!+#REF!+#REF!+#REF!+#REF!)</f>
        <v>#REF!</v>
      </c>
      <c r="C21" s="17" t="e">
        <f>SUM(ENERO!C21+FEBRERO!C21+MARZO!C21+ABRIL!C21+MAYO!C21+#REF!+#REF!+#REF!+#REF!+#REF!+#REF!+#REF!)</f>
        <v>#REF!</v>
      </c>
      <c r="D21" s="17" t="e">
        <f>SUM(ENERO!D21+FEBRERO!D21+MARZO!D21+ABRIL!D21+MAYO!D21+#REF!+#REF!+#REF!+#REF!+#REF!+#REF!+#REF!)</f>
        <v>#REF!</v>
      </c>
      <c r="E21" s="17" t="e">
        <f>SUM(ENERO!E21+FEBRERO!E21+MARZO!E21+ABRIL!E21+MAYO!E21+#REF!+#REF!+#REF!+#REF!+#REF!+#REF!+#REF!)</f>
        <v>#REF!</v>
      </c>
      <c r="F21" s="17" t="e">
        <f>SUM(ENERO!F21+FEBRERO!F21+MARZO!F21+ABRIL!F21+MAYO!F21+#REF!+#REF!+#REF!+#REF!+#REF!+#REF!+#REF!)</f>
        <v>#REF!</v>
      </c>
      <c r="G21" s="17" t="e">
        <f>SUM(ENERO!G21+FEBRERO!G21+MARZO!G21+ABRIL!G21+MAYO!G21+#REF!+#REF!+#REF!+#REF!+#REF!+#REF!+#REF!)</f>
        <v>#REF!</v>
      </c>
      <c r="H21" s="12" t="e">
        <f t="shared" si="4"/>
        <v>#REF!</v>
      </c>
      <c r="I21" s="1"/>
      <c r="J21" s="50" t="s">
        <v>221</v>
      </c>
      <c r="K21" s="68" t="e">
        <f>SUM(ENERO!K21+FEBRERO!K21+MARZO!K21+ABRIL!K21+MAYO!K21+#REF!+#REF!+#REF!+#REF!+#REF!+#REF!+#REF!)</f>
        <v>#REF!</v>
      </c>
      <c r="L21" s="68" t="e">
        <f>SUM(ENERO!L21+FEBRERO!L21+MARZO!L21+ABRIL!L21+MAYO!L21+#REF!+#REF!+#REF!+#REF!+#REF!+#REF!+#REF!)</f>
        <v>#REF!</v>
      </c>
      <c r="M21" s="68" t="e">
        <f>SUM(ENERO!M21+FEBRERO!M21+MARZO!M21+ABRIL!M21+MAYO!M21+#REF!+#REF!+#REF!+#REF!+#REF!+#REF!+#REF!)</f>
        <v>#REF!</v>
      </c>
      <c r="N21" s="68" t="e">
        <f>SUM(ENERO!N21+FEBRERO!N21+MARZO!N21+ABRIL!N21+MAYO!N21+#REF!+#REF!+#REF!+#REF!+#REF!+#REF!+#REF!)</f>
        <v>#REF!</v>
      </c>
      <c r="O21" s="68" t="e">
        <f>SUM(ENERO!O21+FEBRERO!O21+MARZO!O21+ABRIL!O21+MAYO!O21+#REF!+#REF!+#REF!+#REF!+#REF!+#REF!+#REF!)</f>
        <v>#REF!</v>
      </c>
      <c r="P21" s="68" t="e">
        <f>SUM(ENERO!P21+FEBRERO!P21+MARZO!P21+ABRIL!P21+MAYO!P21+#REF!+#REF!+#REF!+#REF!+#REF!+#REF!+#REF!)</f>
        <v>#REF!</v>
      </c>
      <c r="Q21" s="40" t="e">
        <f t="shared" si="2"/>
        <v>#REF!</v>
      </c>
      <c r="R21" s="4"/>
      <c r="S21" s="1"/>
    </row>
    <row r="22" spans="1:19" x14ac:dyDescent="0.25">
      <c r="A22" s="7" t="s">
        <v>25</v>
      </c>
      <c r="B22" s="17" t="e">
        <f>SUM(ENERO!B22+FEBRERO!B22+MARZO!B22+ABRIL!B22+MAYO!B22+#REF!+#REF!+#REF!+#REF!+#REF!+#REF!+#REF!)</f>
        <v>#REF!</v>
      </c>
      <c r="C22" s="17" t="e">
        <f>SUM(ENERO!C22+FEBRERO!C22+MARZO!C22+ABRIL!C22+MAYO!C22+#REF!+#REF!+#REF!+#REF!+#REF!+#REF!+#REF!)</f>
        <v>#REF!</v>
      </c>
      <c r="D22" s="17" t="e">
        <f>SUM(ENERO!D22+FEBRERO!D22+MARZO!D22+ABRIL!D22+MAYO!D22+#REF!+#REF!+#REF!+#REF!+#REF!+#REF!+#REF!)</f>
        <v>#REF!</v>
      </c>
      <c r="E22" s="17" t="e">
        <f>SUM(ENERO!E22+FEBRERO!E22+MARZO!E22+ABRIL!E22+MAYO!E22+#REF!+#REF!+#REF!+#REF!+#REF!+#REF!+#REF!)</f>
        <v>#REF!</v>
      </c>
      <c r="F22" s="17" t="e">
        <f>SUM(ENERO!F22+FEBRERO!F22+MARZO!F22+ABRIL!F22+MAYO!F22+#REF!+#REF!+#REF!+#REF!+#REF!+#REF!+#REF!)</f>
        <v>#REF!</v>
      </c>
      <c r="G22" s="17" t="e">
        <f>SUM(ENERO!G22+FEBRERO!G22+MARZO!G22+ABRIL!G22+MAYO!G22+#REF!+#REF!+#REF!+#REF!+#REF!+#REF!+#REF!)</f>
        <v>#REF!</v>
      </c>
      <c r="H22" s="12" t="e">
        <f t="shared" si="4"/>
        <v>#REF!</v>
      </c>
      <c r="I22" s="1"/>
      <c r="J22" s="58" t="s">
        <v>6</v>
      </c>
      <c r="K22" s="68" t="e">
        <f>SUM(ENERO!K22+FEBRERO!K22+MARZO!K22+ABRIL!K22+MAYO!K22+#REF!+#REF!+#REF!+#REF!+#REF!+#REF!+#REF!)</f>
        <v>#REF!</v>
      </c>
      <c r="L22" s="68" t="e">
        <f>SUM(ENERO!L22+FEBRERO!L22+MARZO!L22+ABRIL!L22+MAYO!L22+#REF!+#REF!+#REF!+#REF!+#REF!+#REF!+#REF!)</f>
        <v>#REF!</v>
      </c>
      <c r="M22" s="68" t="e">
        <f>SUM(ENERO!M22+FEBRERO!M22+MARZO!M22+ABRIL!M22+MAYO!M22+#REF!+#REF!+#REF!+#REF!+#REF!+#REF!+#REF!)</f>
        <v>#REF!</v>
      </c>
      <c r="N22" s="68" t="e">
        <f>SUM(ENERO!N22+FEBRERO!N22+MARZO!N22+ABRIL!N22+MAYO!N22+#REF!+#REF!+#REF!+#REF!+#REF!+#REF!+#REF!)</f>
        <v>#REF!</v>
      </c>
      <c r="O22" s="68" t="e">
        <f>SUM(ENERO!O22+FEBRERO!O22+MARZO!O22+ABRIL!O22+MAYO!O22+#REF!+#REF!+#REF!+#REF!+#REF!+#REF!+#REF!)</f>
        <v>#REF!</v>
      </c>
      <c r="P22" s="68" t="e">
        <f>SUM(ENERO!P22+FEBRERO!P22+MARZO!P22+ABRIL!P22+MAYO!P22+#REF!+#REF!+#REF!+#REF!+#REF!+#REF!+#REF!)</f>
        <v>#REF!</v>
      </c>
      <c r="Q22" s="40" t="e">
        <f t="shared" si="2"/>
        <v>#REF!</v>
      </c>
      <c r="R22" s="4"/>
      <c r="S22" s="1"/>
    </row>
    <row r="23" spans="1:19" ht="15.75" thickBot="1" x14ac:dyDescent="0.3">
      <c r="A23" s="7" t="s">
        <v>218</v>
      </c>
      <c r="B23" s="17" t="e">
        <f>SUM(ENERO!B23+FEBRERO!B23+MARZO!B23+ABRIL!B23+MAYO!B23+#REF!+#REF!+#REF!+#REF!+#REF!+#REF!+#REF!)</f>
        <v>#REF!</v>
      </c>
      <c r="C23" s="17" t="e">
        <f>SUM(ENERO!C23+FEBRERO!C23+MARZO!C23+ABRIL!C23+MAYO!C23+#REF!+#REF!+#REF!+#REF!+#REF!+#REF!+#REF!)</f>
        <v>#REF!</v>
      </c>
      <c r="D23" s="17" t="e">
        <f>SUM(ENERO!D23+FEBRERO!D23+MARZO!D23+ABRIL!D23+MAYO!D23+#REF!+#REF!+#REF!+#REF!+#REF!+#REF!+#REF!)</f>
        <v>#REF!</v>
      </c>
      <c r="E23" s="17" t="e">
        <f>SUM(ENERO!E23+FEBRERO!E23+MARZO!E23+ABRIL!E23+MAYO!E23+#REF!+#REF!+#REF!+#REF!+#REF!+#REF!+#REF!)</f>
        <v>#REF!</v>
      </c>
      <c r="F23" s="17" t="e">
        <f>SUM(ENERO!F23+FEBRERO!F23+MARZO!F23+ABRIL!F23+MAYO!F23+#REF!+#REF!+#REF!+#REF!+#REF!+#REF!+#REF!)</f>
        <v>#REF!</v>
      </c>
      <c r="G23" s="17" t="e">
        <f>SUM(ENERO!G23+FEBRERO!G23+MARZO!G23+ABRIL!G23+MAYO!G23+#REF!+#REF!+#REF!+#REF!+#REF!+#REF!+#REF!)</f>
        <v>#REF!</v>
      </c>
      <c r="H23" s="12" t="e">
        <f t="shared" si="4"/>
        <v>#REF!</v>
      </c>
      <c r="I23" s="1"/>
      <c r="J23" s="59" t="s">
        <v>7</v>
      </c>
      <c r="K23" s="94" t="e">
        <f>SUM(ENERO!K23+FEBRERO!K23+MARZO!K23+ABRIL!K23+MAYO!K23+#REF!+#REF!+#REF!+#REF!+#REF!+#REF!+#REF!)</f>
        <v>#REF!</v>
      </c>
      <c r="L23" s="94" t="e">
        <f>SUM(ENERO!L23+FEBRERO!L23+MARZO!L23+ABRIL!L23+MAYO!L23+#REF!+#REF!+#REF!+#REF!+#REF!+#REF!+#REF!)</f>
        <v>#REF!</v>
      </c>
      <c r="M23" s="94" t="e">
        <f>SUM(ENERO!M23+FEBRERO!M23+MARZO!M23+ABRIL!M23+MAYO!M23+#REF!+#REF!+#REF!+#REF!+#REF!+#REF!+#REF!)</f>
        <v>#REF!</v>
      </c>
      <c r="N23" s="94" t="e">
        <f>SUM(ENERO!N23+FEBRERO!N23+MARZO!N23+ABRIL!N23+MAYO!N23+#REF!+#REF!+#REF!+#REF!+#REF!+#REF!+#REF!)</f>
        <v>#REF!</v>
      </c>
      <c r="O23" s="94" t="e">
        <f>SUM(ENERO!O23+FEBRERO!O23+MARZO!O23+ABRIL!O23+MAYO!O23+#REF!+#REF!+#REF!+#REF!+#REF!+#REF!+#REF!)</f>
        <v>#REF!</v>
      </c>
      <c r="P23" s="94" t="e">
        <f>SUM(ENERO!P23+FEBRERO!P23+MARZO!P23+ABRIL!P23+MAYO!P23+#REF!+#REF!+#REF!+#REF!+#REF!+#REF!+#REF!)</f>
        <v>#REF!</v>
      </c>
      <c r="Q23" s="46" t="e">
        <f t="shared" si="2"/>
        <v>#REF!</v>
      </c>
      <c r="R23" s="4"/>
      <c r="S23" s="1"/>
    </row>
    <row r="24" spans="1:19" x14ac:dyDescent="0.25">
      <c r="A24" s="7" t="s">
        <v>21</v>
      </c>
      <c r="B24" s="17" t="e">
        <f>SUM(ENERO!B24+FEBRERO!B24+MARZO!B24+ABRIL!B24+MAYO!B24+#REF!+#REF!+#REF!+#REF!+#REF!+#REF!+#REF!)</f>
        <v>#REF!</v>
      </c>
      <c r="C24" s="17" t="e">
        <f>SUM(ENERO!C24+FEBRERO!C24+MARZO!C24+ABRIL!C24+MAYO!C24+#REF!+#REF!+#REF!+#REF!+#REF!+#REF!+#REF!)</f>
        <v>#REF!</v>
      </c>
      <c r="D24" s="17" t="e">
        <f>SUM(ENERO!D24+FEBRERO!D24+MARZO!D24+ABRIL!D24+MAYO!D24+#REF!+#REF!+#REF!+#REF!+#REF!+#REF!+#REF!)</f>
        <v>#REF!</v>
      </c>
      <c r="E24" s="17" t="e">
        <f>SUM(ENERO!E24+FEBRERO!E24+MARZO!E24+ABRIL!E24+MAYO!E24+#REF!+#REF!+#REF!+#REF!+#REF!+#REF!+#REF!)</f>
        <v>#REF!</v>
      </c>
      <c r="F24" s="17" t="e">
        <f>SUM(ENERO!F24+FEBRERO!F24+MARZO!F24+ABRIL!F24+MAYO!F24+#REF!+#REF!+#REF!+#REF!+#REF!+#REF!+#REF!)</f>
        <v>#REF!</v>
      </c>
      <c r="G24" s="17" t="e">
        <f>SUM(ENERO!G24+FEBRERO!G24+MARZO!G24+ABRIL!G24+MAYO!G24+#REF!+#REF!+#REF!+#REF!+#REF!+#REF!+#REF!)</f>
        <v>#REF!</v>
      </c>
      <c r="H24" s="12" t="e">
        <f t="shared" si="4"/>
        <v>#REF!</v>
      </c>
      <c r="I24" s="1"/>
      <c r="J24" s="1"/>
      <c r="K24" s="1"/>
      <c r="L24" s="1"/>
      <c r="M24" s="1"/>
      <c r="N24" s="1"/>
      <c r="O24" s="1"/>
      <c r="P24" s="1"/>
      <c r="Q24" s="1"/>
      <c r="R24" s="4"/>
      <c r="S24" s="1"/>
    </row>
    <row r="25" spans="1:19" ht="15.75" thickBot="1" x14ac:dyDescent="0.3">
      <c r="A25" s="7" t="s">
        <v>24</v>
      </c>
      <c r="B25" s="17" t="e">
        <f>SUM(ENERO!B25+FEBRERO!B25+MARZO!B25+ABRIL!B25+MAYO!B25+#REF!+#REF!+#REF!+#REF!+#REF!+#REF!+#REF!)</f>
        <v>#REF!</v>
      </c>
      <c r="C25" s="17" t="e">
        <f>SUM(ENERO!C25+FEBRERO!C25+MARZO!C25+ABRIL!C25+MAYO!C25+#REF!+#REF!+#REF!+#REF!+#REF!+#REF!+#REF!)</f>
        <v>#REF!</v>
      </c>
      <c r="D25" s="17" t="e">
        <f>SUM(ENERO!D25+FEBRERO!D25+MARZO!D25+ABRIL!D25+MAYO!D25+#REF!+#REF!+#REF!+#REF!+#REF!+#REF!+#REF!)</f>
        <v>#REF!</v>
      </c>
      <c r="E25" s="17" t="e">
        <f>SUM(ENERO!E25+FEBRERO!E25+MARZO!E25+ABRIL!E25+MAYO!E25+#REF!+#REF!+#REF!+#REF!+#REF!+#REF!+#REF!)</f>
        <v>#REF!</v>
      </c>
      <c r="F25" s="17" t="e">
        <f>SUM(ENERO!F25+FEBRERO!F25+MARZO!F25+ABRIL!F25+MAYO!F25+#REF!+#REF!+#REF!+#REF!+#REF!+#REF!+#REF!)</f>
        <v>#REF!</v>
      </c>
      <c r="G25" s="17" t="e">
        <f>SUM(ENERO!G25+FEBRERO!G25+MARZO!G25+ABRIL!G25+MAYO!G25+#REF!+#REF!+#REF!+#REF!+#REF!+#REF!+#REF!)</f>
        <v>#REF!</v>
      </c>
      <c r="H25" s="12" t="e">
        <f t="shared" si="4"/>
        <v>#REF!</v>
      </c>
      <c r="I25" s="1"/>
      <c r="J25" s="1"/>
      <c r="K25" s="1"/>
      <c r="L25" s="1"/>
      <c r="M25" s="1"/>
      <c r="N25" s="1"/>
      <c r="O25" s="1"/>
      <c r="P25" s="1"/>
      <c r="Q25" s="1"/>
      <c r="R25" s="4"/>
      <c r="S25" s="1"/>
    </row>
    <row r="26" spans="1:19" x14ac:dyDescent="0.25">
      <c r="A26" s="7" t="s">
        <v>79</v>
      </c>
      <c r="B26" s="17" t="e">
        <f>SUM(ENERO!B26+FEBRERO!B26+MARZO!B26+ABRIL!B26+MAYO!B26+#REF!+#REF!+#REF!+#REF!+#REF!+#REF!+#REF!)</f>
        <v>#REF!</v>
      </c>
      <c r="C26" s="17" t="e">
        <f>SUM(ENERO!C26+FEBRERO!C26+MARZO!C26+ABRIL!C26+MAYO!C26+#REF!+#REF!+#REF!+#REF!+#REF!+#REF!+#REF!)</f>
        <v>#REF!</v>
      </c>
      <c r="D26" s="17" t="e">
        <f>SUM(ENERO!D26+FEBRERO!D26+MARZO!D26+ABRIL!D26+MAYO!D26+#REF!+#REF!+#REF!+#REF!+#REF!+#REF!+#REF!)</f>
        <v>#REF!</v>
      </c>
      <c r="E26" s="17" t="e">
        <f>SUM(ENERO!E26+FEBRERO!E26+MARZO!E26+ABRIL!E26+MAYO!E26+#REF!+#REF!+#REF!+#REF!+#REF!+#REF!+#REF!)</f>
        <v>#REF!</v>
      </c>
      <c r="F26" s="17" t="e">
        <f>SUM(ENERO!F26+FEBRERO!F26+MARZO!F26+ABRIL!F26+MAYO!F26+#REF!+#REF!+#REF!+#REF!+#REF!+#REF!+#REF!)</f>
        <v>#REF!</v>
      </c>
      <c r="G26" s="17" t="e">
        <f>SUM(ENERO!G26+FEBRERO!G26+MARZO!G26+ABRIL!G26+MAYO!G26+#REF!+#REF!+#REF!+#REF!+#REF!+#REF!+#REF!)</f>
        <v>#REF!</v>
      </c>
      <c r="H26" s="12" t="e">
        <f t="shared" si="4"/>
        <v>#REF!</v>
      </c>
      <c r="I26" s="1"/>
      <c r="J26" s="151" t="s">
        <v>169</v>
      </c>
      <c r="K26" s="153" t="s">
        <v>11</v>
      </c>
      <c r="L26" s="153"/>
      <c r="M26" s="153"/>
      <c r="N26" s="153"/>
      <c r="O26" s="153"/>
      <c r="P26" s="153"/>
      <c r="Q26" s="154"/>
      <c r="R26" s="4"/>
      <c r="S26" s="1"/>
    </row>
    <row r="27" spans="1:19" x14ac:dyDescent="0.25">
      <c r="A27" s="7" t="s">
        <v>75</v>
      </c>
      <c r="B27" s="17" t="e">
        <f>SUM(ENERO!B27+FEBRERO!B27+MARZO!B27+ABRIL!B27+MAYO!B27+#REF!+#REF!+#REF!+#REF!+#REF!+#REF!+#REF!)</f>
        <v>#REF!</v>
      </c>
      <c r="C27" s="17" t="e">
        <f>SUM(ENERO!C27+FEBRERO!C27+MARZO!C27+ABRIL!C27+MAYO!C27+#REF!+#REF!+#REF!+#REF!+#REF!+#REF!+#REF!)</f>
        <v>#REF!</v>
      </c>
      <c r="D27" s="17" t="e">
        <f>SUM(ENERO!D27+FEBRERO!D27+MARZO!D27+ABRIL!D27+MAYO!D27+#REF!+#REF!+#REF!+#REF!+#REF!+#REF!+#REF!)</f>
        <v>#REF!</v>
      </c>
      <c r="E27" s="17" t="e">
        <f>SUM(ENERO!E27+FEBRERO!E27+MARZO!E27+ABRIL!E27+MAYO!E27+#REF!+#REF!+#REF!+#REF!+#REF!+#REF!+#REF!)</f>
        <v>#REF!</v>
      </c>
      <c r="F27" s="17" t="e">
        <f>SUM(ENERO!F27+FEBRERO!F27+MARZO!F27+ABRIL!F27+MAYO!F27+#REF!+#REF!+#REF!+#REF!+#REF!+#REF!+#REF!)</f>
        <v>#REF!</v>
      </c>
      <c r="G27" s="17" t="e">
        <f>SUM(ENERO!G27+FEBRERO!G27+MARZO!G27+ABRIL!G27+MAYO!G27+#REF!+#REF!+#REF!+#REF!+#REF!+#REF!+#REF!)</f>
        <v>#REF!</v>
      </c>
      <c r="H27" s="12" t="e">
        <f t="shared" si="4"/>
        <v>#REF!</v>
      </c>
      <c r="I27" s="1"/>
      <c r="J27" s="152"/>
      <c r="K27" s="30" t="s">
        <v>8</v>
      </c>
      <c r="L27" s="30" t="s">
        <v>9</v>
      </c>
      <c r="M27" s="30" t="s">
        <v>176</v>
      </c>
      <c r="N27" s="30" t="s">
        <v>154</v>
      </c>
      <c r="O27" s="30" t="s">
        <v>155</v>
      </c>
      <c r="P27" s="60" t="s">
        <v>147</v>
      </c>
      <c r="Q27" s="54" t="s">
        <v>11</v>
      </c>
      <c r="R27" s="4"/>
      <c r="S27" s="1"/>
    </row>
    <row r="28" spans="1:19" x14ac:dyDescent="0.25">
      <c r="A28" s="7" t="s">
        <v>76</v>
      </c>
      <c r="B28" s="17" t="e">
        <f>SUM(ENERO!B28+FEBRERO!B28+MARZO!B28+ABRIL!B28+MAYO!B28+#REF!+#REF!+#REF!+#REF!+#REF!+#REF!+#REF!)</f>
        <v>#REF!</v>
      </c>
      <c r="C28" s="17" t="e">
        <f>SUM(ENERO!C28+FEBRERO!C28+MARZO!C28+ABRIL!C28+MAYO!C28+#REF!+#REF!+#REF!+#REF!+#REF!+#REF!+#REF!)</f>
        <v>#REF!</v>
      </c>
      <c r="D28" s="17" t="e">
        <f>SUM(ENERO!D28+FEBRERO!D28+MARZO!D28+ABRIL!D28+MAYO!D28+#REF!+#REF!+#REF!+#REF!+#REF!+#REF!+#REF!)</f>
        <v>#REF!</v>
      </c>
      <c r="E28" s="17" t="e">
        <f>SUM(ENERO!E28+FEBRERO!E28+MARZO!E28+ABRIL!E28+MAYO!E28+#REF!+#REF!+#REF!+#REF!+#REF!+#REF!+#REF!)</f>
        <v>#REF!</v>
      </c>
      <c r="F28" s="17" t="e">
        <f>SUM(ENERO!F28+FEBRERO!F28+MARZO!F28+ABRIL!F28+MAYO!F28+#REF!+#REF!+#REF!+#REF!+#REF!+#REF!+#REF!)</f>
        <v>#REF!</v>
      </c>
      <c r="G28" s="17" t="e">
        <f>SUM(ENERO!G28+FEBRERO!G28+MARZO!G28+ABRIL!G28+MAYO!G28+#REF!+#REF!+#REF!+#REF!+#REF!+#REF!+#REF!)</f>
        <v>#REF!</v>
      </c>
      <c r="H28" s="12" t="e">
        <f t="shared" si="4"/>
        <v>#REF!</v>
      </c>
      <c r="I28" s="1"/>
      <c r="J28" s="79" t="s">
        <v>146</v>
      </c>
      <c r="K28" s="74" t="e">
        <f t="shared" ref="K28:P28" si="5">SUM(K29:K37)</f>
        <v>#REF!</v>
      </c>
      <c r="L28" s="74" t="e">
        <f t="shared" si="5"/>
        <v>#REF!</v>
      </c>
      <c r="M28" s="74" t="e">
        <f t="shared" si="5"/>
        <v>#REF!</v>
      </c>
      <c r="N28" s="74" t="e">
        <f t="shared" si="5"/>
        <v>#REF!</v>
      </c>
      <c r="O28" s="74" t="e">
        <f t="shared" si="5"/>
        <v>#REF!</v>
      </c>
      <c r="P28" s="74" t="e">
        <f t="shared" si="5"/>
        <v>#REF!</v>
      </c>
      <c r="Q28" s="80" t="e">
        <f>SUM(K28:P28)</f>
        <v>#REF!</v>
      </c>
      <c r="R28" s="4"/>
      <c r="S28" s="1"/>
    </row>
    <row r="29" spans="1:19" x14ac:dyDescent="0.25">
      <c r="A29" s="7" t="s">
        <v>74</v>
      </c>
      <c r="B29" s="17" t="e">
        <f>SUM(ENERO!B29+FEBRERO!B29+MARZO!B29+ABRIL!B29+MAYO!B29+#REF!+#REF!+#REF!+#REF!+#REF!+#REF!+#REF!)</f>
        <v>#REF!</v>
      </c>
      <c r="C29" s="17" t="e">
        <f>SUM(ENERO!C29+FEBRERO!C29+MARZO!C29+ABRIL!C29+MAYO!C29+#REF!+#REF!+#REF!+#REF!+#REF!+#REF!+#REF!)</f>
        <v>#REF!</v>
      </c>
      <c r="D29" s="17" t="e">
        <f>SUM(ENERO!D29+FEBRERO!D29+MARZO!D29+ABRIL!D29+MAYO!D29+#REF!+#REF!+#REF!+#REF!+#REF!+#REF!+#REF!)</f>
        <v>#REF!</v>
      </c>
      <c r="E29" s="17" t="e">
        <f>SUM(ENERO!E29+FEBRERO!E29+MARZO!E29+ABRIL!E29+MAYO!E29+#REF!+#REF!+#REF!+#REF!+#REF!+#REF!+#REF!)</f>
        <v>#REF!</v>
      </c>
      <c r="F29" s="17" t="e">
        <f>SUM(ENERO!F29+FEBRERO!F29+MARZO!F29+ABRIL!F29+MAYO!F29+#REF!+#REF!+#REF!+#REF!+#REF!+#REF!+#REF!)</f>
        <v>#REF!</v>
      </c>
      <c r="G29" s="17" t="e">
        <f>SUM(ENERO!G29+FEBRERO!G29+MARZO!G29+ABRIL!G29+MAYO!G29+#REF!+#REF!+#REF!+#REF!+#REF!+#REF!+#REF!)</f>
        <v>#REF!</v>
      </c>
      <c r="H29" s="12" t="e">
        <f t="shared" si="4"/>
        <v>#REF!</v>
      </c>
      <c r="I29" s="1"/>
      <c r="J29" s="45" t="s">
        <v>64</v>
      </c>
      <c r="K29" s="68" t="e">
        <f>SUM(ENERO!K29+FEBRERO!K29+MARZO!K29+ABRIL!K29+MAYO!K29+#REF!+#REF!+#REF!+#REF!+#REF!+#REF!+#REF!)</f>
        <v>#REF!</v>
      </c>
      <c r="L29" s="68" t="e">
        <f>SUM(ENERO!L29+FEBRERO!L29+MARZO!L29+ABRIL!L29+MAYO!L29+#REF!+#REF!+#REF!+#REF!+#REF!+#REF!+#REF!)</f>
        <v>#REF!</v>
      </c>
      <c r="M29" s="68" t="e">
        <f>SUM(ENERO!M29+FEBRERO!M29+MARZO!M29+ABRIL!M29+MAYO!M29+#REF!+#REF!+#REF!+#REF!+#REF!+#REF!+#REF!)</f>
        <v>#REF!</v>
      </c>
      <c r="N29" s="68" t="e">
        <f>SUM(ENERO!N29+FEBRERO!N29+MARZO!N29+ABRIL!N29+MAYO!N29+#REF!+#REF!+#REF!+#REF!+#REF!+#REF!+#REF!)</f>
        <v>#REF!</v>
      </c>
      <c r="O29" s="68" t="e">
        <f>SUM(ENERO!O29+FEBRERO!O29+MARZO!O29+ABRIL!O29+MAYO!O29+#REF!+#REF!+#REF!+#REF!+#REF!+#REF!+#REF!)</f>
        <v>#REF!</v>
      </c>
      <c r="P29" s="68" t="e">
        <f>SUM(ENERO!P29+FEBRERO!P29+MARZO!P29+ABRIL!P29+MAYO!P29+#REF!+#REF!+#REF!+#REF!+#REF!+#REF!+#REF!)</f>
        <v>#REF!</v>
      </c>
      <c r="Q29" s="40" t="e">
        <f>SUM(K29:P29)</f>
        <v>#REF!</v>
      </c>
      <c r="R29" s="4"/>
      <c r="S29" s="1"/>
    </row>
    <row r="30" spans="1:19" x14ac:dyDescent="0.25">
      <c r="A30" s="7" t="s">
        <v>22</v>
      </c>
      <c r="B30" s="17" t="e">
        <f>SUM(ENERO!B30+FEBRERO!B30+MARZO!B30+ABRIL!B30+MAYO!B30+#REF!+#REF!+#REF!+#REF!+#REF!+#REF!+#REF!)</f>
        <v>#REF!</v>
      </c>
      <c r="C30" s="17" t="e">
        <f>SUM(ENERO!C30+FEBRERO!C30+MARZO!C30+ABRIL!C30+MAYO!C30+#REF!+#REF!+#REF!+#REF!+#REF!+#REF!+#REF!)</f>
        <v>#REF!</v>
      </c>
      <c r="D30" s="17" t="e">
        <f>SUM(ENERO!D30+FEBRERO!D30+MARZO!D30+ABRIL!D30+MAYO!D30+#REF!+#REF!+#REF!+#REF!+#REF!+#REF!+#REF!)</f>
        <v>#REF!</v>
      </c>
      <c r="E30" s="17" t="e">
        <f>SUM(ENERO!E30+FEBRERO!E30+MARZO!E30+ABRIL!E30+MAYO!E30+#REF!+#REF!+#REF!+#REF!+#REF!+#REF!+#REF!)</f>
        <v>#REF!</v>
      </c>
      <c r="F30" s="17" t="e">
        <f>SUM(ENERO!F30+FEBRERO!F30+MARZO!F30+ABRIL!F30+MAYO!F30+#REF!+#REF!+#REF!+#REF!+#REF!+#REF!+#REF!)</f>
        <v>#REF!</v>
      </c>
      <c r="G30" s="17" t="e">
        <f>SUM(ENERO!G30+FEBRERO!G30+MARZO!G30+ABRIL!G30+MAYO!G30+#REF!+#REF!+#REF!+#REF!+#REF!+#REF!+#REF!)</f>
        <v>#REF!</v>
      </c>
      <c r="H30" s="12" t="e">
        <f t="shared" si="4"/>
        <v>#REF!</v>
      </c>
      <c r="I30" s="1"/>
      <c r="J30" s="45" t="s">
        <v>170</v>
      </c>
      <c r="K30" s="68" t="e">
        <f>SUM(ENERO!K30+FEBRERO!K30+MARZO!K30+ABRIL!K30+MAYO!K30+#REF!+#REF!+#REF!+#REF!+#REF!+#REF!+#REF!)</f>
        <v>#REF!</v>
      </c>
      <c r="L30" s="68" t="e">
        <f>SUM(ENERO!L30+FEBRERO!L30+MARZO!L30+ABRIL!L30+MAYO!L30+#REF!+#REF!+#REF!+#REF!+#REF!+#REF!+#REF!)</f>
        <v>#REF!</v>
      </c>
      <c r="M30" s="68" t="e">
        <f>SUM(ENERO!M30+FEBRERO!M30+MARZO!M30+ABRIL!M30+MAYO!M30+#REF!+#REF!+#REF!+#REF!+#REF!+#REF!+#REF!)</f>
        <v>#REF!</v>
      </c>
      <c r="N30" s="68" t="e">
        <f>SUM(ENERO!N30+FEBRERO!N30+MARZO!N30+ABRIL!N30+MAYO!N30+#REF!+#REF!+#REF!+#REF!+#REF!+#REF!+#REF!)</f>
        <v>#REF!</v>
      </c>
      <c r="O30" s="68" t="e">
        <f>SUM(ENERO!O30+FEBRERO!O30+MARZO!O30+ABRIL!O30+MAYO!O30+#REF!+#REF!+#REF!+#REF!+#REF!+#REF!+#REF!)</f>
        <v>#REF!</v>
      </c>
      <c r="P30" s="68" t="e">
        <f>SUM(ENERO!P30+FEBRERO!P30+MARZO!P30+ABRIL!P30+MAYO!P30+#REF!+#REF!+#REF!+#REF!+#REF!+#REF!+#REF!)</f>
        <v>#REF!</v>
      </c>
      <c r="Q30" s="40" t="e">
        <f>SUM(K30:P30)</f>
        <v>#REF!</v>
      </c>
      <c r="R30" s="4"/>
      <c r="S30" s="1"/>
    </row>
    <row r="31" spans="1:19" x14ac:dyDescent="0.25">
      <c r="A31" s="7" t="s">
        <v>23</v>
      </c>
      <c r="B31" s="17" t="e">
        <f>SUM(ENERO!B31+FEBRERO!B31+MARZO!B31+ABRIL!B31+MAYO!B31+#REF!+#REF!+#REF!+#REF!+#REF!+#REF!+#REF!)</f>
        <v>#REF!</v>
      </c>
      <c r="C31" s="17" t="e">
        <f>SUM(ENERO!C31+FEBRERO!C31+MARZO!C31+ABRIL!C31+MAYO!C31+#REF!+#REF!+#REF!+#REF!+#REF!+#REF!+#REF!)</f>
        <v>#REF!</v>
      </c>
      <c r="D31" s="17" t="e">
        <f>SUM(ENERO!D31+FEBRERO!D31+MARZO!D31+ABRIL!D31+MAYO!D31+#REF!+#REF!+#REF!+#REF!+#REF!+#REF!+#REF!)</f>
        <v>#REF!</v>
      </c>
      <c r="E31" s="17" t="e">
        <f>SUM(ENERO!E31+FEBRERO!E31+MARZO!E31+ABRIL!E31+MAYO!E31+#REF!+#REF!+#REF!+#REF!+#REF!+#REF!+#REF!)</f>
        <v>#REF!</v>
      </c>
      <c r="F31" s="17" t="e">
        <f>SUM(ENERO!F31+FEBRERO!F31+MARZO!F31+ABRIL!F31+MAYO!F31+#REF!+#REF!+#REF!+#REF!+#REF!+#REF!+#REF!)</f>
        <v>#REF!</v>
      </c>
      <c r="G31" s="17" t="e">
        <f>SUM(ENERO!G31+FEBRERO!G31+MARZO!G31+ABRIL!G31+MAYO!G31+#REF!+#REF!+#REF!+#REF!+#REF!+#REF!+#REF!)</f>
        <v>#REF!</v>
      </c>
      <c r="H31" s="12" t="e">
        <f t="shared" si="4"/>
        <v>#REF!</v>
      </c>
      <c r="I31" s="1"/>
      <c r="J31" s="45" t="s">
        <v>171</v>
      </c>
      <c r="K31" s="68" t="e">
        <f>SUM(ENERO!K31+FEBRERO!K31+MARZO!K31+ABRIL!K31+MAYO!K31+#REF!+#REF!+#REF!+#REF!+#REF!+#REF!+#REF!)</f>
        <v>#REF!</v>
      </c>
      <c r="L31" s="68" t="e">
        <f>SUM(ENERO!L31+FEBRERO!L31+MARZO!L31+ABRIL!L31+MAYO!L31+#REF!+#REF!+#REF!+#REF!+#REF!+#REF!+#REF!)</f>
        <v>#REF!</v>
      </c>
      <c r="M31" s="68" t="e">
        <f>SUM(ENERO!M31+FEBRERO!M31+MARZO!M31+ABRIL!M31+MAYO!M31+#REF!+#REF!+#REF!+#REF!+#REF!+#REF!+#REF!)</f>
        <v>#REF!</v>
      </c>
      <c r="N31" s="68" t="e">
        <f>SUM(ENERO!N31+FEBRERO!N31+MARZO!N31+ABRIL!N31+MAYO!N31+#REF!+#REF!+#REF!+#REF!+#REF!+#REF!+#REF!)</f>
        <v>#REF!</v>
      </c>
      <c r="O31" s="68" t="e">
        <f>SUM(ENERO!O31+FEBRERO!O31+MARZO!O31+ABRIL!O31+MAYO!O31+#REF!+#REF!+#REF!+#REF!+#REF!+#REF!+#REF!)</f>
        <v>#REF!</v>
      </c>
      <c r="P31" s="68" t="e">
        <f>SUM(ENERO!P31+FEBRERO!P31+MARZO!P31+ABRIL!P31+MAYO!P31+#REF!+#REF!+#REF!+#REF!+#REF!+#REF!+#REF!)</f>
        <v>#REF!</v>
      </c>
      <c r="Q31" s="40" t="e">
        <f>SUM(K31:P31)</f>
        <v>#REF!</v>
      </c>
      <c r="R31" s="4"/>
      <c r="S31" s="1"/>
    </row>
    <row r="32" spans="1:19" x14ac:dyDescent="0.25">
      <c r="A32" s="7" t="s">
        <v>202</v>
      </c>
      <c r="B32" s="17" t="e">
        <f>SUM(ENERO!B32+FEBRERO!B32+MARZO!B32+ABRIL!B32+MAYO!B32+#REF!+#REF!+#REF!+#REF!+#REF!+#REF!+#REF!)</f>
        <v>#REF!</v>
      </c>
      <c r="C32" s="17" t="e">
        <f>SUM(ENERO!C32+FEBRERO!C32+MARZO!C32+ABRIL!C32+MAYO!C32+#REF!+#REF!+#REF!+#REF!+#REF!+#REF!+#REF!)</f>
        <v>#REF!</v>
      </c>
      <c r="D32" s="17" t="e">
        <f>SUM(ENERO!D32+FEBRERO!D32+MARZO!D32+ABRIL!D32+MAYO!D32+#REF!+#REF!+#REF!+#REF!+#REF!+#REF!+#REF!)</f>
        <v>#REF!</v>
      </c>
      <c r="E32" s="17" t="e">
        <f>SUM(ENERO!E32+FEBRERO!E32+MARZO!E32+ABRIL!E32+MAYO!E32+#REF!+#REF!+#REF!+#REF!+#REF!+#REF!+#REF!)</f>
        <v>#REF!</v>
      </c>
      <c r="F32" s="17" t="e">
        <f>SUM(ENERO!F32+FEBRERO!F32+MARZO!F32+ABRIL!F32+MAYO!F32+#REF!+#REF!+#REF!+#REF!+#REF!+#REF!+#REF!)</f>
        <v>#REF!</v>
      </c>
      <c r="G32" s="17" t="e">
        <f>SUM(ENERO!G32+FEBRERO!G32+MARZO!G32+ABRIL!G32+MAYO!G32+#REF!+#REF!+#REF!+#REF!+#REF!+#REF!+#REF!)</f>
        <v>#REF!</v>
      </c>
      <c r="H32" s="12" t="e">
        <f t="shared" si="4"/>
        <v>#REF!</v>
      </c>
      <c r="I32" s="1"/>
      <c r="J32" s="49" t="s">
        <v>65</v>
      </c>
      <c r="K32" s="68" t="e">
        <f>SUM(ENERO!K32+FEBRERO!K32+MARZO!K32+ABRIL!K32+MAYO!K32+#REF!+#REF!+#REF!+#REF!+#REF!+#REF!+#REF!)</f>
        <v>#REF!</v>
      </c>
      <c r="L32" s="68" t="e">
        <f>SUM(ENERO!L32+FEBRERO!L32+MARZO!L32+ABRIL!L32+MAYO!L32+#REF!+#REF!+#REF!+#REF!+#REF!+#REF!+#REF!)</f>
        <v>#REF!</v>
      </c>
      <c r="M32" s="68" t="e">
        <f>SUM(ENERO!M32+FEBRERO!M32+MARZO!M32+ABRIL!M32+MAYO!M32+#REF!+#REF!+#REF!+#REF!+#REF!+#REF!+#REF!)</f>
        <v>#REF!</v>
      </c>
      <c r="N32" s="68" t="e">
        <f>SUM(ENERO!N32+FEBRERO!N32+MARZO!N32+ABRIL!N32+MAYO!N32+#REF!+#REF!+#REF!+#REF!+#REF!+#REF!+#REF!)</f>
        <v>#REF!</v>
      </c>
      <c r="O32" s="68" t="e">
        <f>SUM(ENERO!O32+FEBRERO!O32+MARZO!O32+ABRIL!O32+MAYO!O32+#REF!+#REF!+#REF!+#REF!+#REF!+#REF!+#REF!)</f>
        <v>#REF!</v>
      </c>
      <c r="P32" s="68" t="e">
        <f>SUM(ENERO!P32+FEBRERO!P32+MARZO!P32+ABRIL!P32+MAYO!P32+#REF!+#REF!+#REF!+#REF!+#REF!+#REF!+#REF!)</f>
        <v>#REF!</v>
      </c>
      <c r="Q32" s="40" t="e">
        <f t="shared" ref="Q32:Q37" si="6">SUM(K32:P32)</f>
        <v>#REF!</v>
      </c>
      <c r="R32" s="4"/>
      <c r="S32" s="1"/>
    </row>
    <row r="33" spans="1:19" x14ac:dyDescent="0.25">
      <c r="A33" s="7" t="s">
        <v>159</v>
      </c>
      <c r="B33" s="17" t="e">
        <f>SUM(ENERO!B33+FEBRERO!B33+MARZO!B33+ABRIL!B33+MAYO!B33+#REF!+#REF!+#REF!+#REF!+#REF!+#REF!+#REF!)</f>
        <v>#REF!</v>
      </c>
      <c r="C33" s="17" t="e">
        <f>SUM(ENERO!C33+FEBRERO!C33+MARZO!C33+ABRIL!C33+MAYO!C33+#REF!+#REF!+#REF!+#REF!+#REF!+#REF!+#REF!)</f>
        <v>#REF!</v>
      </c>
      <c r="D33" s="17" t="e">
        <f>SUM(ENERO!D33+FEBRERO!D33+MARZO!D33+ABRIL!D33+MAYO!D33+#REF!+#REF!+#REF!+#REF!+#REF!+#REF!+#REF!)</f>
        <v>#REF!</v>
      </c>
      <c r="E33" s="17" t="e">
        <f>SUM(ENERO!E33+FEBRERO!E33+MARZO!E33+ABRIL!E33+MAYO!E33+#REF!+#REF!+#REF!+#REF!+#REF!+#REF!+#REF!)</f>
        <v>#REF!</v>
      </c>
      <c r="F33" s="17" t="e">
        <f>SUM(ENERO!F33+FEBRERO!F33+MARZO!F33+ABRIL!F33+MAYO!F33+#REF!+#REF!+#REF!+#REF!+#REF!+#REF!+#REF!)</f>
        <v>#REF!</v>
      </c>
      <c r="G33" s="17" t="e">
        <f>SUM(ENERO!G33+FEBRERO!G33+MARZO!G33+ABRIL!G33+MAYO!G33+#REF!+#REF!+#REF!+#REF!+#REF!+#REF!+#REF!)</f>
        <v>#REF!</v>
      </c>
      <c r="H33" s="12" t="e">
        <f t="shared" si="4"/>
        <v>#REF!</v>
      </c>
      <c r="I33" s="1"/>
      <c r="J33" s="50" t="s">
        <v>130</v>
      </c>
      <c r="K33" s="68" t="e">
        <f>SUM(ENERO!K33+FEBRERO!K33+MARZO!K33+ABRIL!K33+MAYO!K33+#REF!+#REF!+#REF!+#REF!+#REF!+#REF!+#REF!)</f>
        <v>#REF!</v>
      </c>
      <c r="L33" s="68" t="e">
        <f>SUM(ENERO!L33+FEBRERO!L33+MARZO!L33+ABRIL!L33+MAYO!L33+#REF!+#REF!+#REF!+#REF!+#REF!+#REF!+#REF!)</f>
        <v>#REF!</v>
      </c>
      <c r="M33" s="68" t="e">
        <f>SUM(ENERO!M33+FEBRERO!M33+MARZO!M33+ABRIL!M33+MAYO!M33+#REF!+#REF!+#REF!+#REF!+#REF!+#REF!+#REF!)</f>
        <v>#REF!</v>
      </c>
      <c r="N33" s="68" t="e">
        <f>SUM(ENERO!N33+FEBRERO!N33+MARZO!N33+ABRIL!N33+MAYO!N33+#REF!+#REF!+#REF!+#REF!+#REF!+#REF!+#REF!)</f>
        <v>#REF!</v>
      </c>
      <c r="O33" s="68" t="e">
        <f>SUM(ENERO!O33+FEBRERO!O33+MARZO!O33+ABRIL!O33+MAYO!O33+#REF!+#REF!+#REF!+#REF!+#REF!+#REF!+#REF!)</f>
        <v>#REF!</v>
      </c>
      <c r="P33" s="68" t="e">
        <f>SUM(ENERO!P33+FEBRERO!P33+MARZO!P33+ABRIL!P33+MAYO!P33+#REF!+#REF!+#REF!+#REF!+#REF!+#REF!+#REF!)</f>
        <v>#REF!</v>
      </c>
      <c r="Q33" s="40" t="e">
        <f t="shared" si="6"/>
        <v>#REF!</v>
      </c>
      <c r="R33" s="4"/>
      <c r="S33" s="1"/>
    </row>
    <row r="34" spans="1:19" x14ac:dyDescent="0.25">
      <c r="A34" s="7" t="s">
        <v>26</v>
      </c>
      <c r="B34" s="17" t="e">
        <f>SUM(ENERO!B34+FEBRERO!B34+MARZO!B34+ABRIL!B34+MAYO!B34+#REF!+#REF!+#REF!+#REF!+#REF!+#REF!+#REF!)</f>
        <v>#REF!</v>
      </c>
      <c r="C34" s="17" t="e">
        <f>SUM(ENERO!C34+FEBRERO!C34+MARZO!C34+ABRIL!C34+MAYO!C34+#REF!+#REF!+#REF!+#REF!+#REF!+#REF!+#REF!)</f>
        <v>#REF!</v>
      </c>
      <c r="D34" s="17" t="e">
        <f>SUM(ENERO!D34+FEBRERO!D34+MARZO!D34+ABRIL!D34+MAYO!D34+#REF!+#REF!+#REF!+#REF!+#REF!+#REF!+#REF!)</f>
        <v>#REF!</v>
      </c>
      <c r="E34" s="17" t="e">
        <f>SUM(ENERO!E34+FEBRERO!E34+MARZO!E34+ABRIL!E34+MAYO!E34+#REF!+#REF!+#REF!+#REF!+#REF!+#REF!+#REF!)</f>
        <v>#REF!</v>
      </c>
      <c r="F34" s="17" t="e">
        <f>SUM(ENERO!F34+FEBRERO!F34+MARZO!F34+ABRIL!F34+MAYO!F34+#REF!+#REF!+#REF!+#REF!+#REF!+#REF!+#REF!)</f>
        <v>#REF!</v>
      </c>
      <c r="G34" s="17" t="e">
        <f>SUM(ENERO!G34+FEBRERO!G34+MARZO!G34+ABRIL!G34+MAYO!G34+#REF!+#REF!+#REF!+#REF!+#REF!+#REF!+#REF!)</f>
        <v>#REF!</v>
      </c>
      <c r="H34" s="12" t="e">
        <f t="shared" si="4"/>
        <v>#REF!</v>
      </c>
      <c r="I34" s="1"/>
      <c r="J34" s="67" t="s">
        <v>131</v>
      </c>
      <c r="K34" s="68" t="e">
        <f>SUM(ENERO!K34+FEBRERO!K34+MARZO!K34+ABRIL!K34+MAYO!K34+#REF!+#REF!+#REF!+#REF!+#REF!+#REF!+#REF!)</f>
        <v>#REF!</v>
      </c>
      <c r="L34" s="68" t="e">
        <f>SUM(ENERO!L34+FEBRERO!L34+MARZO!L34+ABRIL!L34+MAYO!L34+#REF!+#REF!+#REF!+#REF!+#REF!+#REF!+#REF!)</f>
        <v>#REF!</v>
      </c>
      <c r="M34" s="68" t="e">
        <f>SUM(ENERO!M34+FEBRERO!M34+MARZO!M34+ABRIL!M34+MAYO!M34+#REF!+#REF!+#REF!+#REF!+#REF!+#REF!+#REF!)</f>
        <v>#REF!</v>
      </c>
      <c r="N34" s="68" t="e">
        <f>SUM(ENERO!N34+FEBRERO!N34+MARZO!N34+ABRIL!N34+MAYO!N34+#REF!+#REF!+#REF!+#REF!+#REF!+#REF!+#REF!)</f>
        <v>#REF!</v>
      </c>
      <c r="O34" s="68" t="e">
        <f>SUM(ENERO!O34+FEBRERO!O34+MARZO!O34+ABRIL!O34+MAYO!O34+#REF!+#REF!+#REF!+#REF!+#REF!+#REF!+#REF!)</f>
        <v>#REF!</v>
      </c>
      <c r="P34" s="68" t="e">
        <f>SUM(ENERO!P34+FEBRERO!P34+MARZO!P34+ABRIL!P34+MAYO!P34+#REF!+#REF!+#REF!+#REF!+#REF!+#REF!+#REF!)</f>
        <v>#REF!</v>
      </c>
      <c r="Q34" s="40" t="e">
        <f t="shared" si="6"/>
        <v>#REF!</v>
      </c>
      <c r="R34" s="4"/>
      <c r="S34" s="1"/>
    </row>
    <row r="35" spans="1:19" x14ac:dyDescent="0.25">
      <c r="A35" s="7" t="s">
        <v>82</v>
      </c>
      <c r="B35" s="17" t="e">
        <f>SUM(ENERO!B35+FEBRERO!B35+MARZO!B35+ABRIL!B35+MAYO!B35+#REF!+#REF!+#REF!+#REF!+#REF!+#REF!+#REF!)</f>
        <v>#REF!</v>
      </c>
      <c r="C35" s="17" t="e">
        <f>SUM(ENERO!C35+FEBRERO!C35+MARZO!C35+ABRIL!C35+MAYO!C35+#REF!+#REF!+#REF!+#REF!+#REF!+#REF!+#REF!)</f>
        <v>#REF!</v>
      </c>
      <c r="D35" s="17" t="e">
        <f>SUM(ENERO!D35+FEBRERO!D35+MARZO!D35+ABRIL!D35+MAYO!D35+#REF!+#REF!+#REF!+#REF!+#REF!+#REF!+#REF!)</f>
        <v>#REF!</v>
      </c>
      <c r="E35" s="17" t="e">
        <f>SUM(ENERO!E35+FEBRERO!E35+MARZO!E35+ABRIL!E35+MAYO!E35+#REF!+#REF!+#REF!+#REF!+#REF!+#REF!+#REF!)</f>
        <v>#REF!</v>
      </c>
      <c r="F35" s="17" t="e">
        <f>SUM(ENERO!F35+FEBRERO!F35+MARZO!F35+ABRIL!F35+MAYO!F35+#REF!+#REF!+#REF!+#REF!+#REF!+#REF!+#REF!)</f>
        <v>#REF!</v>
      </c>
      <c r="G35" s="17" t="e">
        <f>SUM(ENERO!G35+FEBRERO!G35+MARZO!G35+ABRIL!G35+MAYO!G35+#REF!+#REF!+#REF!+#REF!+#REF!+#REF!+#REF!)</f>
        <v>#REF!</v>
      </c>
      <c r="H35" s="12" t="e">
        <f t="shared" si="4"/>
        <v>#REF!</v>
      </c>
      <c r="I35" s="1"/>
      <c r="J35" s="67" t="s">
        <v>160</v>
      </c>
      <c r="K35" s="68" t="e">
        <f>SUM(ENERO!K35+FEBRERO!K35+MARZO!K35+ABRIL!K35+MAYO!K35+#REF!+#REF!+#REF!+#REF!+#REF!+#REF!+#REF!)</f>
        <v>#REF!</v>
      </c>
      <c r="L35" s="68" t="e">
        <f>SUM(ENERO!L35+FEBRERO!L35+MARZO!L35+ABRIL!L35+MAYO!L35+#REF!+#REF!+#REF!+#REF!+#REF!+#REF!+#REF!)</f>
        <v>#REF!</v>
      </c>
      <c r="M35" s="68" t="e">
        <f>SUM(ENERO!M35+FEBRERO!M35+MARZO!M35+ABRIL!M35+MAYO!M35+#REF!+#REF!+#REF!+#REF!+#REF!+#REF!+#REF!)</f>
        <v>#REF!</v>
      </c>
      <c r="N35" s="68" t="e">
        <f>SUM(ENERO!N35+FEBRERO!N35+MARZO!N35+ABRIL!N35+MAYO!N35+#REF!+#REF!+#REF!+#REF!+#REF!+#REF!+#REF!)</f>
        <v>#REF!</v>
      </c>
      <c r="O35" s="68" t="e">
        <f>SUM(ENERO!O35+FEBRERO!O35+MARZO!O35+ABRIL!O35+MAYO!O35+#REF!+#REF!+#REF!+#REF!+#REF!+#REF!+#REF!)</f>
        <v>#REF!</v>
      </c>
      <c r="P35" s="68" t="e">
        <f>SUM(ENERO!P35+FEBRERO!P35+MARZO!P35+ABRIL!P35+MAYO!P35+#REF!+#REF!+#REF!+#REF!+#REF!+#REF!+#REF!)</f>
        <v>#REF!</v>
      </c>
      <c r="Q35" s="40" t="e">
        <f t="shared" si="6"/>
        <v>#REF!</v>
      </c>
      <c r="R35" s="4"/>
      <c r="S35" s="1"/>
    </row>
    <row r="36" spans="1:19" x14ac:dyDescent="0.25">
      <c r="A36" s="7" t="s">
        <v>30</v>
      </c>
      <c r="B36" s="17" t="e">
        <f>SUM(ENERO!B36+FEBRERO!B36+MARZO!B36+ABRIL!B36+MAYO!B36+#REF!+#REF!+#REF!+#REF!+#REF!+#REF!+#REF!)</f>
        <v>#REF!</v>
      </c>
      <c r="C36" s="17" t="e">
        <f>SUM(ENERO!C36+FEBRERO!C36+MARZO!C36+ABRIL!C36+MAYO!C36+#REF!+#REF!+#REF!+#REF!+#REF!+#REF!+#REF!)</f>
        <v>#REF!</v>
      </c>
      <c r="D36" s="17" t="e">
        <f>SUM(ENERO!D36+FEBRERO!D36+MARZO!D36+ABRIL!D36+MAYO!D36+#REF!+#REF!+#REF!+#REF!+#REF!+#REF!+#REF!)</f>
        <v>#REF!</v>
      </c>
      <c r="E36" s="17" t="e">
        <f>SUM(ENERO!E36+FEBRERO!E36+MARZO!E36+ABRIL!E36+MAYO!E36+#REF!+#REF!+#REF!+#REF!+#REF!+#REF!+#REF!)</f>
        <v>#REF!</v>
      </c>
      <c r="F36" s="17" t="e">
        <f>SUM(ENERO!F36+FEBRERO!F36+MARZO!F36+ABRIL!F36+MAYO!F36+#REF!+#REF!+#REF!+#REF!+#REF!+#REF!+#REF!)</f>
        <v>#REF!</v>
      </c>
      <c r="G36" s="17" t="e">
        <f>SUM(ENERO!G36+FEBRERO!G36+MARZO!G36+ABRIL!G36+MAYO!G36+#REF!+#REF!+#REF!+#REF!+#REF!+#REF!+#REF!)</f>
        <v>#REF!</v>
      </c>
      <c r="H36" s="12" t="e">
        <f t="shared" si="4"/>
        <v>#REF!</v>
      </c>
      <c r="I36" s="1"/>
      <c r="J36" s="67" t="s">
        <v>209</v>
      </c>
      <c r="K36" s="68" t="e">
        <f>SUM(ENERO!K36+FEBRERO!K37+MARZO!K37+ABRIL!K37+MAYO!K37+#REF!+#REF!+#REF!+#REF!+#REF!+#REF!+#REF!)</f>
        <v>#REF!</v>
      </c>
      <c r="L36" s="68" t="e">
        <f>SUM(ENERO!L36+FEBRERO!L37+MARZO!L37+ABRIL!L37+MAYO!L37+#REF!+#REF!+#REF!+#REF!+#REF!+#REF!+#REF!)</f>
        <v>#REF!</v>
      </c>
      <c r="M36" s="68" t="e">
        <f>SUM(ENERO!M36+FEBRERO!M37+MARZO!M37+ABRIL!M37+MAYO!M37+#REF!+#REF!+#REF!+#REF!+#REF!+#REF!+#REF!)</f>
        <v>#REF!</v>
      </c>
      <c r="N36" s="68" t="e">
        <f>SUM(ENERO!N36+FEBRERO!N37+MARZO!N37+ABRIL!N37+MAYO!N37+#REF!+#REF!+#REF!+#REF!+#REF!+#REF!+#REF!)</f>
        <v>#REF!</v>
      </c>
      <c r="O36" s="68" t="e">
        <f>SUM(ENERO!O36+FEBRERO!O37+MARZO!O37+ABRIL!O37+MAYO!O37+#REF!+#REF!+#REF!+#REF!+#REF!+#REF!+#REF!)</f>
        <v>#REF!</v>
      </c>
      <c r="P36" s="68" t="e">
        <f>SUM(ENERO!P36+FEBRERO!P37+MARZO!P37+ABRIL!P37+MAYO!P37+#REF!+#REF!+#REF!+#REF!+#REF!+#REF!+#REF!)</f>
        <v>#REF!</v>
      </c>
      <c r="Q36" s="40" t="e">
        <f t="shared" si="6"/>
        <v>#REF!</v>
      </c>
      <c r="R36" s="4"/>
      <c r="S36" s="1"/>
    </row>
    <row r="37" spans="1:19" ht="15.75" thickBot="1" x14ac:dyDescent="0.3">
      <c r="A37" s="7" t="s">
        <v>31</v>
      </c>
      <c r="B37" s="17" t="e">
        <f>SUM(ENERO!B37+FEBRERO!B37+MARZO!B37+ABRIL!B37+MAYO!B37+#REF!+#REF!+#REF!+#REF!+#REF!+#REF!+#REF!)</f>
        <v>#REF!</v>
      </c>
      <c r="C37" s="17" t="e">
        <f>SUM(ENERO!C37+FEBRERO!C37+MARZO!C37+ABRIL!C37+MAYO!C37+#REF!+#REF!+#REF!+#REF!+#REF!+#REF!+#REF!)</f>
        <v>#REF!</v>
      </c>
      <c r="D37" s="17" t="e">
        <f>SUM(ENERO!D37+FEBRERO!D37+MARZO!D37+ABRIL!D37+MAYO!D37+#REF!+#REF!+#REF!+#REF!+#REF!+#REF!+#REF!)</f>
        <v>#REF!</v>
      </c>
      <c r="E37" s="17" t="e">
        <f>SUM(ENERO!E37+FEBRERO!E37+MARZO!E37+ABRIL!E37+MAYO!E37+#REF!+#REF!+#REF!+#REF!+#REF!+#REF!+#REF!)</f>
        <v>#REF!</v>
      </c>
      <c r="F37" s="17" t="e">
        <f>SUM(ENERO!F37+FEBRERO!F37+MARZO!F37+ABRIL!F37+MAYO!F37+#REF!+#REF!+#REF!+#REF!+#REF!+#REF!+#REF!)</f>
        <v>#REF!</v>
      </c>
      <c r="G37" s="17" t="e">
        <f>SUM(ENERO!G37+FEBRERO!G37+MARZO!G37+ABRIL!G37+MAYO!G37+#REF!+#REF!+#REF!+#REF!+#REF!+#REF!+#REF!)</f>
        <v>#REF!</v>
      </c>
      <c r="H37" s="12" t="e">
        <f t="shared" si="4"/>
        <v>#REF!</v>
      </c>
      <c r="I37" s="1"/>
      <c r="J37" s="51" t="s">
        <v>161</v>
      </c>
      <c r="K37" s="94" t="e">
        <f>SUM(ENERO!K37+FEBRERO!K37+MARZO!K37+ABRIL!K37+MAYO!K37+#REF!+#REF!+#REF!+#REF!+#REF!+#REF!+#REF!)</f>
        <v>#REF!</v>
      </c>
      <c r="L37" s="94" t="e">
        <f>SUM(ENERO!L37+FEBRERO!L37+MARZO!L37+ABRIL!L37+MAYO!L37+#REF!+#REF!+#REF!+#REF!+#REF!+#REF!+#REF!)</f>
        <v>#REF!</v>
      </c>
      <c r="M37" s="94" t="e">
        <f>SUM(ENERO!M37+FEBRERO!M37+MARZO!M37+ABRIL!M37+MAYO!M37+#REF!+#REF!+#REF!+#REF!+#REF!+#REF!+#REF!)</f>
        <v>#REF!</v>
      </c>
      <c r="N37" s="94" t="e">
        <f>SUM(ENERO!N37+FEBRERO!N37+MARZO!N37+ABRIL!N37+MAYO!N37+#REF!+#REF!+#REF!+#REF!+#REF!+#REF!+#REF!)</f>
        <v>#REF!</v>
      </c>
      <c r="O37" s="94" t="e">
        <f>SUM(ENERO!O37+FEBRERO!O37+MARZO!O37+ABRIL!O37+MAYO!O37+#REF!+#REF!+#REF!+#REF!+#REF!+#REF!+#REF!)</f>
        <v>#REF!</v>
      </c>
      <c r="P37" s="94" t="e">
        <f>SUM(ENERO!P37+FEBRERO!P37+MARZO!P37+ABRIL!P37+MAYO!P37+#REF!+#REF!+#REF!+#REF!+#REF!+#REF!+#REF!)</f>
        <v>#REF!</v>
      </c>
      <c r="Q37" s="46" t="e">
        <f t="shared" si="6"/>
        <v>#REF!</v>
      </c>
      <c r="R37" s="4"/>
      <c r="S37" s="1"/>
    </row>
    <row r="38" spans="1:19" ht="15.75" thickBot="1" x14ac:dyDescent="0.3">
      <c r="A38" s="7" t="s">
        <v>66</v>
      </c>
      <c r="B38" s="17" t="e">
        <f>SUM(ENERO!B38+FEBRERO!B38+MARZO!B38+ABRIL!B38+MAYO!B38+#REF!+#REF!+#REF!+#REF!+#REF!+#REF!+#REF!)</f>
        <v>#REF!</v>
      </c>
      <c r="C38" s="17" t="e">
        <f>SUM(ENERO!C38+FEBRERO!C38+MARZO!C38+ABRIL!C38+MAYO!C38+#REF!+#REF!+#REF!+#REF!+#REF!+#REF!+#REF!)</f>
        <v>#REF!</v>
      </c>
      <c r="D38" s="17" t="e">
        <f>SUM(ENERO!D38+FEBRERO!D38+MARZO!D38+ABRIL!D38+MAYO!D38+#REF!+#REF!+#REF!+#REF!+#REF!+#REF!+#REF!)</f>
        <v>#REF!</v>
      </c>
      <c r="E38" s="17" t="e">
        <f>SUM(ENERO!E38+FEBRERO!E38+MARZO!E38+ABRIL!E38+MAYO!E38+#REF!+#REF!+#REF!+#REF!+#REF!+#REF!+#REF!)</f>
        <v>#REF!</v>
      </c>
      <c r="F38" s="17" t="e">
        <f>SUM(ENERO!F38+FEBRERO!F38+MARZO!F38+ABRIL!F38+MAYO!F38+#REF!+#REF!+#REF!+#REF!+#REF!+#REF!+#REF!)</f>
        <v>#REF!</v>
      </c>
      <c r="G38" s="17" t="e">
        <f>SUM(ENERO!G38+FEBRERO!G38+MARZO!G38+ABRIL!G38+MAYO!G38+#REF!+#REF!+#REF!+#REF!+#REF!+#REF!+#REF!)</f>
        <v>#REF!</v>
      </c>
      <c r="H38" s="12" t="e">
        <f t="shared" si="4"/>
        <v>#REF!</v>
      </c>
      <c r="I38" s="1"/>
      <c r="J38" s="34"/>
      <c r="K38" s="34"/>
      <c r="L38" s="34"/>
      <c r="M38" s="34"/>
      <c r="N38" s="34"/>
      <c r="O38" s="34"/>
      <c r="P38" s="34"/>
      <c r="R38" s="4"/>
      <c r="S38" s="1"/>
    </row>
    <row r="39" spans="1:19" x14ac:dyDescent="0.25">
      <c r="A39" s="7" t="s">
        <v>67</v>
      </c>
      <c r="B39" s="17" t="e">
        <f>SUM(ENERO!B39+FEBRERO!B39+MARZO!B39+ABRIL!B39+MAYO!B39+#REF!+#REF!+#REF!+#REF!+#REF!+#REF!+#REF!)</f>
        <v>#REF!</v>
      </c>
      <c r="C39" s="17" t="e">
        <f>SUM(ENERO!C39+FEBRERO!C39+MARZO!C39+ABRIL!C39+MAYO!C39+#REF!+#REF!+#REF!+#REF!+#REF!+#REF!+#REF!)</f>
        <v>#REF!</v>
      </c>
      <c r="D39" s="17" t="e">
        <f>SUM(ENERO!D39+FEBRERO!D39+MARZO!D39+ABRIL!D39+MAYO!D39+#REF!+#REF!+#REF!+#REF!+#REF!+#REF!+#REF!)</f>
        <v>#REF!</v>
      </c>
      <c r="E39" s="17" t="e">
        <f>SUM(ENERO!E39+FEBRERO!E39+MARZO!E39+ABRIL!E39+MAYO!E39+#REF!+#REF!+#REF!+#REF!+#REF!+#REF!+#REF!)</f>
        <v>#REF!</v>
      </c>
      <c r="F39" s="17" t="e">
        <f>SUM(ENERO!F39+FEBRERO!F39+MARZO!F39+ABRIL!F39+MAYO!F39+#REF!+#REF!+#REF!+#REF!+#REF!+#REF!+#REF!)</f>
        <v>#REF!</v>
      </c>
      <c r="G39" s="17" t="e">
        <f>SUM(ENERO!G39+FEBRERO!G39+MARZO!G39+ABRIL!G39+MAYO!G39+#REF!+#REF!+#REF!+#REF!+#REF!+#REF!+#REF!)</f>
        <v>#REF!</v>
      </c>
      <c r="H39" s="12" t="e">
        <f t="shared" si="4"/>
        <v>#REF!</v>
      </c>
      <c r="I39" s="1"/>
      <c r="J39" s="151" t="s">
        <v>136</v>
      </c>
      <c r="K39" s="153" t="s">
        <v>11</v>
      </c>
      <c r="L39" s="153"/>
      <c r="M39" s="153"/>
      <c r="N39" s="153"/>
      <c r="O39" s="153"/>
      <c r="P39" s="153"/>
      <c r="Q39" s="154"/>
      <c r="R39" s="4"/>
      <c r="S39" s="1"/>
    </row>
    <row r="40" spans="1:19" x14ac:dyDescent="0.25">
      <c r="A40" s="7" t="s">
        <v>77</v>
      </c>
      <c r="B40" s="17" t="e">
        <f>SUM(ENERO!B40+FEBRERO!B40+MARZO!B40+ABRIL!B40+MAYO!B40+#REF!+#REF!+#REF!+#REF!+#REF!+#REF!+#REF!)</f>
        <v>#REF!</v>
      </c>
      <c r="C40" s="17" t="e">
        <f>SUM(ENERO!C40+FEBRERO!C40+MARZO!C40+ABRIL!C40+MAYO!C40+#REF!+#REF!+#REF!+#REF!+#REF!+#REF!+#REF!)</f>
        <v>#REF!</v>
      </c>
      <c r="D40" s="17" t="e">
        <f>SUM(ENERO!D40+FEBRERO!D40+MARZO!D40+ABRIL!D40+MAYO!D40+#REF!+#REF!+#REF!+#REF!+#REF!+#REF!+#REF!)</f>
        <v>#REF!</v>
      </c>
      <c r="E40" s="17" t="e">
        <f>SUM(ENERO!E40+FEBRERO!E40+MARZO!E40+ABRIL!E40+MAYO!E40+#REF!+#REF!+#REF!+#REF!+#REF!+#REF!+#REF!)</f>
        <v>#REF!</v>
      </c>
      <c r="F40" s="17" t="e">
        <f>SUM(ENERO!F40+FEBRERO!F40+MARZO!F40+ABRIL!F40+MAYO!F40+#REF!+#REF!+#REF!+#REF!+#REF!+#REF!+#REF!)</f>
        <v>#REF!</v>
      </c>
      <c r="G40" s="17" t="e">
        <f>SUM(ENERO!G40+FEBRERO!G40+MARZO!G40+ABRIL!G40+MAYO!G40+#REF!+#REF!+#REF!+#REF!+#REF!+#REF!+#REF!)</f>
        <v>#REF!</v>
      </c>
      <c r="H40" s="12" t="e">
        <f t="shared" si="4"/>
        <v>#REF!</v>
      </c>
      <c r="I40" s="1"/>
      <c r="J40" s="152"/>
      <c r="K40" s="30" t="s">
        <v>8</v>
      </c>
      <c r="L40" s="30" t="s">
        <v>9</v>
      </c>
      <c r="M40" s="30" t="s">
        <v>10</v>
      </c>
      <c r="N40" s="30" t="s">
        <v>154</v>
      </c>
      <c r="O40" s="30" t="s">
        <v>155</v>
      </c>
      <c r="P40" s="30" t="s">
        <v>147</v>
      </c>
      <c r="Q40" s="54" t="s">
        <v>11</v>
      </c>
      <c r="R40" s="4"/>
      <c r="S40" s="1"/>
    </row>
    <row r="41" spans="1:19" ht="15.75" thickBot="1" x14ac:dyDescent="0.3">
      <c r="A41" s="7" t="s">
        <v>78</v>
      </c>
      <c r="B41" s="17" t="e">
        <f>SUM(ENERO!B41+FEBRERO!B41+MARZO!B41+ABRIL!B41+MAYO!B41+#REF!+#REF!+#REF!+#REF!+#REF!+#REF!+#REF!)</f>
        <v>#REF!</v>
      </c>
      <c r="C41" s="17" t="e">
        <f>SUM(ENERO!C41+FEBRERO!C41+MARZO!C41+ABRIL!C41+MAYO!C41+#REF!+#REF!+#REF!+#REF!+#REF!+#REF!+#REF!)</f>
        <v>#REF!</v>
      </c>
      <c r="D41" s="17" t="e">
        <f>SUM(ENERO!D41+FEBRERO!D41+MARZO!D41+ABRIL!D41+MAYO!D41+#REF!+#REF!+#REF!+#REF!+#REF!+#REF!+#REF!)</f>
        <v>#REF!</v>
      </c>
      <c r="E41" s="17" t="e">
        <f>SUM(ENERO!E41+FEBRERO!E41+MARZO!E41+ABRIL!E41+MAYO!E41+#REF!+#REF!+#REF!+#REF!+#REF!+#REF!+#REF!)</f>
        <v>#REF!</v>
      </c>
      <c r="F41" s="17" t="e">
        <f>SUM(ENERO!F41+FEBRERO!F41+MARZO!F41+ABRIL!F41+MAYO!F41+#REF!+#REF!+#REF!+#REF!+#REF!+#REF!+#REF!)</f>
        <v>#REF!</v>
      </c>
      <c r="G41" s="17" t="e">
        <f>SUM(ENERO!G41+FEBRERO!G41+MARZO!G41+ABRIL!G41+MAYO!G41+#REF!+#REF!+#REF!+#REF!+#REF!+#REF!+#REF!)</f>
        <v>#REF!</v>
      </c>
      <c r="H41" s="12" t="e">
        <f t="shared" si="4"/>
        <v>#REF!</v>
      </c>
      <c r="I41" s="1"/>
      <c r="J41" s="95" t="s">
        <v>150</v>
      </c>
      <c r="K41" s="29" t="e">
        <f t="shared" ref="K41:P41" si="7">SUM(K42:K49)</f>
        <v>#REF!</v>
      </c>
      <c r="L41" s="29" t="e">
        <f t="shared" si="7"/>
        <v>#REF!</v>
      </c>
      <c r="M41" s="29" t="e">
        <f t="shared" si="7"/>
        <v>#REF!</v>
      </c>
      <c r="N41" s="29" t="e">
        <f t="shared" si="7"/>
        <v>#REF!</v>
      </c>
      <c r="O41" s="29" t="e">
        <f t="shared" si="7"/>
        <v>#REF!</v>
      </c>
      <c r="P41" s="29" t="e">
        <f t="shared" si="7"/>
        <v>#REF!</v>
      </c>
      <c r="Q41" s="96" t="e">
        <f>SUM(K41:P41)</f>
        <v>#REF!</v>
      </c>
      <c r="R41" s="4"/>
      <c r="S41" s="1"/>
    </row>
    <row r="42" spans="1:19" ht="15.75" thickBot="1" x14ac:dyDescent="0.3">
      <c r="A42" s="7" t="s">
        <v>42</v>
      </c>
      <c r="B42" s="17" t="e">
        <f>SUM(ENERO!B42+FEBRERO!B42+MARZO!B42+ABRIL!B42+MAYO!B42+#REF!+#REF!+#REF!+#REF!+#REF!+#REF!+#REF!)</f>
        <v>#REF!</v>
      </c>
      <c r="C42" s="17" t="e">
        <f>SUM(ENERO!C42+FEBRERO!C42+MARZO!C42+ABRIL!C42+MAYO!C42+#REF!+#REF!+#REF!+#REF!+#REF!+#REF!+#REF!)</f>
        <v>#REF!</v>
      </c>
      <c r="D42" s="17" t="e">
        <f>SUM(ENERO!D42+FEBRERO!D42+MARZO!D42+ABRIL!D42+MAYO!D42+#REF!+#REF!+#REF!+#REF!+#REF!+#REF!+#REF!)</f>
        <v>#REF!</v>
      </c>
      <c r="E42" s="17" t="e">
        <f>SUM(ENERO!E42+FEBRERO!E42+MARZO!E42+ABRIL!E42+MAYO!E42+#REF!+#REF!+#REF!+#REF!+#REF!+#REF!+#REF!)</f>
        <v>#REF!</v>
      </c>
      <c r="F42" s="17" t="e">
        <f>SUM(ENERO!F42+FEBRERO!F42+MARZO!F42+ABRIL!F42+MAYO!F42+#REF!+#REF!+#REF!+#REF!+#REF!+#REF!+#REF!)</f>
        <v>#REF!</v>
      </c>
      <c r="G42" s="17" t="e">
        <f>SUM(ENERO!G42+FEBRERO!G42+MARZO!G42+ABRIL!G42+MAYO!G42+#REF!+#REF!+#REF!+#REF!+#REF!+#REF!+#REF!)</f>
        <v>#REF!</v>
      </c>
      <c r="H42" s="12" t="e">
        <f t="shared" si="4"/>
        <v>#REF!</v>
      </c>
      <c r="I42" s="1"/>
      <c r="J42" s="97" t="s">
        <v>165</v>
      </c>
      <c r="K42" s="98" t="e">
        <f>SUM(ENERO!K42+FEBRERO!K42+MARZO!K42+ABRIL!K42+MAYO!K42+#REF!+#REF!+#REF!+#REF!+#REF!+#REF!+#REF!)</f>
        <v>#REF!</v>
      </c>
      <c r="L42" s="98" t="e">
        <f>SUM(ENERO!L42+FEBRERO!L42+MARZO!L42+ABRIL!L42+MAYO!L42+#REF!+#REF!+#REF!+#REF!+#REF!+#REF!+#REF!)</f>
        <v>#REF!</v>
      </c>
      <c r="M42" s="98" t="e">
        <f>SUM(ENERO!M42+FEBRERO!M42+MARZO!M42+ABRIL!M42+MAYO!M42+#REF!+#REF!+#REF!+#REF!+#REF!+#REF!+#REF!)</f>
        <v>#REF!</v>
      </c>
      <c r="N42" s="98" t="e">
        <f>SUM(ENERO!N42+FEBRERO!N42+MARZO!N42+ABRIL!N42+MAYO!N42+#REF!+#REF!+#REF!+#REF!+#REF!+#REF!+#REF!)</f>
        <v>#REF!</v>
      </c>
      <c r="O42" s="98" t="e">
        <f>SUM(ENERO!O42+FEBRERO!O42+MARZO!O42+ABRIL!O42+MAYO!O42+#REF!+#REF!+#REF!+#REF!+#REF!+#REF!+#REF!)</f>
        <v>#REF!</v>
      </c>
      <c r="P42" s="98" t="e">
        <f>SUM(ENERO!P42+FEBRERO!P42+MARZO!P42+ABRIL!P42+MAYO!P42+#REF!+#REF!+#REF!+#REF!+#REF!+#REF!+#REF!)</f>
        <v>#REF!</v>
      </c>
      <c r="Q42" s="99" t="e">
        <f t="shared" ref="Q42:Q49" si="8">SUM(K42:P42)</f>
        <v>#REF!</v>
      </c>
      <c r="R42" s="4"/>
      <c r="S42" s="1"/>
    </row>
    <row r="43" spans="1:19" ht="15.75" thickBot="1" x14ac:dyDescent="0.3">
      <c r="A43" s="7" t="s">
        <v>43</v>
      </c>
      <c r="B43" s="17" t="e">
        <f>SUM(ENERO!B43+FEBRERO!B43+MARZO!B43+ABRIL!B43+MAYO!B43+#REF!+#REF!+#REF!+#REF!+#REF!+#REF!+#REF!)</f>
        <v>#REF!</v>
      </c>
      <c r="C43" s="17" t="e">
        <f>SUM(ENERO!C43+FEBRERO!C43+MARZO!C43+ABRIL!C43+MAYO!C43+#REF!+#REF!+#REF!+#REF!+#REF!+#REF!+#REF!)</f>
        <v>#REF!</v>
      </c>
      <c r="D43" s="17" t="e">
        <f>SUM(ENERO!D43+FEBRERO!D43+MARZO!D43+ABRIL!D43+MAYO!D43+#REF!+#REF!+#REF!+#REF!+#REF!+#REF!+#REF!)</f>
        <v>#REF!</v>
      </c>
      <c r="E43" s="17" t="e">
        <f>SUM(ENERO!E43+FEBRERO!E43+MARZO!E43+ABRIL!E43+MAYO!E43+#REF!+#REF!+#REF!+#REF!+#REF!+#REF!+#REF!)</f>
        <v>#REF!</v>
      </c>
      <c r="F43" s="17" t="e">
        <f>SUM(ENERO!F43+FEBRERO!F43+MARZO!F43+ABRIL!F43+MAYO!F43+#REF!+#REF!+#REF!+#REF!+#REF!+#REF!+#REF!)</f>
        <v>#REF!</v>
      </c>
      <c r="G43" s="17" t="e">
        <f>SUM(ENERO!G43+FEBRERO!G43+MARZO!G43+ABRIL!G43+MAYO!G43+#REF!+#REF!+#REF!+#REF!+#REF!+#REF!+#REF!)</f>
        <v>#REF!</v>
      </c>
      <c r="H43" s="12" t="e">
        <f t="shared" si="4"/>
        <v>#REF!</v>
      </c>
      <c r="I43" s="1"/>
      <c r="J43" s="86" t="s">
        <v>166</v>
      </c>
      <c r="K43" s="98" t="e">
        <f>SUM(ENERO!K43+FEBRERO!K43+MARZO!K43+ABRIL!K43+MAYO!K43+#REF!+#REF!+#REF!+#REF!+#REF!+#REF!+#REF!)</f>
        <v>#REF!</v>
      </c>
      <c r="L43" s="98" t="e">
        <f>SUM(ENERO!L43+FEBRERO!L43+MARZO!L43+ABRIL!L43+MAYO!L43+#REF!+#REF!+#REF!+#REF!+#REF!+#REF!+#REF!)</f>
        <v>#REF!</v>
      </c>
      <c r="M43" s="98" t="e">
        <f>SUM(ENERO!M43+FEBRERO!M43+MARZO!M43+ABRIL!M43+MAYO!M43+#REF!+#REF!+#REF!+#REF!+#REF!+#REF!+#REF!)</f>
        <v>#REF!</v>
      </c>
      <c r="N43" s="98" t="e">
        <f>SUM(ENERO!N43+FEBRERO!N43+MARZO!N43+ABRIL!N43+MAYO!N43+#REF!+#REF!+#REF!+#REF!+#REF!+#REF!+#REF!)</f>
        <v>#REF!</v>
      </c>
      <c r="O43" s="98" t="e">
        <f>SUM(ENERO!O43+FEBRERO!O43+MARZO!O43+ABRIL!O43+MAYO!O43+#REF!+#REF!+#REF!+#REF!+#REF!+#REF!+#REF!)</f>
        <v>#REF!</v>
      </c>
      <c r="P43" s="98" t="e">
        <f>SUM(ENERO!P43+FEBRERO!P43+MARZO!P43+ABRIL!P43+MAYO!P43+#REF!+#REF!+#REF!+#REF!+#REF!+#REF!+#REF!)</f>
        <v>#REF!</v>
      </c>
      <c r="Q43" s="40" t="e">
        <f t="shared" si="8"/>
        <v>#REF!</v>
      </c>
      <c r="R43" s="4"/>
      <c r="S43" s="1"/>
    </row>
    <row r="44" spans="1:19" ht="15.75" thickBot="1" x14ac:dyDescent="0.3">
      <c r="A44" s="7" t="s">
        <v>101</v>
      </c>
      <c r="B44" s="17" t="e">
        <f>SUM(ENERO!B44+FEBRERO!B44+MARZO!B44+ABRIL!B44+MAYO!B44+#REF!+#REF!+#REF!+#REF!+#REF!+#REF!+#REF!)</f>
        <v>#REF!</v>
      </c>
      <c r="C44" s="17" t="e">
        <f>SUM(ENERO!C44+FEBRERO!C44+MARZO!C44+ABRIL!C44+MAYO!C44+#REF!+#REF!+#REF!+#REF!+#REF!+#REF!+#REF!)</f>
        <v>#REF!</v>
      </c>
      <c r="D44" s="17" t="e">
        <f>SUM(ENERO!D44+FEBRERO!D44+MARZO!D44+ABRIL!D44+MAYO!D44+#REF!+#REF!+#REF!+#REF!+#REF!+#REF!+#REF!)</f>
        <v>#REF!</v>
      </c>
      <c r="E44" s="17" t="e">
        <f>SUM(ENERO!E44+FEBRERO!E44+MARZO!E44+ABRIL!E44+MAYO!E44+#REF!+#REF!+#REF!+#REF!+#REF!+#REF!+#REF!)</f>
        <v>#REF!</v>
      </c>
      <c r="F44" s="17" t="e">
        <f>SUM(ENERO!F44+FEBRERO!F44+MARZO!F44+ABRIL!F44+MAYO!F44+#REF!+#REF!+#REF!+#REF!+#REF!+#REF!+#REF!)</f>
        <v>#REF!</v>
      </c>
      <c r="G44" s="17" t="e">
        <f>SUM(ENERO!G44+FEBRERO!G44+MARZO!G44+ABRIL!G44+MAYO!G44+#REF!+#REF!+#REF!+#REF!+#REF!+#REF!+#REF!)</f>
        <v>#REF!</v>
      </c>
      <c r="H44" s="12" t="e">
        <f t="shared" si="4"/>
        <v>#REF!</v>
      </c>
      <c r="I44" s="1"/>
      <c r="J44" s="86" t="s">
        <v>167</v>
      </c>
      <c r="K44" s="98" t="e">
        <f>SUM(ENERO!K44+FEBRERO!K44+MARZO!K44+ABRIL!K44+MAYO!K44+#REF!+#REF!+#REF!+#REF!+#REF!+#REF!+#REF!)</f>
        <v>#REF!</v>
      </c>
      <c r="L44" s="98" t="e">
        <f>SUM(ENERO!L44+FEBRERO!L44+MARZO!L44+ABRIL!L44+MAYO!L44+#REF!+#REF!+#REF!+#REF!+#REF!+#REF!+#REF!)</f>
        <v>#REF!</v>
      </c>
      <c r="M44" s="98" t="e">
        <f>SUM(ENERO!M44+FEBRERO!M44+MARZO!M44+ABRIL!M44+MAYO!M44+#REF!+#REF!+#REF!+#REF!+#REF!+#REF!+#REF!)</f>
        <v>#REF!</v>
      </c>
      <c r="N44" s="98" t="e">
        <f>SUM(ENERO!N44+FEBRERO!N44+MARZO!N44+ABRIL!N44+MAYO!N44+#REF!+#REF!+#REF!+#REF!+#REF!+#REF!+#REF!)</f>
        <v>#REF!</v>
      </c>
      <c r="O44" s="98" t="e">
        <f>SUM(ENERO!O44+FEBRERO!O44+MARZO!O44+ABRIL!O44+MAYO!O44+#REF!+#REF!+#REF!+#REF!+#REF!+#REF!+#REF!)</f>
        <v>#REF!</v>
      </c>
      <c r="P44" s="98" t="e">
        <f>SUM(ENERO!P44+FEBRERO!P44+MARZO!P44+ABRIL!P44+MAYO!P44+#REF!+#REF!+#REF!+#REF!+#REF!+#REF!+#REF!)</f>
        <v>#REF!</v>
      </c>
      <c r="Q44" s="40" t="e">
        <f t="shared" si="8"/>
        <v>#REF!</v>
      </c>
      <c r="R44" s="4"/>
      <c r="S44" s="1"/>
    </row>
    <row r="45" spans="1:19" ht="15.75" thickBot="1" x14ac:dyDescent="0.3">
      <c r="A45" s="7" t="s">
        <v>95</v>
      </c>
      <c r="B45" s="17" t="e">
        <f>SUM(ENERO!B45+FEBRERO!B45+MARZO!B45+ABRIL!B45+MAYO!B45+#REF!+#REF!+#REF!+#REF!+#REF!+#REF!+#REF!)</f>
        <v>#REF!</v>
      </c>
      <c r="C45" s="17" t="e">
        <f>SUM(ENERO!C45+FEBRERO!C45+MARZO!C45+ABRIL!C45+MAYO!C45+#REF!+#REF!+#REF!+#REF!+#REF!+#REF!+#REF!)</f>
        <v>#REF!</v>
      </c>
      <c r="D45" s="17" t="e">
        <f>SUM(ENERO!D45+FEBRERO!D45+MARZO!D45+ABRIL!D45+MAYO!D45+#REF!+#REF!+#REF!+#REF!+#REF!+#REF!+#REF!)</f>
        <v>#REF!</v>
      </c>
      <c r="E45" s="17" t="e">
        <f>SUM(ENERO!E45+FEBRERO!E45+MARZO!E45+ABRIL!E45+MAYO!E45+#REF!+#REF!+#REF!+#REF!+#REF!+#REF!+#REF!)</f>
        <v>#REF!</v>
      </c>
      <c r="F45" s="17" t="e">
        <f>SUM(ENERO!F45+FEBRERO!F45+MARZO!F45+ABRIL!F45+MAYO!F45+#REF!+#REF!+#REF!+#REF!+#REF!+#REF!+#REF!)</f>
        <v>#REF!</v>
      </c>
      <c r="G45" s="17" t="e">
        <f>SUM(ENERO!G45+FEBRERO!G45+MARZO!G45+ABRIL!G45+MAYO!G45+#REF!+#REF!+#REF!+#REF!+#REF!+#REF!+#REF!)</f>
        <v>#REF!</v>
      </c>
      <c r="H45" s="12" t="e">
        <f t="shared" si="4"/>
        <v>#REF!</v>
      </c>
      <c r="I45" s="1"/>
      <c r="J45" s="86" t="s">
        <v>168</v>
      </c>
      <c r="K45" s="98" t="e">
        <f>SUM(ENERO!K45+FEBRERO!K45+MARZO!K45+ABRIL!K45+MAYO!K45+#REF!+#REF!+#REF!+#REF!+#REF!+#REF!+#REF!)</f>
        <v>#REF!</v>
      </c>
      <c r="L45" s="98" t="e">
        <f>SUM(ENERO!L45+FEBRERO!L45+MARZO!L45+ABRIL!L45+MAYO!L45+#REF!+#REF!+#REF!+#REF!+#REF!+#REF!+#REF!)</f>
        <v>#REF!</v>
      </c>
      <c r="M45" s="98" t="e">
        <f>SUM(ENERO!M45+FEBRERO!M45+MARZO!M45+ABRIL!M45+MAYO!M45+#REF!+#REF!+#REF!+#REF!+#REF!+#REF!+#REF!)</f>
        <v>#REF!</v>
      </c>
      <c r="N45" s="98" t="e">
        <f>SUM(ENERO!N45+FEBRERO!N45+MARZO!N45+ABRIL!N45+MAYO!N45+#REF!+#REF!+#REF!+#REF!+#REF!+#REF!+#REF!)</f>
        <v>#REF!</v>
      </c>
      <c r="O45" s="98" t="e">
        <f>SUM(ENERO!O45+FEBRERO!O45+MARZO!O45+ABRIL!O45+MAYO!O45+#REF!+#REF!+#REF!+#REF!+#REF!+#REF!+#REF!)</f>
        <v>#REF!</v>
      </c>
      <c r="P45" s="98" t="e">
        <f>SUM(ENERO!P45+FEBRERO!P45+MARZO!P45+ABRIL!P45+MAYO!P45+#REF!+#REF!+#REF!+#REF!+#REF!+#REF!+#REF!)</f>
        <v>#REF!</v>
      </c>
      <c r="Q45" s="40" t="e">
        <f>SUM(K45:P45)</f>
        <v>#REF!</v>
      </c>
      <c r="R45" s="4"/>
      <c r="S45" s="1"/>
    </row>
    <row r="46" spans="1:19" ht="15.75" thickBot="1" x14ac:dyDescent="0.3">
      <c r="A46" s="7" t="s">
        <v>96</v>
      </c>
      <c r="B46" s="17" t="e">
        <f>SUM(ENERO!B46+FEBRERO!B46+MARZO!B46+ABRIL!B46+MAYO!B46+#REF!+#REF!+#REF!+#REF!+#REF!+#REF!+#REF!)</f>
        <v>#REF!</v>
      </c>
      <c r="C46" s="17" t="e">
        <f>SUM(ENERO!C46+FEBRERO!C46+MARZO!C46+ABRIL!C46+MAYO!C46+#REF!+#REF!+#REF!+#REF!+#REF!+#REF!+#REF!)</f>
        <v>#REF!</v>
      </c>
      <c r="D46" s="17" t="e">
        <f>SUM(ENERO!D46+FEBRERO!D46+MARZO!D46+ABRIL!D46+MAYO!D46+#REF!+#REF!+#REF!+#REF!+#REF!+#REF!+#REF!)</f>
        <v>#REF!</v>
      </c>
      <c r="E46" s="17" t="e">
        <f>SUM(ENERO!E46+FEBRERO!E46+MARZO!E46+ABRIL!E46+MAYO!E46+#REF!+#REF!+#REF!+#REF!+#REF!+#REF!+#REF!)</f>
        <v>#REF!</v>
      </c>
      <c r="F46" s="17" t="e">
        <f>SUM(ENERO!F46+FEBRERO!F46+MARZO!F46+ABRIL!F46+MAYO!F46+#REF!+#REF!+#REF!+#REF!+#REF!+#REF!+#REF!)</f>
        <v>#REF!</v>
      </c>
      <c r="G46" s="17" t="e">
        <f>SUM(ENERO!G46+FEBRERO!G46+MARZO!G46+ABRIL!G46+MAYO!G46+#REF!+#REF!+#REF!+#REF!+#REF!+#REF!+#REF!)</f>
        <v>#REF!</v>
      </c>
      <c r="H46" s="12" t="e">
        <f t="shared" si="4"/>
        <v>#REF!</v>
      </c>
      <c r="J46" s="86" t="s">
        <v>34</v>
      </c>
      <c r="K46" s="98" t="e">
        <f>SUM(ENERO!K46+FEBRERO!K46+MARZO!K46+ABRIL!K46+MAYO!K46+#REF!+#REF!+#REF!+#REF!+#REF!+#REF!+#REF!)</f>
        <v>#REF!</v>
      </c>
      <c r="L46" s="98" t="e">
        <f>SUM(ENERO!L46+FEBRERO!L46+MARZO!L46+ABRIL!L46+MAYO!L46+#REF!+#REF!+#REF!+#REF!+#REF!+#REF!+#REF!)</f>
        <v>#REF!</v>
      </c>
      <c r="M46" s="98" t="e">
        <f>SUM(ENERO!M46+FEBRERO!M46+MARZO!M46+ABRIL!M46+MAYO!M46+#REF!+#REF!+#REF!+#REF!+#REF!+#REF!+#REF!)</f>
        <v>#REF!</v>
      </c>
      <c r="N46" s="98" t="e">
        <f>SUM(ENERO!N46+FEBRERO!N46+MARZO!N46+ABRIL!N46+MAYO!N46+#REF!+#REF!+#REF!+#REF!+#REF!+#REF!+#REF!)</f>
        <v>#REF!</v>
      </c>
      <c r="O46" s="98" t="e">
        <f>SUM(ENERO!O46+FEBRERO!O46+MARZO!O46+ABRIL!O46+MAYO!O46+#REF!+#REF!+#REF!+#REF!+#REF!+#REF!+#REF!)</f>
        <v>#REF!</v>
      </c>
      <c r="P46" s="98" t="e">
        <f>SUM(ENERO!P46+FEBRERO!P46+MARZO!P46+ABRIL!P46+MAYO!P46+#REF!+#REF!+#REF!+#REF!+#REF!+#REF!+#REF!)</f>
        <v>#REF!</v>
      </c>
      <c r="Q46" s="40" t="e">
        <f t="shared" si="8"/>
        <v>#REF!</v>
      </c>
      <c r="R46" s="4"/>
      <c r="S46" s="1"/>
    </row>
    <row r="47" spans="1:19" ht="15.75" thickBot="1" x14ac:dyDescent="0.3">
      <c r="A47" s="7" t="s">
        <v>97</v>
      </c>
      <c r="B47" s="17" t="e">
        <f>SUM(ENERO!B47+FEBRERO!B47+MARZO!B47+ABRIL!B47+MAYO!B47+#REF!+#REF!+#REF!+#REF!+#REF!+#REF!+#REF!)</f>
        <v>#REF!</v>
      </c>
      <c r="C47" s="17" t="e">
        <f>SUM(ENERO!C47+FEBRERO!C47+MARZO!C47+ABRIL!C47+MAYO!C47+#REF!+#REF!+#REF!+#REF!+#REF!+#REF!+#REF!)</f>
        <v>#REF!</v>
      </c>
      <c r="D47" s="17" t="e">
        <f>SUM(ENERO!D47+FEBRERO!D47+MARZO!D47+ABRIL!D47+MAYO!D47+#REF!+#REF!+#REF!+#REF!+#REF!+#REF!+#REF!)</f>
        <v>#REF!</v>
      </c>
      <c r="E47" s="17" t="e">
        <f>SUM(ENERO!E47+FEBRERO!E47+MARZO!E47+ABRIL!E47+MAYO!E47+#REF!+#REF!+#REF!+#REF!+#REF!+#REF!+#REF!)</f>
        <v>#REF!</v>
      </c>
      <c r="F47" s="17" t="e">
        <f>SUM(ENERO!F47+FEBRERO!F47+MARZO!F47+ABRIL!F47+MAYO!F47+#REF!+#REF!+#REF!+#REF!+#REF!+#REF!+#REF!)</f>
        <v>#REF!</v>
      </c>
      <c r="G47" s="17" t="e">
        <f>SUM(ENERO!G47+FEBRERO!G47+MARZO!G47+ABRIL!G47+MAYO!G47+#REF!+#REF!+#REF!+#REF!+#REF!+#REF!+#REF!)</f>
        <v>#REF!</v>
      </c>
      <c r="H47" s="12" t="e">
        <f t="shared" si="4"/>
        <v>#REF!</v>
      </c>
      <c r="I47" s="1"/>
      <c r="J47" s="86" t="s">
        <v>179</v>
      </c>
      <c r="K47" s="98" t="e">
        <f>SUM(ENERO!K47+FEBRERO!K47+MARZO!K47+ABRIL!K47+MAYO!K47+#REF!+#REF!+#REF!+#REF!+#REF!+#REF!+#REF!)</f>
        <v>#REF!</v>
      </c>
      <c r="L47" s="98" t="e">
        <f>SUM(ENERO!L47+FEBRERO!L47+MARZO!L47+ABRIL!L47+MAYO!L47+#REF!+#REF!+#REF!+#REF!+#REF!+#REF!+#REF!)</f>
        <v>#REF!</v>
      </c>
      <c r="M47" s="98" t="e">
        <f>SUM(ENERO!M47+FEBRERO!M47+MARZO!M47+ABRIL!M47+MAYO!M47+#REF!+#REF!+#REF!+#REF!+#REF!+#REF!+#REF!)</f>
        <v>#REF!</v>
      </c>
      <c r="N47" s="98" t="e">
        <f>SUM(ENERO!N47+FEBRERO!N47+MARZO!N47+ABRIL!N47+MAYO!N47+#REF!+#REF!+#REF!+#REF!+#REF!+#REF!+#REF!)</f>
        <v>#REF!</v>
      </c>
      <c r="O47" s="98" t="e">
        <f>SUM(ENERO!O47+FEBRERO!O47+MARZO!O47+ABRIL!O47+MAYO!O47+#REF!+#REF!+#REF!+#REF!+#REF!+#REF!+#REF!)</f>
        <v>#REF!</v>
      </c>
      <c r="P47" s="98" t="e">
        <f>SUM(ENERO!P47+FEBRERO!P47+MARZO!P47+ABRIL!P47+MAYO!P47+#REF!+#REF!+#REF!+#REF!+#REF!+#REF!+#REF!)</f>
        <v>#REF!</v>
      </c>
      <c r="Q47" s="40" t="e">
        <f t="shared" si="8"/>
        <v>#REF!</v>
      </c>
      <c r="R47" s="4"/>
      <c r="S47" s="1"/>
    </row>
    <row r="48" spans="1:19" ht="15.75" thickBot="1" x14ac:dyDescent="0.3">
      <c r="A48" s="36" t="s">
        <v>98</v>
      </c>
      <c r="B48" s="17" t="e">
        <f>SUM(ENERO!B48+FEBRERO!B48+MARZO!B48+ABRIL!B48+MAYO!B48+#REF!+#REF!+#REF!+#REF!+#REF!+#REF!+#REF!)</f>
        <v>#REF!</v>
      </c>
      <c r="C48" s="17" t="e">
        <f>SUM(ENERO!C48+FEBRERO!C48+MARZO!C48+ABRIL!C48+MAYO!C48+#REF!+#REF!+#REF!+#REF!+#REF!+#REF!+#REF!)</f>
        <v>#REF!</v>
      </c>
      <c r="D48" s="17" t="e">
        <f>SUM(ENERO!D48+FEBRERO!D48+MARZO!D48+ABRIL!D48+MAYO!D48+#REF!+#REF!+#REF!+#REF!+#REF!+#REF!+#REF!)</f>
        <v>#REF!</v>
      </c>
      <c r="E48" s="17" t="e">
        <f>SUM(ENERO!E48+FEBRERO!E48+MARZO!E48+ABRIL!E48+MAYO!E48+#REF!+#REF!+#REF!+#REF!+#REF!+#REF!+#REF!)</f>
        <v>#REF!</v>
      </c>
      <c r="F48" s="17" t="e">
        <f>SUM(ENERO!F48+FEBRERO!F48+MARZO!F48+ABRIL!F48+MAYO!F48+#REF!+#REF!+#REF!+#REF!+#REF!+#REF!+#REF!)</f>
        <v>#REF!</v>
      </c>
      <c r="G48" s="17" t="e">
        <f>SUM(ENERO!G48+FEBRERO!G48+MARZO!G48+ABRIL!G48+MAYO!G48+#REF!+#REF!+#REF!+#REF!+#REF!+#REF!+#REF!)</f>
        <v>#REF!</v>
      </c>
      <c r="H48" s="12" t="e">
        <f t="shared" si="4"/>
        <v>#REF!</v>
      </c>
      <c r="I48" s="1"/>
      <c r="J48" s="86" t="s">
        <v>177</v>
      </c>
      <c r="K48" s="98" t="e">
        <f>SUM(ENERO!K48+FEBRERO!K48+MARZO!K48+ABRIL!K48+MAYO!K48+#REF!+#REF!+#REF!+#REF!+#REF!+#REF!+#REF!)</f>
        <v>#REF!</v>
      </c>
      <c r="L48" s="98" t="e">
        <f>SUM(ENERO!L48+FEBRERO!L48+MARZO!L48+ABRIL!L48+MAYO!L48+#REF!+#REF!+#REF!+#REF!+#REF!+#REF!+#REF!)</f>
        <v>#REF!</v>
      </c>
      <c r="M48" s="98" t="e">
        <f>SUM(ENERO!M48+FEBRERO!M48+MARZO!M48+ABRIL!M48+MAYO!M48+#REF!+#REF!+#REF!+#REF!+#REF!+#REF!+#REF!)</f>
        <v>#REF!</v>
      </c>
      <c r="N48" s="98" t="e">
        <f>SUM(ENERO!N48+FEBRERO!N48+MARZO!N48+ABRIL!N48+MAYO!N48+#REF!+#REF!+#REF!+#REF!+#REF!+#REF!+#REF!)</f>
        <v>#REF!</v>
      </c>
      <c r="O48" s="98" t="e">
        <f>SUM(ENERO!O48+FEBRERO!O48+MARZO!O48+ABRIL!O48+MAYO!O48+#REF!+#REF!+#REF!+#REF!+#REF!+#REF!+#REF!)</f>
        <v>#REF!</v>
      </c>
      <c r="P48" s="98" t="e">
        <f>SUM(ENERO!P48+FEBRERO!P48+MARZO!P48+ABRIL!P48+MAYO!P48+#REF!+#REF!+#REF!+#REF!+#REF!+#REF!+#REF!)</f>
        <v>#REF!</v>
      </c>
      <c r="Q48" s="40" t="e">
        <f t="shared" si="8"/>
        <v>#REF!</v>
      </c>
      <c r="R48" s="4"/>
      <c r="S48" s="1"/>
    </row>
    <row r="49" spans="1:19" ht="15.75" thickBot="1" x14ac:dyDescent="0.3">
      <c r="A49" s="7" t="s">
        <v>86</v>
      </c>
      <c r="B49" s="17" t="e">
        <f>SUM(ENERO!B49+FEBRERO!B49+MARZO!B49+ABRIL!B49+MAYO!B49+#REF!+#REF!+#REF!+#REF!+#REF!+#REF!+#REF!)</f>
        <v>#REF!</v>
      </c>
      <c r="C49" s="17" t="e">
        <f>SUM(ENERO!C49+FEBRERO!C49+MARZO!C49+ABRIL!C49+MAYO!C49+#REF!+#REF!+#REF!+#REF!+#REF!+#REF!+#REF!)</f>
        <v>#REF!</v>
      </c>
      <c r="D49" s="17" t="e">
        <f>SUM(ENERO!D49+FEBRERO!D49+MARZO!D49+ABRIL!D49+MAYO!D49+#REF!+#REF!+#REF!+#REF!+#REF!+#REF!+#REF!)</f>
        <v>#REF!</v>
      </c>
      <c r="E49" s="17" t="e">
        <f>SUM(ENERO!E49+FEBRERO!E49+MARZO!E49+ABRIL!E49+MAYO!E49+#REF!+#REF!+#REF!+#REF!+#REF!+#REF!+#REF!)</f>
        <v>#REF!</v>
      </c>
      <c r="F49" s="17" t="e">
        <f>SUM(ENERO!F49+FEBRERO!F49+MARZO!F49+ABRIL!F49+MAYO!F49+#REF!+#REF!+#REF!+#REF!+#REF!+#REF!+#REF!)</f>
        <v>#REF!</v>
      </c>
      <c r="G49" s="17" t="e">
        <f>SUM(ENERO!G49+FEBRERO!G49+MARZO!G49+ABRIL!G49+MAYO!G49+#REF!+#REF!+#REF!+#REF!+#REF!+#REF!+#REF!)</f>
        <v>#REF!</v>
      </c>
      <c r="H49" s="14" t="e">
        <f>SUM(B49:G49)</f>
        <v>#REF!</v>
      </c>
      <c r="I49" s="1"/>
      <c r="J49" s="87" t="s">
        <v>178</v>
      </c>
      <c r="K49" s="115" t="e">
        <f>SUM(ENERO!K49+FEBRERO!K49+MARZO!K49+ABRIL!K49+MAYO!K49+#REF!+#REF!+#REF!+#REF!+#REF!+#REF!+#REF!)</f>
        <v>#REF!</v>
      </c>
      <c r="L49" s="115" t="e">
        <f>SUM(ENERO!L49+FEBRERO!L49+MARZO!L49+ABRIL!L49+MAYO!L49+#REF!+#REF!+#REF!+#REF!+#REF!+#REF!+#REF!)</f>
        <v>#REF!</v>
      </c>
      <c r="M49" s="115" t="e">
        <f>SUM(ENERO!M49+FEBRERO!M49+MARZO!M49+ABRIL!M49+MAYO!M49+#REF!+#REF!+#REF!+#REF!+#REF!+#REF!+#REF!)</f>
        <v>#REF!</v>
      </c>
      <c r="N49" s="115" t="e">
        <f>SUM(ENERO!N49+FEBRERO!N49+MARZO!N49+ABRIL!N49+MAYO!N49+#REF!+#REF!+#REF!+#REF!+#REF!+#REF!+#REF!)</f>
        <v>#REF!</v>
      </c>
      <c r="O49" s="115" t="e">
        <f>SUM(ENERO!O49+FEBRERO!O49+MARZO!O49+ABRIL!O49+MAYO!O49+#REF!+#REF!+#REF!+#REF!+#REF!+#REF!+#REF!)</f>
        <v>#REF!</v>
      </c>
      <c r="P49" s="115" t="e">
        <f>SUM(ENERO!P49+FEBRERO!P49+MARZO!P49+ABRIL!P49+MAYO!P49+#REF!+#REF!+#REF!+#REF!+#REF!+#REF!+#REF!)</f>
        <v>#REF!</v>
      </c>
      <c r="Q49" s="46" t="e">
        <f t="shared" si="8"/>
        <v>#REF!</v>
      </c>
      <c r="R49" s="4"/>
      <c r="S49" s="1"/>
    </row>
    <row r="50" spans="1:19" x14ac:dyDescent="0.25">
      <c r="A50" s="18" t="s">
        <v>87</v>
      </c>
      <c r="B50" s="17" t="e">
        <f>SUM(ENERO!B50+FEBRERO!B50+MARZO!B50+ABRIL!B50+MAYO!B50+#REF!+#REF!+#REF!+#REF!+#REF!+#REF!+#REF!)</f>
        <v>#REF!</v>
      </c>
      <c r="C50" s="17" t="e">
        <f>SUM(ENERO!C50+FEBRERO!C50+MARZO!C50+ABRIL!C50+MAYO!C50+#REF!+#REF!+#REF!+#REF!+#REF!+#REF!+#REF!)</f>
        <v>#REF!</v>
      </c>
      <c r="D50" s="17" t="e">
        <f>SUM(ENERO!D50+FEBRERO!D50+MARZO!D50+ABRIL!D50+MAYO!D50+#REF!+#REF!+#REF!+#REF!+#REF!+#REF!+#REF!)</f>
        <v>#REF!</v>
      </c>
      <c r="E50" s="17" t="e">
        <f>SUM(ENERO!E50+FEBRERO!E50+MARZO!E50+ABRIL!E50+MAYO!E50+#REF!+#REF!+#REF!+#REF!+#REF!+#REF!+#REF!)</f>
        <v>#REF!</v>
      </c>
      <c r="F50" s="17" t="e">
        <f>SUM(ENERO!F50+FEBRERO!F50+MARZO!F50+ABRIL!F50+MAYO!F50+#REF!+#REF!+#REF!+#REF!+#REF!+#REF!+#REF!)</f>
        <v>#REF!</v>
      </c>
      <c r="G50" s="17" t="e">
        <f>SUM(ENERO!G50+FEBRERO!G50+MARZO!G50+ABRIL!G50+MAYO!G50+#REF!+#REF!+#REF!+#REF!+#REF!+#REF!+#REF!)</f>
        <v>#REF!</v>
      </c>
      <c r="H50" s="14" t="e">
        <f>SUM(B50:G50)</f>
        <v>#REF!</v>
      </c>
      <c r="I50" s="1"/>
      <c r="J50" s="155"/>
      <c r="K50" s="155"/>
      <c r="L50" s="155"/>
      <c r="M50" s="155"/>
      <c r="N50" s="34"/>
      <c r="O50" s="34"/>
      <c r="P50" s="34"/>
      <c r="Q50" s="35"/>
      <c r="R50" s="4"/>
      <c r="S50" s="1"/>
    </row>
    <row r="51" spans="1:19" ht="15.75" thickBot="1" x14ac:dyDescent="0.3">
      <c r="A51" s="113" t="s">
        <v>139</v>
      </c>
      <c r="B51" s="75" t="e">
        <f t="shared" ref="B51:G51" si="9">SUM(B52:B68)</f>
        <v>#REF!</v>
      </c>
      <c r="C51" s="75" t="e">
        <f t="shared" si="9"/>
        <v>#REF!</v>
      </c>
      <c r="D51" s="77" t="e">
        <f t="shared" si="9"/>
        <v>#REF!</v>
      </c>
      <c r="E51" s="75" t="e">
        <f t="shared" si="9"/>
        <v>#REF!</v>
      </c>
      <c r="F51" s="75" t="e">
        <f t="shared" si="9"/>
        <v>#REF!</v>
      </c>
      <c r="G51" s="112" t="e">
        <f t="shared" si="9"/>
        <v>#REF!</v>
      </c>
      <c r="H51" s="75" t="e">
        <f>SUM(B51:G51)</f>
        <v>#REF!</v>
      </c>
      <c r="I51" s="1"/>
      <c r="Q51" s="24"/>
      <c r="R51" s="4"/>
      <c r="S51" s="1"/>
    </row>
    <row r="52" spans="1:19" x14ac:dyDescent="0.25">
      <c r="A52" s="8" t="s">
        <v>90</v>
      </c>
      <c r="B52" s="37" t="e">
        <f>SUM(ENERO!B52+FEBRERO!B52+MARZO!B52+ABRIL!B52+MAYO!B52+#REF!+#REF!+#REF!+#REF!+#REF!+#REF!+#REF!)</f>
        <v>#REF!</v>
      </c>
      <c r="C52" s="13" t="e">
        <f>SUM(ENERO!C52+FEBRERO!C52+MARZO!C52+ABRIL!C52+MAYO!C52+#REF!+#REF!+#REF!+#REF!+#REF!+#REF!+#REF!)</f>
        <v>#REF!</v>
      </c>
      <c r="D52" s="13" t="e">
        <f>SUM(ENERO!D52+FEBRERO!D52+MARZO!D52+ABRIL!D52+MAYO!D52+#REF!+#REF!+#REF!+#REF!+#REF!+#REF!+#REF!)</f>
        <v>#REF!</v>
      </c>
      <c r="E52" s="13" t="e">
        <f>SUM(ENERO!E52+FEBRERO!E52+MARZO!E52+ABRIL!E52+MAYO!E52+#REF!+#REF!+#REF!+#REF!+#REF!+#REF!+#REF!)</f>
        <v>#REF!</v>
      </c>
      <c r="F52" s="13" t="e">
        <f>SUM(ENERO!F52+FEBRERO!F52+MARZO!F52+ABRIL!F52+MAYO!F52+#REF!+#REF!+#REF!+#REF!+#REF!+#REF!+#REF!)</f>
        <v>#REF!</v>
      </c>
      <c r="G52" s="13" t="e">
        <f>SUM(ENERO!G52+FEBRERO!G52+MARZO!G52+ABRIL!G52+MAYO!G52+#REF!+#REF!+#REF!+#REF!+#REF!+#REF!+#REF!)</f>
        <v>#REF!</v>
      </c>
      <c r="H52" s="26" t="e">
        <f t="shared" ref="H52:H113" si="10">SUM(B52:G52)</f>
        <v>#REF!</v>
      </c>
      <c r="I52" s="1"/>
      <c r="J52" s="158" t="s">
        <v>152</v>
      </c>
      <c r="K52" s="159"/>
      <c r="L52" s="159"/>
      <c r="M52" s="159"/>
      <c r="N52" s="159"/>
      <c r="O52" s="159"/>
      <c r="P52" s="159"/>
      <c r="Q52" s="160"/>
      <c r="R52" s="4"/>
      <c r="S52" s="1"/>
    </row>
    <row r="53" spans="1:19" x14ac:dyDescent="0.25">
      <c r="A53" s="7" t="s">
        <v>91</v>
      </c>
      <c r="B53" s="37" t="e">
        <f>SUM(ENERO!B53+FEBRERO!B53+MARZO!B53+ABRIL!B53+MAYO!B53+#REF!+#REF!+#REF!+#REF!+#REF!+#REF!+#REF!)</f>
        <v>#REF!</v>
      </c>
      <c r="C53" s="13" t="e">
        <f>SUM(ENERO!C53+FEBRERO!C53+MARZO!C53+ABRIL!C53+MAYO!C53+#REF!+#REF!+#REF!+#REF!+#REF!+#REF!+#REF!)</f>
        <v>#REF!</v>
      </c>
      <c r="D53" s="13" t="e">
        <f>SUM(ENERO!D53+FEBRERO!D53+MARZO!D53+ABRIL!D53+MAYO!D53+#REF!+#REF!+#REF!+#REF!+#REF!+#REF!+#REF!)</f>
        <v>#REF!</v>
      </c>
      <c r="E53" s="13" t="e">
        <f>SUM(ENERO!E53+FEBRERO!E53+MARZO!E53+ABRIL!E53+MAYO!E53+#REF!+#REF!+#REF!+#REF!+#REF!+#REF!+#REF!)</f>
        <v>#REF!</v>
      </c>
      <c r="F53" s="13" t="e">
        <f>SUM(ENERO!F53+FEBRERO!F53+MARZO!F53+ABRIL!F53+MAYO!F53+#REF!+#REF!+#REF!+#REF!+#REF!+#REF!+#REF!)</f>
        <v>#REF!</v>
      </c>
      <c r="G53" s="13" t="e">
        <f>SUM(ENERO!G53+FEBRERO!G53+MARZO!G53+ABRIL!G53+MAYO!G53+#REF!+#REF!+#REF!+#REF!+#REF!+#REF!+#REF!)</f>
        <v>#REF!</v>
      </c>
      <c r="H53" s="26" t="e">
        <f t="shared" si="10"/>
        <v>#REF!</v>
      </c>
      <c r="I53" s="1"/>
      <c r="J53" s="156" t="s">
        <v>72</v>
      </c>
      <c r="K53" s="157"/>
      <c r="L53" s="157"/>
      <c r="M53" s="157"/>
      <c r="N53" s="157"/>
      <c r="O53" s="157"/>
      <c r="P53" s="157"/>
      <c r="Q53" s="62" t="s">
        <v>11</v>
      </c>
      <c r="R53" s="4"/>
      <c r="S53" s="1"/>
    </row>
    <row r="54" spans="1:19" x14ac:dyDescent="0.25">
      <c r="A54" s="7" t="s">
        <v>32</v>
      </c>
      <c r="B54" s="37" t="e">
        <f>SUM(ENERO!B54+FEBRERO!B54+MARZO!B54+ABRIL!B54+MAYO!B54+#REF!+#REF!+#REF!+#REF!+#REF!+#REF!+#REF!)</f>
        <v>#REF!</v>
      </c>
      <c r="C54" s="13" t="e">
        <f>SUM(ENERO!C54+FEBRERO!C54+MARZO!C54+ABRIL!C54+MAYO!C54+#REF!+#REF!+#REF!+#REF!+#REF!+#REF!+#REF!)</f>
        <v>#REF!</v>
      </c>
      <c r="D54" s="13" t="e">
        <f>SUM(ENERO!D54+FEBRERO!D54+MARZO!D54+ABRIL!D54+MAYO!D54+#REF!+#REF!+#REF!+#REF!+#REF!+#REF!+#REF!)</f>
        <v>#REF!</v>
      </c>
      <c r="E54" s="13" t="e">
        <f>SUM(ENERO!E54+FEBRERO!E54+MARZO!E54+ABRIL!E54+MAYO!E54+#REF!+#REF!+#REF!+#REF!+#REF!+#REF!+#REF!)</f>
        <v>#REF!</v>
      </c>
      <c r="F54" s="13" t="e">
        <f>SUM(ENERO!F54+FEBRERO!F54+MARZO!F54+ABRIL!F54+MAYO!F54+#REF!+#REF!+#REF!+#REF!+#REF!+#REF!+#REF!)</f>
        <v>#REF!</v>
      </c>
      <c r="G54" s="13" t="e">
        <f>SUM(ENERO!G54+FEBRERO!G54+MARZO!G54+ABRIL!G54+MAYO!G54+#REF!+#REF!+#REF!+#REF!+#REF!+#REF!+#REF!)</f>
        <v>#REF!</v>
      </c>
      <c r="H54" s="26" t="e">
        <f t="shared" si="10"/>
        <v>#REF!</v>
      </c>
      <c r="I54" s="1"/>
      <c r="J54" s="156" t="s">
        <v>71</v>
      </c>
      <c r="K54" s="157"/>
      <c r="L54" s="157"/>
      <c r="M54" s="157"/>
      <c r="N54" s="157"/>
      <c r="O54" s="157"/>
      <c r="P54" s="157"/>
      <c r="Q54" s="47" t="e">
        <f>SUM(ENERO!Q54+FEBRERO!Q54+MARZO!Q54+ABRIL!Q54+MAYO!Q54+#REF!+#REF!+#REF!)</f>
        <v>#REF!</v>
      </c>
      <c r="R54" s="4"/>
      <c r="S54" s="1"/>
    </row>
    <row r="55" spans="1:19" x14ac:dyDescent="0.25">
      <c r="A55" s="7" t="s">
        <v>34</v>
      </c>
      <c r="B55" s="37" t="e">
        <f>SUM(ENERO!B55+FEBRERO!B55+MARZO!B55+ABRIL!B55+MAYO!B55+#REF!+#REF!+#REF!+#REF!+#REF!+#REF!+#REF!)</f>
        <v>#REF!</v>
      </c>
      <c r="C55" s="13" t="e">
        <f>SUM(ENERO!C55+FEBRERO!C55+MARZO!C55+ABRIL!C55+MAYO!C55+#REF!+#REF!+#REF!+#REF!+#REF!+#REF!+#REF!)</f>
        <v>#REF!</v>
      </c>
      <c r="D55" s="13" t="e">
        <f>SUM(ENERO!D55+FEBRERO!D55+MARZO!D55+ABRIL!D55+MAYO!D55+#REF!+#REF!+#REF!+#REF!+#REF!+#REF!+#REF!)</f>
        <v>#REF!</v>
      </c>
      <c r="E55" s="13" t="e">
        <f>SUM(ENERO!E55+FEBRERO!E55+MARZO!E55+ABRIL!E55+MAYO!E55+#REF!+#REF!+#REF!+#REF!+#REF!+#REF!+#REF!)</f>
        <v>#REF!</v>
      </c>
      <c r="F55" s="13" t="e">
        <f>SUM(ENERO!F55+FEBRERO!F55+MARZO!F55+ABRIL!F55+MAYO!F55+#REF!+#REF!+#REF!+#REF!+#REF!+#REF!+#REF!)</f>
        <v>#REF!</v>
      </c>
      <c r="G55" s="13" t="e">
        <f>SUM(ENERO!G55+FEBRERO!G55+MARZO!G55+ABRIL!G55+MAYO!G55+#REF!+#REF!+#REF!+#REF!+#REF!+#REF!+#REF!)</f>
        <v>#REF!</v>
      </c>
      <c r="H55" s="26" t="e">
        <f t="shared" si="10"/>
        <v>#REF!</v>
      </c>
      <c r="I55" s="1"/>
      <c r="J55" s="156" t="s">
        <v>137</v>
      </c>
      <c r="K55" s="157"/>
      <c r="L55" s="157"/>
      <c r="M55" s="157"/>
      <c r="N55" s="157"/>
      <c r="O55" s="157"/>
      <c r="P55" s="157"/>
      <c r="Q55" s="47" t="e">
        <f>(H12)</f>
        <v>#REF!</v>
      </c>
      <c r="R55" s="4"/>
      <c r="S55" s="1"/>
    </row>
    <row r="56" spans="1:19" x14ac:dyDescent="0.25">
      <c r="A56" s="7" t="s">
        <v>181</v>
      </c>
      <c r="B56" s="37" t="e">
        <f>SUM(ENERO!B56+FEBRERO!B56+MARZO!B56+ABRIL!B56+MAYO!B56+#REF!+#REF!+#REF!+#REF!+#REF!+#REF!+#REF!)</f>
        <v>#REF!</v>
      </c>
      <c r="C56" s="13" t="e">
        <f>SUM(ENERO!C56+FEBRERO!C56+MARZO!C56+ABRIL!C56+MAYO!C56+#REF!+#REF!+#REF!+#REF!+#REF!+#REF!+#REF!)</f>
        <v>#REF!</v>
      </c>
      <c r="D56" s="13" t="e">
        <f>SUM(ENERO!D56+FEBRERO!D56+MARZO!D56+ABRIL!D56+MAYO!D56+#REF!+#REF!+#REF!+#REF!+#REF!+#REF!+#REF!)</f>
        <v>#REF!</v>
      </c>
      <c r="E56" s="13" t="e">
        <f>SUM(ENERO!E56+FEBRERO!E56+MARZO!E56+ABRIL!E56+MAYO!E56+#REF!+#REF!+#REF!+#REF!+#REF!+#REF!+#REF!)</f>
        <v>#REF!</v>
      </c>
      <c r="F56" s="13" t="e">
        <f>SUM(ENERO!F56+FEBRERO!F56+MARZO!F56+ABRIL!F56+MAYO!F56+#REF!+#REF!+#REF!+#REF!+#REF!+#REF!+#REF!)</f>
        <v>#REF!</v>
      </c>
      <c r="G56" s="13" t="e">
        <f>SUM(ENERO!G56+FEBRERO!G56+MARZO!G56+ABRIL!G56+MAYO!G56+#REF!+#REF!+#REF!+#REF!+#REF!+#REF!+#REF!)</f>
        <v>#REF!</v>
      </c>
      <c r="H56" s="26" t="e">
        <f t="shared" si="10"/>
        <v>#REF!</v>
      </c>
      <c r="I56" s="1"/>
      <c r="J56" s="156" t="s">
        <v>138</v>
      </c>
      <c r="K56" s="157"/>
      <c r="L56" s="157"/>
      <c r="M56" s="157"/>
      <c r="N56" s="157"/>
      <c r="O56" s="157"/>
      <c r="P56" s="157"/>
      <c r="Q56" s="48" t="e">
        <f>(H51)</f>
        <v>#REF!</v>
      </c>
      <c r="R56" s="4"/>
      <c r="S56" s="1"/>
    </row>
    <row r="57" spans="1:19" x14ac:dyDescent="0.25">
      <c r="A57" s="7" t="s">
        <v>184</v>
      </c>
      <c r="B57" s="37" t="e">
        <f>SUM(ENERO!B57+FEBRERO!B57+MARZO!B57+ABRIL!B57+MAYO!B57+#REF!+#REF!+#REF!+#REF!+#REF!+#REF!+#REF!)</f>
        <v>#REF!</v>
      </c>
      <c r="C57" s="13" t="e">
        <f>SUM(ENERO!C57+FEBRERO!C57+MARZO!C57+ABRIL!C57+MAYO!C57+#REF!+#REF!+#REF!+#REF!+#REF!+#REF!+#REF!)</f>
        <v>#REF!</v>
      </c>
      <c r="D57" s="13" t="e">
        <f>SUM(ENERO!D57+FEBRERO!D57+MARZO!D57+ABRIL!D57+MAYO!D57+#REF!+#REF!+#REF!+#REF!+#REF!+#REF!+#REF!)</f>
        <v>#REF!</v>
      </c>
      <c r="E57" s="13" t="e">
        <f>SUM(ENERO!E57+FEBRERO!E57+MARZO!E57+ABRIL!E57+MAYO!E57+#REF!+#REF!+#REF!+#REF!+#REF!+#REF!+#REF!)</f>
        <v>#REF!</v>
      </c>
      <c r="F57" s="13" t="e">
        <f>SUM(ENERO!F57+FEBRERO!F57+MARZO!F57+ABRIL!F57+MAYO!F57+#REF!+#REF!+#REF!+#REF!+#REF!+#REF!+#REF!)</f>
        <v>#REF!</v>
      </c>
      <c r="G57" s="13" t="e">
        <f>SUM(ENERO!G57+FEBRERO!G57+MARZO!G57+ABRIL!G57+MAYO!G57+#REF!+#REF!+#REF!+#REF!+#REF!+#REF!+#REF!)</f>
        <v>#REF!</v>
      </c>
      <c r="H57" s="26" t="e">
        <f t="shared" si="10"/>
        <v>#REF!</v>
      </c>
      <c r="I57" s="1"/>
      <c r="J57" s="156" t="s">
        <v>140</v>
      </c>
      <c r="K57" s="157"/>
      <c r="L57" s="157"/>
      <c r="M57" s="157"/>
      <c r="N57" s="157"/>
      <c r="O57" s="157"/>
      <c r="P57" s="157"/>
      <c r="Q57" s="48" t="e">
        <f>(H69)</f>
        <v>#REF!</v>
      </c>
      <c r="R57" s="4"/>
      <c r="S57" s="1"/>
    </row>
    <row r="58" spans="1:19" x14ac:dyDescent="0.25">
      <c r="A58" s="7" t="s">
        <v>88</v>
      </c>
      <c r="B58" s="37" t="e">
        <f>SUM(ENERO!B58+FEBRERO!B58+MARZO!B58+ABRIL!B58+MAYO!B58+#REF!+#REF!+#REF!+#REF!+#REF!+#REF!+#REF!)</f>
        <v>#REF!</v>
      </c>
      <c r="C58" s="13" t="e">
        <f>SUM(ENERO!C58+FEBRERO!C58+MARZO!C58+ABRIL!C58+MAYO!C58+#REF!+#REF!+#REF!+#REF!+#REF!+#REF!+#REF!)</f>
        <v>#REF!</v>
      </c>
      <c r="D58" s="13" t="e">
        <f>SUM(ENERO!D58+FEBRERO!D58+MARZO!D58+ABRIL!D58+MAYO!D58+#REF!+#REF!+#REF!+#REF!+#REF!+#REF!+#REF!)</f>
        <v>#REF!</v>
      </c>
      <c r="E58" s="13" t="e">
        <f>SUM(ENERO!E58+FEBRERO!E58+MARZO!E58+ABRIL!E58+MAYO!E58+#REF!+#REF!+#REF!+#REF!+#REF!+#REF!+#REF!)</f>
        <v>#REF!</v>
      </c>
      <c r="F58" s="13" t="e">
        <f>SUM(ENERO!F58+FEBRERO!F58+MARZO!F58+ABRIL!F58+MAYO!F58+#REF!+#REF!+#REF!+#REF!+#REF!+#REF!+#REF!)</f>
        <v>#REF!</v>
      </c>
      <c r="G58" s="13" t="e">
        <f>SUM(ENERO!G58+FEBRERO!G58+MARZO!G58+ABRIL!G58+MAYO!G58+#REF!+#REF!+#REF!+#REF!+#REF!+#REF!+#REF!)</f>
        <v>#REF!</v>
      </c>
      <c r="H58" s="26" t="e">
        <f t="shared" si="10"/>
        <v>#REF!</v>
      </c>
      <c r="I58" s="1"/>
      <c r="J58" s="156" t="s">
        <v>144</v>
      </c>
      <c r="K58" s="157"/>
      <c r="L58" s="157"/>
      <c r="M58" s="157"/>
      <c r="N58" s="157"/>
      <c r="O58" s="157"/>
      <c r="P58" s="157"/>
      <c r="Q58" s="48" t="e">
        <f>H82</f>
        <v>#REF!</v>
      </c>
      <c r="R58" s="4"/>
      <c r="S58" s="1"/>
    </row>
    <row r="59" spans="1:19" x14ac:dyDescent="0.25">
      <c r="A59" s="7" t="s">
        <v>89</v>
      </c>
      <c r="B59" s="37" t="e">
        <f>SUM(ENERO!B59+FEBRERO!B59+MARZO!B59+ABRIL!B59+MAYO!B59+#REF!+#REF!+#REF!+#REF!+#REF!+#REF!+#REF!)</f>
        <v>#REF!</v>
      </c>
      <c r="C59" s="13" t="e">
        <f>SUM(ENERO!C59+FEBRERO!C59+MARZO!C59+ABRIL!C59+MAYO!C59+#REF!+#REF!+#REF!+#REF!+#REF!+#REF!+#REF!)</f>
        <v>#REF!</v>
      </c>
      <c r="D59" s="13" t="e">
        <f>SUM(ENERO!D59+FEBRERO!D59+MARZO!D59+ABRIL!D59+MAYO!D59+#REF!+#REF!+#REF!+#REF!+#REF!+#REF!+#REF!)</f>
        <v>#REF!</v>
      </c>
      <c r="E59" s="13" t="e">
        <f>SUM(ENERO!E59+FEBRERO!E59+MARZO!E59+ABRIL!E59+MAYO!E59+#REF!+#REF!+#REF!+#REF!+#REF!+#REF!+#REF!)</f>
        <v>#REF!</v>
      </c>
      <c r="F59" s="13" t="e">
        <f>SUM(ENERO!F59+FEBRERO!F59+MARZO!F59+ABRIL!F59+MAYO!F59+#REF!+#REF!+#REF!+#REF!+#REF!+#REF!+#REF!)</f>
        <v>#REF!</v>
      </c>
      <c r="G59" s="13" t="e">
        <f>SUM(ENERO!G59+FEBRERO!G59+MARZO!G59+ABRIL!G59+MAYO!G59+#REF!+#REF!+#REF!+#REF!+#REF!+#REF!+#REF!)</f>
        <v>#REF!</v>
      </c>
      <c r="H59" s="26" t="e">
        <f t="shared" si="10"/>
        <v>#REF!</v>
      </c>
      <c r="I59" s="1"/>
      <c r="J59" s="156" t="s">
        <v>141</v>
      </c>
      <c r="K59" s="157"/>
      <c r="L59" s="157"/>
      <c r="M59" s="157"/>
      <c r="N59" s="157"/>
      <c r="O59" s="157"/>
      <c r="P59" s="157"/>
      <c r="Q59" s="48" t="e">
        <f>H95</f>
        <v>#REF!</v>
      </c>
      <c r="R59" s="4"/>
      <c r="S59" s="1"/>
    </row>
    <row r="60" spans="1:19" x14ac:dyDescent="0.25">
      <c r="A60" s="7" t="s">
        <v>183</v>
      </c>
      <c r="B60" s="37" t="e">
        <f>SUM(ENERO!B60+FEBRERO!B60+MARZO!B60+ABRIL!B60+MAYO!B60+#REF!+#REF!+#REF!+#REF!+#REF!+#REF!+#REF!)</f>
        <v>#REF!</v>
      </c>
      <c r="C60" s="13" t="e">
        <f>SUM(ENERO!C60+FEBRERO!C60+MARZO!C60+ABRIL!C60+MAYO!C60+#REF!+#REF!+#REF!+#REF!+#REF!+#REF!+#REF!)</f>
        <v>#REF!</v>
      </c>
      <c r="D60" s="13" t="e">
        <f>SUM(ENERO!D60+FEBRERO!D60+MARZO!D60+ABRIL!D60+MAYO!D60+#REF!+#REF!+#REF!+#REF!+#REF!+#REF!+#REF!)</f>
        <v>#REF!</v>
      </c>
      <c r="E60" s="13" t="e">
        <f>SUM(ENERO!E60+FEBRERO!E60+MARZO!E60+ABRIL!E60+MAYO!E60+#REF!+#REF!+#REF!+#REF!+#REF!+#REF!+#REF!)</f>
        <v>#REF!</v>
      </c>
      <c r="F60" s="13" t="e">
        <f>SUM(ENERO!F60+FEBRERO!F60+MARZO!F60+ABRIL!F60+MAYO!F60+#REF!+#REF!+#REF!+#REF!+#REF!+#REF!+#REF!)</f>
        <v>#REF!</v>
      </c>
      <c r="G60" s="13" t="e">
        <f>SUM(ENERO!G60+FEBRERO!G60+MARZO!G60+ABRIL!G60+MAYO!G60+#REF!+#REF!+#REF!+#REF!+#REF!+#REF!+#REF!)</f>
        <v>#REF!</v>
      </c>
      <c r="H60" s="26" t="e">
        <f t="shared" si="10"/>
        <v>#REF!</v>
      </c>
      <c r="I60" s="1"/>
      <c r="J60" s="156" t="s">
        <v>143</v>
      </c>
      <c r="K60" s="157"/>
      <c r="L60" s="157"/>
      <c r="M60" s="157"/>
      <c r="N60" s="157"/>
      <c r="O60" s="157"/>
      <c r="P60" s="157"/>
      <c r="Q60" s="63" t="e">
        <f>Q11</f>
        <v>#REF!</v>
      </c>
      <c r="R60" s="4"/>
      <c r="S60" s="1"/>
    </row>
    <row r="61" spans="1:19" x14ac:dyDescent="0.25">
      <c r="A61" s="7" t="s">
        <v>36</v>
      </c>
      <c r="B61" s="37" t="e">
        <f>SUM(ENERO!B61+FEBRERO!B61+MARZO!B61+ABRIL!B61+MAYO!B61+#REF!+#REF!+#REF!+#REF!+#REF!+#REF!+#REF!)</f>
        <v>#REF!</v>
      </c>
      <c r="C61" s="13" t="e">
        <f>SUM(ENERO!C61+FEBRERO!C61+MARZO!C61+ABRIL!C61+MAYO!C61+#REF!+#REF!+#REF!+#REF!+#REF!+#REF!+#REF!)</f>
        <v>#REF!</v>
      </c>
      <c r="D61" s="13" t="e">
        <f>SUM(ENERO!D61+FEBRERO!D61+MARZO!D61+ABRIL!D61+MAYO!D61+#REF!+#REF!+#REF!+#REF!+#REF!+#REF!+#REF!)</f>
        <v>#REF!</v>
      </c>
      <c r="E61" s="13" t="e">
        <f>SUM(ENERO!E61+FEBRERO!E61+MARZO!E61+ABRIL!E61+MAYO!E61+#REF!+#REF!+#REF!+#REF!+#REF!+#REF!+#REF!)</f>
        <v>#REF!</v>
      </c>
      <c r="F61" s="13" t="e">
        <f>SUM(ENERO!F61+FEBRERO!F61+MARZO!F61+ABRIL!F61+MAYO!F61+#REF!+#REF!+#REF!+#REF!+#REF!+#REF!+#REF!)</f>
        <v>#REF!</v>
      </c>
      <c r="G61" s="13" t="e">
        <f>SUM(ENERO!G61+FEBRERO!G61+MARZO!G61+ABRIL!G61+MAYO!G61+#REF!+#REF!+#REF!+#REF!+#REF!+#REF!+#REF!)</f>
        <v>#REF!</v>
      </c>
      <c r="H61" s="26" t="e">
        <f t="shared" si="10"/>
        <v>#REF!</v>
      </c>
      <c r="I61" s="1"/>
      <c r="J61" s="156" t="s">
        <v>145</v>
      </c>
      <c r="K61" s="157"/>
      <c r="L61" s="157"/>
      <c r="M61" s="157"/>
      <c r="N61" s="157"/>
      <c r="O61" s="157"/>
      <c r="P61" s="157"/>
      <c r="Q61" s="41" t="e">
        <f>Q28</f>
        <v>#REF!</v>
      </c>
      <c r="R61" s="4"/>
      <c r="S61" s="1"/>
    </row>
    <row r="62" spans="1:19" ht="15.75" thickBot="1" x14ac:dyDescent="0.3">
      <c r="A62" s="7" t="s">
        <v>119</v>
      </c>
      <c r="B62" s="37" t="e">
        <f>SUM(ENERO!B62+FEBRERO!B62+MARZO!B62+ABRIL!B62+MAYO!B62+#REF!+#REF!+#REF!+#REF!+#REF!+#REF!+#REF!)</f>
        <v>#REF!</v>
      </c>
      <c r="C62" s="13" t="e">
        <f>SUM(ENERO!C62+FEBRERO!C62+MARZO!C62+ABRIL!C62+MAYO!C62+#REF!+#REF!+#REF!+#REF!+#REF!+#REF!+#REF!)</f>
        <v>#REF!</v>
      </c>
      <c r="D62" s="13" t="e">
        <f>SUM(ENERO!D62+FEBRERO!D62+MARZO!D62+ABRIL!D62+MAYO!D62+#REF!+#REF!+#REF!+#REF!+#REF!+#REF!+#REF!)</f>
        <v>#REF!</v>
      </c>
      <c r="E62" s="13" t="e">
        <f>SUM(ENERO!E62+FEBRERO!E62+MARZO!E62+ABRIL!E62+MAYO!E62+#REF!+#REF!+#REF!+#REF!+#REF!+#REF!+#REF!)</f>
        <v>#REF!</v>
      </c>
      <c r="F62" s="13" t="e">
        <f>SUM(ENERO!F62+FEBRERO!F62+MARZO!F62+ABRIL!F62+MAYO!F62+#REF!+#REF!+#REF!+#REF!+#REF!+#REF!+#REF!)</f>
        <v>#REF!</v>
      </c>
      <c r="G62" s="13" t="e">
        <f>SUM(ENERO!G62+FEBRERO!G62+MARZO!G62+ABRIL!G62+MAYO!G62+#REF!+#REF!+#REF!+#REF!+#REF!+#REF!+#REF!)</f>
        <v>#REF!</v>
      </c>
      <c r="H62" s="26" t="e">
        <f>SUM(B62:G62)</f>
        <v>#REF!</v>
      </c>
      <c r="I62" s="1"/>
      <c r="J62" s="178" t="s">
        <v>151</v>
      </c>
      <c r="K62" s="179"/>
      <c r="L62" s="179"/>
      <c r="M62" s="179"/>
      <c r="N62" s="179"/>
      <c r="O62" s="179"/>
      <c r="P62" s="179"/>
      <c r="Q62" s="64" t="e">
        <f>Q41</f>
        <v>#REF!</v>
      </c>
      <c r="R62" s="4"/>
      <c r="S62" s="1"/>
    </row>
    <row r="63" spans="1:19" ht="15.75" thickBot="1" x14ac:dyDescent="0.3">
      <c r="A63" s="7" t="s">
        <v>118</v>
      </c>
      <c r="B63" s="37" t="e">
        <f>SUM(ENERO!B63+FEBRERO!B63+MARZO!B63+ABRIL!B63+MAYO!B63+#REF!+#REF!+#REF!+#REF!+#REF!+#REF!+#REF!)</f>
        <v>#REF!</v>
      </c>
      <c r="C63" s="13" t="e">
        <f>SUM(ENERO!C63+FEBRERO!C63+MARZO!C63+ABRIL!C63+MAYO!C63+#REF!+#REF!+#REF!+#REF!+#REF!+#REF!+#REF!)</f>
        <v>#REF!</v>
      </c>
      <c r="D63" s="13" t="e">
        <f>SUM(ENERO!D63+FEBRERO!D63+MARZO!D63+ABRIL!D63+MAYO!D63+#REF!+#REF!+#REF!+#REF!+#REF!+#REF!+#REF!)</f>
        <v>#REF!</v>
      </c>
      <c r="E63" s="13" t="e">
        <f>SUM(ENERO!E63+FEBRERO!E63+MARZO!E63+ABRIL!E63+MAYO!E63+#REF!+#REF!+#REF!+#REF!+#REF!+#REF!+#REF!)</f>
        <v>#REF!</v>
      </c>
      <c r="F63" s="13" t="e">
        <f>SUM(ENERO!F63+FEBRERO!F63+MARZO!F63+ABRIL!F63+MAYO!F63+#REF!+#REF!+#REF!+#REF!+#REF!+#REF!+#REF!)</f>
        <v>#REF!</v>
      </c>
      <c r="G63" s="13" t="e">
        <f>SUM(ENERO!G63+FEBRERO!G63+MARZO!G63+ABRIL!G63+MAYO!G63+#REF!+#REF!+#REF!+#REF!+#REF!+#REF!+#REF!)</f>
        <v>#REF!</v>
      </c>
      <c r="H63" s="33" t="e">
        <f>SUM(B63:G63)</f>
        <v>#REF!</v>
      </c>
      <c r="I63" s="1"/>
      <c r="M63" s="53"/>
      <c r="N63" s="53"/>
      <c r="O63" s="53"/>
      <c r="P63" s="39" t="s">
        <v>11</v>
      </c>
      <c r="Q63" s="61" t="e">
        <f>SUM(Q54:Q62)</f>
        <v>#REF!</v>
      </c>
      <c r="R63" s="4"/>
      <c r="S63" s="1"/>
    </row>
    <row r="64" spans="1:19" x14ac:dyDescent="0.25">
      <c r="A64" s="7" t="s">
        <v>37</v>
      </c>
      <c r="B64" s="37" t="e">
        <f>SUM(ENERO!B64+FEBRERO!B64+MARZO!B64+ABRIL!B64+MAYO!B64+#REF!+#REF!+#REF!+#REF!+#REF!+#REF!+#REF!)</f>
        <v>#REF!</v>
      </c>
      <c r="C64" s="13" t="e">
        <f>SUM(ENERO!C64+FEBRERO!C64+MARZO!C64+ABRIL!C64+MAYO!C64+#REF!+#REF!+#REF!+#REF!+#REF!+#REF!+#REF!)</f>
        <v>#REF!</v>
      </c>
      <c r="D64" s="13" t="e">
        <f>SUM(ENERO!D64+FEBRERO!D64+MARZO!D64+ABRIL!D64+MAYO!D64+#REF!+#REF!+#REF!+#REF!+#REF!+#REF!+#REF!)</f>
        <v>#REF!</v>
      </c>
      <c r="E64" s="13" t="e">
        <f>SUM(ENERO!E64+FEBRERO!E64+MARZO!E64+ABRIL!E64+MAYO!E64+#REF!+#REF!+#REF!+#REF!+#REF!+#REF!+#REF!)</f>
        <v>#REF!</v>
      </c>
      <c r="F64" s="13" t="e">
        <f>SUM(ENERO!F64+FEBRERO!F64+MARZO!F64+ABRIL!F64+MAYO!F64+#REF!+#REF!+#REF!+#REF!+#REF!+#REF!+#REF!)</f>
        <v>#REF!</v>
      </c>
      <c r="G64" s="13" t="e">
        <f>SUM(ENERO!G64+FEBRERO!G64+MARZO!G64+ABRIL!G64+MAYO!G64+#REF!+#REF!+#REF!+#REF!+#REF!+#REF!+#REF!)</f>
        <v>#REF!</v>
      </c>
      <c r="H64" s="26" t="e">
        <f t="shared" si="10"/>
        <v>#REF!</v>
      </c>
      <c r="I64" s="1"/>
      <c r="P64" s="1"/>
      <c r="Q64" s="1"/>
      <c r="R64" s="4"/>
      <c r="S64" s="1"/>
    </row>
    <row r="65" spans="1:19" x14ac:dyDescent="0.25">
      <c r="A65" s="7" t="s">
        <v>38</v>
      </c>
      <c r="B65" s="37" t="e">
        <f>SUM(ENERO!B65+FEBRERO!B65+MARZO!B65+ABRIL!B65+MAYO!B65+#REF!+#REF!+#REF!+#REF!+#REF!+#REF!+#REF!)</f>
        <v>#REF!</v>
      </c>
      <c r="C65" s="13" t="e">
        <f>SUM(ENERO!C65+FEBRERO!C65+MARZO!C65+ABRIL!C65+MAYO!C65+#REF!+#REF!+#REF!+#REF!+#REF!+#REF!+#REF!)</f>
        <v>#REF!</v>
      </c>
      <c r="D65" s="13" t="e">
        <f>SUM(ENERO!D65+FEBRERO!D65+MARZO!D65+ABRIL!D65+MAYO!D65+#REF!+#REF!+#REF!+#REF!+#REF!+#REF!+#REF!)</f>
        <v>#REF!</v>
      </c>
      <c r="E65" s="13" t="e">
        <f>SUM(ENERO!E65+FEBRERO!E65+MARZO!E65+ABRIL!E65+MAYO!E65+#REF!+#REF!+#REF!+#REF!+#REF!+#REF!+#REF!)</f>
        <v>#REF!</v>
      </c>
      <c r="F65" s="13" t="e">
        <f>SUM(ENERO!F65+FEBRERO!F65+MARZO!F65+ABRIL!F65+MAYO!F65+#REF!+#REF!+#REF!+#REF!+#REF!+#REF!+#REF!)</f>
        <v>#REF!</v>
      </c>
      <c r="G65" s="13" t="e">
        <f>SUM(ENERO!G65+FEBRERO!G65+MARZO!G65+ABRIL!G65+MAYO!G65+#REF!+#REF!+#REF!+#REF!+#REF!+#REF!+#REF!)</f>
        <v>#REF!</v>
      </c>
      <c r="H65" s="26" t="e">
        <f t="shared" si="10"/>
        <v>#REF!</v>
      </c>
      <c r="I65" s="1"/>
      <c r="R65" s="4"/>
      <c r="S65" s="1"/>
    </row>
    <row r="66" spans="1:19" x14ac:dyDescent="0.25">
      <c r="A66" s="7" t="s">
        <v>73</v>
      </c>
      <c r="B66" s="37" t="e">
        <f>SUM(ENERO!B66+FEBRERO!B66+MARZO!B66+ABRIL!B66+MAYO!B66+#REF!+#REF!+#REF!+#REF!+#REF!+#REF!+#REF!)</f>
        <v>#REF!</v>
      </c>
      <c r="C66" s="13" t="e">
        <f>SUM(ENERO!C66+FEBRERO!C66+MARZO!C66+ABRIL!C66+MAYO!C66+#REF!+#REF!+#REF!+#REF!+#REF!+#REF!+#REF!)</f>
        <v>#REF!</v>
      </c>
      <c r="D66" s="13" t="e">
        <f>SUM(ENERO!D66+FEBRERO!D66+MARZO!D66+ABRIL!D66+MAYO!D66+#REF!+#REF!+#REF!+#REF!+#REF!+#REF!+#REF!)</f>
        <v>#REF!</v>
      </c>
      <c r="E66" s="13" t="e">
        <f>SUM(ENERO!E66+FEBRERO!E66+MARZO!E66+ABRIL!E66+MAYO!E66+#REF!+#REF!+#REF!+#REF!+#REF!+#REF!+#REF!)</f>
        <v>#REF!</v>
      </c>
      <c r="F66" s="13" t="e">
        <f>SUM(ENERO!F66+FEBRERO!F66+MARZO!F66+ABRIL!F66+MAYO!F66+#REF!+#REF!+#REF!+#REF!+#REF!+#REF!+#REF!)</f>
        <v>#REF!</v>
      </c>
      <c r="G66" s="13" t="e">
        <f>SUM(ENERO!G66+FEBRERO!G66+MARZO!G66+ABRIL!G66+MAYO!G66+#REF!+#REF!+#REF!+#REF!+#REF!+#REF!+#REF!)</f>
        <v>#REF!</v>
      </c>
      <c r="H66" s="26" t="e">
        <f t="shared" si="10"/>
        <v>#REF!</v>
      </c>
      <c r="I66" s="1"/>
      <c r="J66" s="1"/>
      <c r="K66" s="1"/>
      <c r="L66" s="1"/>
      <c r="M66" s="1"/>
      <c r="N66" s="1"/>
      <c r="O66" s="1"/>
      <c r="R66" s="4"/>
      <c r="S66" s="1"/>
    </row>
    <row r="67" spans="1:19" x14ac:dyDescent="0.25">
      <c r="A67" s="7" t="s">
        <v>39</v>
      </c>
      <c r="B67" s="37" t="e">
        <f>SUM(ENERO!B67+FEBRERO!B67+MARZO!B67+ABRIL!B67+MAYO!B67+#REF!+#REF!+#REF!+#REF!+#REF!+#REF!+#REF!)</f>
        <v>#REF!</v>
      </c>
      <c r="C67" s="13" t="e">
        <f>SUM(ENERO!C67+FEBRERO!C67+MARZO!C67+ABRIL!C67+MAYO!C67+#REF!+#REF!+#REF!+#REF!+#REF!+#REF!+#REF!)</f>
        <v>#REF!</v>
      </c>
      <c r="D67" s="13" t="e">
        <f>SUM(ENERO!D67+FEBRERO!D67+MARZO!D67+ABRIL!D67+MAYO!D67+#REF!+#REF!+#REF!+#REF!+#REF!+#REF!+#REF!)</f>
        <v>#REF!</v>
      </c>
      <c r="E67" s="13" t="e">
        <f>SUM(ENERO!E67+FEBRERO!E67+MARZO!E67+ABRIL!E67+MAYO!E67+#REF!+#REF!+#REF!+#REF!+#REF!+#REF!+#REF!)</f>
        <v>#REF!</v>
      </c>
      <c r="F67" s="13" t="e">
        <f>SUM(ENERO!F67+FEBRERO!F67+MARZO!F67+ABRIL!F67+MAYO!F67+#REF!+#REF!+#REF!+#REF!+#REF!+#REF!+#REF!)</f>
        <v>#REF!</v>
      </c>
      <c r="G67" s="13" t="e">
        <f>SUM(ENERO!G67+FEBRERO!G67+MARZO!G67+ABRIL!G67+MAYO!G67+#REF!+#REF!+#REF!+#REF!+#REF!+#REF!+#REF!)</f>
        <v>#REF!</v>
      </c>
      <c r="H67" s="26" t="e">
        <f t="shared" si="10"/>
        <v>#REF!</v>
      </c>
      <c r="I67" s="1"/>
      <c r="R67" s="4"/>
      <c r="S67" s="1"/>
    </row>
    <row r="68" spans="1:19" x14ac:dyDescent="0.25">
      <c r="A68" s="18" t="s">
        <v>40</v>
      </c>
      <c r="B68" s="37" t="e">
        <f>SUM(ENERO!B68+FEBRERO!B68+MARZO!B68+ABRIL!B68+MAYO!B68+#REF!+#REF!+#REF!+#REF!+#REF!+#REF!+#REF!)</f>
        <v>#REF!</v>
      </c>
      <c r="C68" s="13" t="e">
        <f>SUM(ENERO!C68+FEBRERO!C68+MARZO!C68+ABRIL!C68+MAYO!C68+#REF!+#REF!+#REF!+#REF!+#REF!+#REF!+#REF!)</f>
        <v>#REF!</v>
      </c>
      <c r="D68" s="13" t="e">
        <f>SUM(ENERO!D68+FEBRERO!D68+MARZO!D68+ABRIL!D68+MAYO!D68+#REF!+#REF!+#REF!+#REF!+#REF!+#REF!+#REF!)</f>
        <v>#REF!</v>
      </c>
      <c r="E68" s="13" t="e">
        <f>SUM(ENERO!E68+FEBRERO!E68+MARZO!E68+ABRIL!E68+MAYO!E68+#REF!+#REF!+#REF!+#REF!+#REF!+#REF!+#REF!)</f>
        <v>#REF!</v>
      </c>
      <c r="F68" s="13" t="e">
        <f>SUM(ENERO!F68+FEBRERO!F68+MARZO!F68+ABRIL!F68+MAYO!F68+#REF!+#REF!+#REF!+#REF!+#REF!+#REF!+#REF!)</f>
        <v>#REF!</v>
      </c>
      <c r="G68" s="13" t="e">
        <f>SUM(ENERO!G68+FEBRERO!G68+MARZO!G68+ABRIL!G68+MAYO!G68+#REF!+#REF!+#REF!+#REF!+#REF!+#REF!+#REF!)</f>
        <v>#REF!</v>
      </c>
      <c r="H68" s="26" t="e">
        <f t="shared" si="10"/>
        <v>#REF!</v>
      </c>
      <c r="I68" s="1"/>
      <c r="R68" s="4"/>
      <c r="S68" s="1"/>
    </row>
    <row r="69" spans="1:19" x14ac:dyDescent="0.25">
      <c r="A69" s="114" t="s">
        <v>54</v>
      </c>
      <c r="B69" s="74" t="e">
        <f>SUM(B70:B81)</f>
        <v>#REF!</v>
      </c>
      <c r="C69" s="74" t="e">
        <f>SUM(C70:C81)</f>
        <v>#REF!</v>
      </c>
      <c r="D69" s="74" t="e">
        <f>SUM(D70:D81)</f>
        <v>#REF!</v>
      </c>
      <c r="E69" s="74" t="e">
        <f>SUM(E70:E81)</f>
        <v>#REF!</v>
      </c>
      <c r="F69" s="74" t="e">
        <f t="shared" ref="F69:G69" si="11">SUM(F70:F81)</f>
        <v>#REF!</v>
      </c>
      <c r="G69" s="74" t="e">
        <f t="shared" si="11"/>
        <v>#REF!</v>
      </c>
      <c r="H69" s="75" t="e">
        <f t="shared" si="10"/>
        <v>#REF!</v>
      </c>
      <c r="I69" s="1"/>
      <c r="R69" s="4"/>
      <c r="S69" s="1"/>
    </row>
    <row r="70" spans="1:19" x14ac:dyDescent="0.25">
      <c r="A70" s="103" t="s">
        <v>55</v>
      </c>
      <c r="B70" s="65" t="e">
        <f>SUM(ENERO!B70+FEBRERO!B70+MARZO!B70+ABRIL!B70+MAYO!B70+#REF!+#REF!+#REF!+#REF!+#REF!+#REF!+#REF!)</f>
        <v>#REF!</v>
      </c>
      <c r="C70" s="65" t="e">
        <f>SUM(ENERO!C70+FEBRERO!C70+MARZO!C70+ABRIL!C70+MAYO!C70+#REF!+#REF!+#REF!+#REF!+#REF!+#REF!+#REF!)</f>
        <v>#REF!</v>
      </c>
      <c r="D70" s="65" t="e">
        <f>SUM(ENERO!D70+FEBRERO!D70+MARZO!D70+ABRIL!D70+MAYO!D70+#REF!+#REF!+#REF!+#REF!+#REF!+#REF!+#REF!)</f>
        <v>#REF!</v>
      </c>
      <c r="E70" s="91" t="e">
        <f>SUM(ENERO!E70+FEBRERO!E70+MARZO!E70+ABRIL!E70+MAYO!E70+#REF!+#REF!+#REF!+#REF!+#REF!+#REF!+#REF!)</f>
        <v>#REF!</v>
      </c>
      <c r="F70" s="65" t="e">
        <f>SUM(ENERO!F70+FEBRERO!F70+MARZO!F70+ABRIL!F70+MAYO!F70+#REF!+#REF!+#REF!+#REF!+#REF!+#REF!+#REF!)</f>
        <v>#REF!</v>
      </c>
      <c r="G70" s="91" t="e">
        <f>SUM(ENERO!G70+FEBRERO!G70+MARZO!G70+ABRIL!G70+MAYO!G70+#REF!+#REF!+#REF!+#REF!+#REF!+#REF!+#REF!)</f>
        <v>#REF!</v>
      </c>
      <c r="H70" s="14" t="e">
        <f t="shared" si="10"/>
        <v>#REF!</v>
      </c>
      <c r="I70" s="1"/>
      <c r="R70" s="4"/>
      <c r="S70" s="1"/>
    </row>
    <row r="71" spans="1:19" x14ac:dyDescent="0.25">
      <c r="A71" s="104" t="s">
        <v>56</v>
      </c>
      <c r="B71" s="66" t="e">
        <f>SUM(ENERO!B71+FEBRERO!B71+MARZO!B71+ABRIL!B71+MAYO!B71+#REF!+#REF!+#REF!+#REF!+#REF!+#REF!+#REF!)</f>
        <v>#REF!</v>
      </c>
      <c r="C71" s="66" t="e">
        <f>SUM(ENERO!C71+FEBRERO!C71+MARZO!C71+ABRIL!C71+MAYO!C71+#REF!+#REF!+#REF!+#REF!+#REF!+#REF!+#REF!)</f>
        <v>#REF!</v>
      </c>
      <c r="D71" s="66" t="e">
        <f>SUM(ENERO!D71+FEBRERO!D71+MARZO!D71+ABRIL!D71+MAYO!D71+#REF!+#REF!+#REF!+#REF!+#REF!+#REF!+#REF!)</f>
        <v>#REF!</v>
      </c>
      <c r="E71" s="91" t="e">
        <f>SUM(ENERO!E71+FEBRERO!E71+MARZO!E71+ABRIL!E71+MAYO!E71+#REF!+#REF!+#REF!+#REF!+#REF!+#REF!+#REF!)</f>
        <v>#REF!</v>
      </c>
      <c r="F71" s="66" t="e">
        <f>SUM(ENERO!F71+FEBRERO!F71+MARZO!F71+ABRIL!F71+MAYO!F71+#REF!+#REF!+#REF!+#REF!+#REF!+#REF!+#REF!)</f>
        <v>#REF!</v>
      </c>
      <c r="G71" s="91" t="e">
        <f>SUM(ENERO!G71+FEBRERO!G71+MARZO!G71+ABRIL!G71+MAYO!G71+#REF!+#REF!+#REF!+#REF!+#REF!+#REF!+#REF!)</f>
        <v>#REF!</v>
      </c>
      <c r="H71" s="14" t="e">
        <f t="shared" si="10"/>
        <v>#REF!</v>
      </c>
      <c r="I71" s="1"/>
      <c r="R71" s="4"/>
      <c r="S71" s="1"/>
    </row>
    <row r="72" spans="1:19" x14ac:dyDescent="0.25">
      <c r="A72" s="104" t="s">
        <v>58</v>
      </c>
      <c r="B72" s="66" t="e">
        <f>SUM(ENERO!B72+FEBRERO!B72+MARZO!B72+ABRIL!B72+MAYO!B72+#REF!+#REF!+#REF!+#REF!+#REF!+#REF!+#REF!)</f>
        <v>#REF!</v>
      </c>
      <c r="C72" s="66" t="e">
        <f>SUM(ENERO!C72+FEBRERO!C72+MARZO!C72+ABRIL!C72+MAYO!C72+#REF!+#REF!+#REF!+#REF!+#REF!+#REF!+#REF!)</f>
        <v>#REF!</v>
      </c>
      <c r="D72" s="66" t="e">
        <f>SUM(ENERO!D72+FEBRERO!D72+MARZO!D72+ABRIL!D72+MAYO!D72+#REF!+#REF!+#REF!+#REF!+#REF!+#REF!+#REF!)</f>
        <v>#REF!</v>
      </c>
      <c r="E72" s="91" t="e">
        <f>SUM(ENERO!E72+FEBRERO!E72+MARZO!E72+ABRIL!E72+MAYO!E72+#REF!+#REF!+#REF!+#REF!+#REF!+#REF!+#REF!)</f>
        <v>#REF!</v>
      </c>
      <c r="F72" s="66" t="e">
        <f>SUM(ENERO!F72+FEBRERO!F72+MARZO!F72+ABRIL!F72+MAYO!F72+#REF!+#REF!+#REF!+#REF!+#REF!+#REF!+#REF!)</f>
        <v>#REF!</v>
      </c>
      <c r="G72" s="91" t="e">
        <f>SUM(ENERO!G72+FEBRERO!G72+MARZO!G72+ABRIL!G72+MAYO!G72+#REF!+#REF!+#REF!+#REF!+#REF!+#REF!+#REF!)</f>
        <v>#REF!</v>
      </c>
      <c r="H72" s="14" t="e">
        <f t="shared" si="10"/>
        <v>#REF!</v>
      </c>
      <c r="I72" s="1"/>
      <c r="R72" s="4"/>
      <c r="S72" s="1"/>
    </row>
    <row r="73" spans="1:19" x14ac:dyDescent="0.25">
      <c r="A73" s="104" t="s">
        <v>68</v>
      </c>
      <c r="B73" s="66" t="e">
        <f>SUM(ENERO!B73+FEBRERO!B73+MARZO!B73+ABRIL!B73+MAYO!B73+#REF!+#REF!+#REF!+#REF!+#REF!+#REF!+#REF!)</f>
        <v>#REF!</v>
      </c>
      <c r="C73" s="66" t="e">
        <f>SUM(ENERO!C73+FEBRERO!C73+MARZO!C73+ABRIL!C73+MAYO!C73+#REF!+#REF!+#REF!+#REF!+#REF!+#REF!+#REF!)</f>
        <v>#REF!</v>
      </c>
      <c r="D73" s="66" t="e">
        <f>SUM(ENERO!D73+FEBRERO!D73+MARZO!D73+ABRIL!D73+MAYO!D73+#REF!+#REF!+#REF!+#REF!+#REF!+#REF!+#REF!)</f>
        <v>#REF!</v>
      </c>
      <c r="E73" s="91" t="e">
        <f>SUM(ENERO!E73+FEBRERO!E73+MARZO!E73+ABRIL!E73+MAYO!E73+#REF!+#REF!+#REF!+#REF!+#REF!+#REF!+#REF!)</f>
        <v>#REF!</v>
      </c>
      <c r="F73" s="66" t="e">
        <f>SUM(ENERO!F73+FEBRERO!F73+MARZO!F73+ABRIL!F73+MAYO!F73+#REF!+#REF!+#REF!+#REF!+#REF!+#REF!+#REF!)</f>
        <v>#REF!</v>
      </c>
      <c r="G73" s="91" t="e">
        <f>SUM(ENERO!G73+FEBRERO!G73+MARZO!G73+ABRIL!G73+MAYO!G73+#REF!+#REF!+#REF!+#REF!+#REF!+#REF!+#REF!)</f>
        <v>#REF!</v>
      </c>
      <c r="H73" s="14" t="e">
        <f t="shared" si="10"/>
        <v>#REF!</v>
      </c>
      <c r="I73" s="1"/>
      <c r="R73" s="4"/>
      <c r="S73" s="1"/>
    </row>
    <row r="74" spans="1:19" x14ac:dyDescent="0.25">
      <c r="A74" s="104" t="s">
        <v>69</v>
      </c>
      <c r="B74" s="66" t="e">
        <f>SUM(ENERO!B74+FEBRERO!B74+MARZO!B74+ABRIL!B74+MAYO!B74+#REF!+#REF!+#REF!+#REF!+#REF!+#REF!+#REF!)</f>
        <v>#REF!</v>
      </c>
      <c r="C74" s="66" t="e">
        <f>SUM(ENERO!C74+FEBRERO!C74+MARZO!C74+ABRIL!C74+MAYO!C74+#REF!+#REF!+#REF!+#REF!+#REF!+#REF!+#REF!)</f>
        <v>#REF!</v>
      </c>
      <c r="D74" s="66" t="e">
        <f>SUM(ENERO!D74+FEBRERO!D74+MARZO!D74+ABRIL!D74+MAYO!D74+#REF!+#REF!+#REF!+#REF!+#REF!+#REF!+#REF!)</f>
        <v>#REF!</v>
      </c>
      <c r="E74" s="91" t="e">
        <f>SUM(ENERO!E74+FEBRERO!E74+MARZO!E74+ABRIL!E74+MAYO!E74+#REF!+#REF!+#REF!+#REF!+#REF!+#REF!+#REF!)</f>
        <v>#REF!</v>
      </c>
      <c r="F74" s="66" t="e">
        <f>SUM(ENERO!F74+FEBRERO!F74+MARZO!F74+ABRIL!F74+MAYO!F74+#REF!+#REF!+#REF!+#REF!+#REF!+#REF!+#REF!)</f>
        <v>#REF!</v>
      </c>
      <c r="G74" s="91" t="e">
        <f>SUM(ENERO!G74+FEBRERO!G74+MARZO!G74+ABRIL!G74+MAYO!G74+#REF!+#REF!+#REF!+#REF!+#REF!+#REF!+#REF!)</f>
        <v>#REF!</v>
      </c>
      <c r="H74" s="14" t="e">
        <f t="shared" si="10"/>
        <v>#REF!</v>
      </c>
      <c r="I74" s="1"/>
      <c r="R74" s="4"/>
      <c r="S74" s="1"/>
    </row>
    <row r="75" spans="1:19" x14ac:dyDescent="0.25">
      <c r="A75" s="104" t="s">
        <v>57</v>
      </c>
      <c r="B75" s="66" t="e">
        <f>SUM(ENERO!B75+FEBRERO!B75+MARZO!B75+ABRIL!B75+MAYO!B75+#REF!+#REF!+#REF!+#REF!+#REF!+#REF!+#REF!)</f>
        <v>#REF!</v>
      </c>
      <c r="C75" s="66" t="e">
        <f>SUM(ENERO!C75+FEBRERO!C75+MARZO!C75+ABRIL!C75+MAYO!C75+#REF!+#REF!+#REF!+#REF!+#REF!+#REF!+#REF!)</f>
        <v>#REF!</v>
      </c>
      <c r="D75" s="66" t="e">
        <f>SUM(ENERO!D75+FEBRERO!D75+MARZO!D75+ABRIL!D75+MAYO!D75+#REF!+#REF!+#REF!+#REF!+#REF!+#REF!+#REF!)</f>
        <v>#REF!</v>
      </c>
      <c r="E75" s="91" t="e">
        <f>SUM(ENERO!E75+FEBRERO!E75+MARZO!E75+ABRIL!E75+MAYO!E75+#REF!+#REF!+#REF!+#REF!+#REF!+#REF!+#REF!)</f>
        <v>#REF!</v>
      </c>
      <c r="F75" s="66" t="e">
        <f>SUM(ENERO!F75+FEBRERO!F75+MARZO!F75+ABRIL!F75+MAYO!F75+#REF!+#REF!+#REF!+#REF!+#REF!+#REF!+#REF!)</f>
        <v>#REF!</v>
      </c>
      <c r="G75" s="91" t="e">
        <f>SUM(ENERO!G75+FEBRERO!G75+MARZO!G75+ABRIL!G75+MAYO!G75+#REF!+#REF!+#REF!+#REF!+#REF!+#REF!+#REF!)</f>
        <v>#REF!</v>
      </c>
      <c r="H75" s="14" t="e">
        <f t="shared" si="10"/>
        <v>#REF!</v>
      </c>
      <c r="I75" s="1"/>
      <c r="R75" s="4"/>
      <c r="S75" s="1"/>
    </row>
    <row r="76" spans="1:19" x14ac:dyDescent="0.25">
      <c r="A76" s="104" t="s">
        <v>142</v>
      </c>
      <c r="B76" s="66" t="e">
        <f>SUM(ENERO!B76+FEBRERO!B76+MARZO!B76+ABRIL!B76+MAYO!B76+#REF!+#REF!+#REF!+#REF!+#REF!+#REF!+#REF!)</f>
        <v>#REF!</v>
      </c>
      <c r="C76" s="66" t="e">
        <f>SUM(ENERO!C76+FEBRERO!C76+MARZO!C76+ABRIL!C76+MAYO!C76+#REF!+#REF!+#REF!+#REF!+#REF!+#REF!+#REF!)</f>
        <v>#REF!</v>
      </c>
      <c r="D76" s="66" t="e">
        <f>SUM(ENERO!D76+FEBRERO!D76+MARZO!D76+ABRIL!D76+MAYO!D76+#REF!+#REF!+#REF!+#REF!+#REF!+#REF!+#REF!)</f>
        <v>#REF!</v>
      </c>
      <c r="E76" s="91" t="e">
        <f>SUM(ENERO!E76+FEBRERO!E76+MARZO!E76+ABRIL!E76+MAYO!E76+#REF!+#REF!+#REF!+#REF!+#REF!+#REF!+#REF!)</f>
        <v>#REF!</v>
      </c>
      <c r="F76" s="66" t="e">
        <f>SUM(ENERO!F76+FEBRERO!F76+MARZO!F76+ABRIL!F76+MAYO!F76+#REF!+#REF!+#REF!+#REF!+#REF!+#REF!+#REF!)</f>
        <v>#REF!</v>
      </c>
      <c r="G76" s="91" t="e">
        <f>SUM(ENERO!G76+FEBRERO!G76+MARZO!G76+ABRIL!G76+MAYO!G76+#REF!+#REF!+#REF!+#REF!+#REF!+#REF!+#REF!)</f>
        <v>#REF!</v>
      </c>
      <c r="H76" s="14" t="e">
        <f t="shared" si="10"/>
        <v>#REF!</v>
      </c>
      <c r="I76" s="1"/>
      <c r="R76" s="4"/>
      <c r="S76" s="1"/>
    </row>
    <row r="77" spans="1:19" x14ac:dyDescent="0.25">
      <c r="A77" s="104" t="s">
        <v>59</v>
      </c>
      <c r="B77" s="66" t="e">
        <f>SUM(ENERO!B77+FEBRERO!B77+MARZO!B77+ABRIL!B77+MAYO!B77+#REF!+#REF!+#REF!+#REF!+#REF!+#REF!+#REF!)</f>
        <v>#REF!</v>
      </c>
      <c r="C77" s="66" t="e">
        <f>SUM(ENERO!C77+FEBRERO!C77+MARZO!C77+ABRIL!C77+MAYO!C77+#REF!+#REF!+#REF!+#REF!+#REF!+#REF!+#REF!)</f>
        <v>#REF!</v>
      </c>
      <c r="D77" s="66" t="e">
        <f>SUM(ENERO!D77+FEBRERO!D77+MARZO!D77+ABRIL!D77+MAYO!D77+#REF!+#REF!+#REF!+#REF!+#REF!+#REF!+#REF!)</f>
        <v>#REF!</v>
      </c>
      <c r="E77" s="91" t="e">
        <f>SUM(ENERO!E77+FEBRERO!E77+MARZO!E77+ABRIL!E77+MAYO!E77+#REF!+#REF!+#REF!+#REF!+#REF!+#REF!+#REF!)</f>
        <v>#REF!</v>
      </c>
      <c r="F77" s="66" t="e">
        <f>SUM(ENERO!F77+FEBRERO!F77+MARZO!F77+ABRIL!F77+MAYO!F77+#REF!+#REF!+#REF!+#REF!+#REF!+#REF!+#REF!)</f>
        <v>#REF!</v>
      </c>
      <c r="G77" s="91" t="e">
        <f>SUM(ENERO!G77+FEBRERO!G77+MARZO!G77+ABRIL!G77+MAYO!G77+#REF!+#REF!+#REF!+#REF!+#REF!+#REF!+#REF!)</f>
        <v>#REF!</v>
      </c>
      <c r="H77" s="14" t="e">
        <f t="shared" si="10"/>
        <v>#REF!</v>
      </c>
      <c r="I77" s="1"/>
      <c r="R77" s="4"/>
      <c r="S77" s="1"/>
    </row>
    <row r="78" spans="1:19" x14ac:dyDescent="0.25">
      <c r="A78" s="104" t="s">
        <v>60</v>
      </c>
      <c r="B78" s="66" t="e">
        <f>SUM(ENERO!B78+FEBRERO!B78+MARZO!B78+ABRIL!B78+MAYO!B78+#REF!+#REF!+#REF!+#REF!+#REF!+#REF!+#REF!)</f>
        <v>#REF!</v>
      </c>
      <c r="C78" s="66" t="e">
        <f>SUM(ENERO!C78+FEBRERO!C78+MARZO!C78+ABRIL!C78+MAYO!C78+#REF!+#REF!+#REF!+#REF!+#REF!+#REF!+#REF!)</f>
        <v>#REF!</v>
      </c>
      <c r="D78" s="66" t="e">
        <f>SUM(ENERO!D78+FEBRERO!D78+MARZO!D78+ABRIL!D78+MAYO!D78+#REF!+#REF!+#REF!+#REF!+#REF!+#REF!+#REF!)</f>
        <v>#REF!</v>
      </c>
      <c r="E78" s="91" t="e">
        <f>SUM(ENERO!E78+FEBRERO!E78+MARZO!E78+ABRIL!E78+MAYO!E78+#REF!+#REF!+#REF!+#REF!+#REF!+#REF!+#REF!)</f>
        <v>#REF!</v>
      </c>
      <c r="F78" s="66" t="e">
        <f>SUM(ENERO!F78+FEBRERO!F78+MARZO!F78+ABRIL!F78+MAYO!F78+#REF!+#REF!+#REF!+#REF!+#REF!+#REF!+#REF!)</f>
        <v>#REF!</v>
      </c>
      <c r="G78" s="91" t="e">
        <f>SUM(ENERO!G78+FEBRERO!G78+MARZO!G78+ABRIL!G78+MAYO!G78+#REF!+#REF!+#REF!+#REF!+#REF!+#REF!+#REF!)</f>
        <v>#REF!</v>
      </c>
      <c r="H78" s="14" t="e">
        <f t="shared" si="10"/>
        <v>#REF!</v>
      </c>
      <c r="I78" s="1"/>
      <c r="R78" s="4"/>
      <c r="S78" s="1"/>
    </row>
    <row r="79" spans="1:19" x14ac:dyDescent="0.25">
      <c r="A79" s="104" t="s">
        <v>106</v>
      </c>
      <c r="B79" s="66" t="e">
        <f>SUM(ENERO!B79+FEBRERO!B79+MARZO!B79+ABRIL!B79+MAYO!B79+#REF!+#REF!+#REF!+#REF!+#REF!+#REF!+#REF!)</f>
        <v>#REF!</v>
      </c>
      <c r="C79" s="66" t="e">
        <f>SUM(ENERO!C79+FEBRERO!C79+MARZO!C79+ABRIL!C79+MAYO!C79+#REF!+#REF!+#REF!+#REF!+#REF!+#REF!+#REF!)</f>
        <v>#REF!</v>
      </c>
      <c r="D79" s="66" t="e">
        <f>SUM(ENERO!D79+FEBRERO!D79+MARZO!D79+ABRIL!D79+MAYO!D79+#REF!+#REF!+#REF!+#REF!+#REF!+#REF!+#REF!)</f>
        <v>#REF!</v>
      </c>
      <c r="E79" s="91" t="e">
        <f>SUM(ENERO!E79+FEBRERO!E79+MARZO!E79+ABRIL!E79+MAYO!E79+#REF!+#REF!+#REF!+#REF!+#REF!+#REF!+#REF!)</f>
        <v>#REF!</v>
      </c>
      <c r="F79" s="66" t="e">
        <f>SUM(ENERO!F79+FEBRERO!F79+MARZO!F79+ABRIL!F79+MAYO!F79+#REF!+#REF!+#REF!+#REF!+#REF!+#REF!+#REF!)</f>
        <v>#REF!</v>
      </c>
      <c r="G79" s="91" t="e">
        <f>SUM(ENERO!G79+FEBRERO!G79+MARZO!G79+ABRIL!G79+MAYO!G79+#REF!+#REF!+#REF!+#REF!+#REF!+#REF!+#REF!)</f>
        <v>#REF!</v>
      </c>
      <c r="H79" s="14" t="e">
        <f t="shared" si="10"/>
        <v>#REF!</v>
      </c>
      <c r="I79" s="1"/>
      <c r="R79" s="4"/>
      <c r="S79" s="1"/>
    </row>
    <row r="80" spans="1:19" x14ac:dyDescent="0.25">
      <c r="A80" s="104" t="s">
        <v>132</v>
      </c>
      <c r="B80" s="66" t="e">
        <f>SUM(ENERO!B80+FEBRERO!B80+MARZO!B80+ABRIL!B80+MAYO!B80+#REF!+#REF!+#REF!+#REF!+#REF!+#REF!+#REF!)</f>
        <v>#REF!</v>
      </c>
      <c r="C80" s="66" t="e">
        <f>SUM(ENERO!C80+FEBRERO!C80+MARZO!C80+ABRIL!C80+MAYO!C80+#REF!+#REF!+#REF!+#REF!+#REF!+#REF!+#REF!)</f>
        <v>#REF!</v>
      </c>
      <c r="D80" s="66" t="e">
        <f>SUM(ENERO!D80+FEBRERO!D80+MARZO!D80+ABRIL!D80+MAYO!D80+#REF!+#REF!+#REF!+#REF!+#REF!+#REF!+#REF!)</f>
        <v>#REF!</v>
      </c>
      <c r="E80" s="91" t="e">
        <f>SUM(ENERO!E80+FEBRERO!E80+MARZO!E80+ABRIL!E80+MAYO!E80+#REF!+#REF!+#REF!+#REF!+#REF!+#REF!+#REF!)</f>
        <v>#REF!</v>
      </c>
      <c r="F80" s="66" t="e">
        <f>SUM(ENERO!F80+FEBRERO!F80+MARZO!F80+ABRIL!F80+MAYO!F80+#REF!+#REF!+#REF!+#REF!+#REF!+#REF!+#REF!)</f>
        <v>#REF!</v>
      </c>
      <c r="G80" s="91" t="e">
        <f>SUM(ENERO!G80+FEBRERO!G80+MARZO!G80+ABRIL!G80+MAYO!G80+#REF!+#REF!+#REF!+#REF!+#REF!+#REF!+#REF!)</f>
        <v>#REF!</v>
      </c>
      <c r="H80" s="14" t="e">
        <f t="shared" si="10"/>
        <v>#REF!</v>
      </c>
      <c r="I80" s="1"/>
      <c r="R80" s="4"/>
      <c r="S80" s="1"/>
    </row>
    <row r="81" spans="1:19" x14ac:dyDescent="0.25">
      <c r="A81" s="105" t="s">
        <v>133</v>
      </c>
      <c r="B81" s="66" t="e">
        <f>SUM(ENERO!B81+FEBRERO!B81+MARZO!B81+ABRIL!B81+MAYO!B81+#REF!+#REF!+#REF!+#REF!+#REF!+#REF!+#REF!)</f>
        <v>#REF!</v>
      </c>
      <c r="C81" s="66" t="e">
        <f>SUM(ENERO!C81+FEBRERO!C81+MARZO!C81+ABRIL!C81+MAYO!C81+#REF!+#REF!+#REF!+#REF!+#REF!+#REF!+#REF!)</f>
        <v>#REF!</v>
      </c>
      <c r="D81" s="66" t="e">
        <f>SUM(ENERO!D81+FEBRERO!D81+MARZO!D81+ABRIL!D81+MAYO!D81+#REF!+#REF!+#REF!+#REF!+#REF!+#REF!+#REF!)</f>
        <v>#REF!</v>
      </c>
      <c r="E81" s="91" t="e">
        <f>SUM(ENERO!E81+FEBRERO!E81+MARZO!E81+ABRIL!E81+MAYO!E81+#REF!+#REF!+#REF!+#REF!+#REF!+#REF!+#REF!)</f>
        <v>#REF!</v>
      </c>
      <c r="F81" s="66" t="e">
        <f>SUM(ENERO!F81+FEBRERO!F81+MARZO!F81+ABRIL!F81+MAYO!F81+#REF!+#REF!+#REF!+#REF!+#REF!+#REF!+#REF!)</f>
        <v>#REF!</v>
      </c>
      <c r="G81" s="91" t="e">
        <f>SUM(ENERO!G81+FEBRERO!G81+MARZO!G81+ABRIL!G81+MAYO!G81+#REF!+#REF!+#REF!+#REF!+#REF!+#REF!+#REF!)</f>
        <v>#REF!</v>
      </c>
      <c r="H81" s="14" t="e">
        <f t="shared" si="10"/>
        <v>#REF!</v>
      </c>
      <c r="I81" s="1"/>
      <c r="R81" s="4"/>
      <c r="S81" s="1"/>
    </row>
    <row r="82" spans="1:19" x14ac:dyDescent="0.25">
      <c r="A82" s="73" t="s">
        <v>70</v>
      </c>
      <c r="B82" s="29" t="e">
        <f>SUM(B83:B94)</f>
        <v>#REF!</v>
      </c>
      <c r="C82" s="29" t="e">
        <f t="shared" ref="C82:G82" si="12">SUM(C83:C94)</f>
        <v>#REF!</v>
      </c>
      <c r="D82" s="29" t="e">
        <f t="shared" si="12"/>
        <v>#REF!</v>
      </c>
      <c r="E82" s="29" t="e">
        <f t="shared" si="12"/>
        <v>#REF!</v>
      </c>
      <c r="F82" s="29" t="e">
        <f t="shared" si="12"/>
        <v>#REF!</v>
      </c>
      <c r="G82" s="29" t="e">
        <f t="shared" si="12"/>
        <v>#REF!</v>
      </c>
      <c r="H82" s="75" t="e">
        <f t="shared" si="10"/>
        <v>#REF!</v>
      </c>
      <c r="I82" s="1"/>
      <c r="R82" s="4"/>
      <c r="S82" s="1"/>
    </row>
    <row r="83" spans="1:19" x14ac:dyDescent="0.25">
      <c r="A83" s="22" t="s">
        <v>84</v>
      </c>
      <c r="B83" s="31" t="e">
        <f>SUM(ENERO!B83+FEBRERO!B83+MARZO!B83+ABRIL!B83+MAYO!B83+#REF!+#REF!+#REF!+#REF!+#REF!+#REF!+#REF!)</f>
        <v>#REF!</v>
      </c>
      <c r="C83" s="31" t="e">
        <f>SUM(ENERO!C83+FEBRERO!C83+MARZO!C83+ABRIL!C83+MAYO!C83+#REF!+#REF!+#REF!+#REF!+#REF!+#REF!+#REF!)</f>
        <v>#REF!</v>
      </c>
      <c r="D83" s="31" t="e">
        <f>SUM(ENERO!D83+FEBRERO!D83+MARZO!D83+ABRIL!D83+MAYO!D83+#REF!+#REF!+#REF!+#REF!+#REF!+#REF!+#REF!)</f>
        <v>#REF!</v>
      </c>
      <c r="E83" s="20" t="e">
        <f>SUM(ENERO!E83+FEBRERO!E83+MARZO!E83+ABRIL!E83+MAYO!E83+#REF!+#REF!+#REF!+#REF!+#REF!+#REF!+#REF!)</f>
        <v>#REF!</v>
      </c>
      <c r="F83" s="31" t="e">
        <f>SUM(ENERO!F83+FEBRERO!F83+MARZO!F83+ABRIL!F83+MAYO!F83+#REF!+#REF!+#REF!+#REF!+#REF!+#REF!+#REF!)</f>
        <v>#REF!</v>
      </c>
      <c r="G83" s="106" t="e">
        <f>SUM(ENERO!G83+FEBRERO!G83+MARZO!G83+ABRIL!G83+MAYO!G83+#REF!+#REF!+#REF!+#REF!+#REF!+#REF!+#REF!)</f>
        <v>#REF!</v>
      </c>
      <c r="H83" s="26" t="e">
        <f t="shared" si="10"/>
        <v>#REF!</v>
      </c>
      <c r="I83" s="1"/>
      <c r="R83" s="4"/>
      <c r="S83" s="1"/>
    </row>
    <row r="84" spans="1:19" x14ac:dyDescent="0.25">
      <c r="A84" s="22" t="s">
        <v>114</v>
      </c>
      <c r="B84" s="11" t="e">
        <f>SUM(ENERO!B84+FEBRERO!B84+MARZO!B84+ABRIL!B84+MAYO!B84+#REF!+#REF!+#REF!+#REF!+#REF!+#REF!+#REF!)</f>
        <v>#REF!</v>
      </c>
      <c r="C84" s="11" t="e">
        <f>SUM(ENERO!C84+FEBRERO!C84+MARZO!C84+ABRIL!C84+MAYO!C84+#REF!+#REF!+#REF!+#REF!+#REF!+#REF!+#REF!)</f>
        <v>#REF!</v>
      </c>
      <c r="D84" s="11" t="e">
        <f>SUM(ENERO!D84+FEBRERO!D84+MARZO!D84+ABRIL!D84+MAYO!D84+#REF!+#REF!+#REF!+#REF!+#REF!+#REF!+#REF!)</f>
        <v>#REF!</v>
      </c>
      <c r="E84" s="10" t="e">
        <f>SUM(ENERO!E84+FEBRERO!E84+MARZO!E84+ABRIL!E84+MAYO!E84+#REF!+#REF!+#REF!+#REF!+#REF!+#REF!+#REF!)</f>
        <v>#REF!</v>
      </c>
      <c r="F84" s="11" t="e">
        <f>SUM(ENERO!F84+FEBRERO!F84+MARZO!F84+ABRIL!F84+MAYO!F84+#REF!+#REF!+#REF!+#REF!+#REF!+#REF!+#REF!)</f>
        <v>#REF!</v>
      </c>
      <c r="G84" s="17" t="e">
        <f>SUM(ENERO!G84+FEBRERO!G84+MARZO!G84+ABRIL!G84+MAYO!G84+#REF!+#REF!+#REF!+#REF!+#REF!+#REF!+#REF!)</f>
        <v>#REF!</v>
      </c>
      <c r="H84" s="26" t="e">
        <f t="shared" si="10"/>
        <v>#REF!</v>
      </c>
      <c r="I84" s="1"/>
      <c r="R84" s="4"/>
      <c r="S84" s="1"/>
    </row>
    <row r="85" spans="1:19" ht="14.25" customHeight="1" x14ac:dyDescent="0.25">
      <c r="A85" s="22" t="s">
        <v>61</v>
      </c>
      <c r="B85" s="11" t="e">
        <f>SUM(ENERO!B85+FEBRERO!B85+MARZO!B85+ABRIL!B85+MAYO!B85+#REF!+#REF!+#REF!+#REF!+#REF!+#REF!+#REF!)</f>
        <v>#REF!</v>
      </c>
      <c r="C85" s="11" t="e">
        <f>SUM(ENERO!C85+FEBRERO!C85+MARZO!C85+ABRIL!C85+MAYO!C85+#REF!+#REF!+#REF!+#REF!+#REF!+#REF!+#REF!)</f>
        <v>#REF!</v>
      </c>
      <c r="D85" s="11" t="e">
        <f>SUM(ENERO!D85+FEBRERO!D85+MARZO!D85+ABRIL!D85+MAYO!D85+#REF!+#REF!+#REF!+#REF!+#REF!+#REF!+#REF!)</f>
        <v>#REF!</v>
      </c>
      <c r="E85" s="10" t="e">
        <f>SUM(ENERO!E85+FEBRERO!E85+MARZO!E85+ABRIL!E85+MAYO!E85+#REF!+#REF!+#REF!+#REF!+#REF!+#REF!+#REF!)</f>
        <v>#REF!</v>
      </c>
      <c r="F85" s="11" t="e">
        <f>SUM(ENERO!F85+FEBRERO!F85+MARZO!F85+ABRIL!F85+MAYO!F85+#REF!+#REF!+#REF!+#REF!+#REF!+#REF!+#REF!)</f>
        <v>#REF!</v>
      </c>
      <c r="G85" s="17" t="e">
        <f>SUM(ENERO!G85+FEBRERO!G85+MARZO!G85+ABRIL!G85+MAYO!G85+#REF!+#REF!+#REF!+#REF!+#REF!+#REF!+#REF!)</f>
        <v>#REF!</v>
      </c>
      <c r="H85" s="26" t="e">
        <f t="shared" si="10"/>
        <v>#REF!</v>
      </c>
      <c r="I85" s="1"/>
      <c r="R85" s="4"/>
      <c r="S85" s="1"/>
    </row>
    <row r="86" spans="1:19" x14ac:dyDescent="0.25">
      <c r="A86" s="22" t="s">
        <v>62</v>
      </c>
      <c r="B86" s="11" t="e">
        <f>SUM(ENERO!B86+FEBRERO!B86+MARZO!B86+ABRIL!B86+MAYO!B86+#REF!+#REF!+#REF!+#REF!+#REF!+#REF!+#REF!)</f>
        <v>#REF!</v>
      </c>
      <c r="C86" s="11" t="e">
        <f>SUM(ENERO!C86+FEBRERO!C86+MARZO!C86+ABRIL!C86+MAYO!C86+#REF!+#REF!+#REF!+#REF!+#REF!+#REF!+#REF!)</f>
        <v>#REF!</v>
      </c>
      <c r="D86" s="11" t="e">
        <f>SUM(ENERO!D86+FEBRERO!D86+MARZO!D86+ABRIL!D86+MAYO!D86+#REF!+#REF!+#REF!+#REF!+#REF!+#REF!+#REF!)</f>
        <v>#REF!</v>
      </c>
      <c r="E86" s="10" t="e">
        <f>SUM(ENERO!E86+FEBRERO!E86+MARZO!E86+ABRIL!E86+MAYO!E86+#REF!+#REF!+#REF!+#REF!+#REF!+#REF!+#REF!)</f>
        <v>#REF!</v>
      </c>
      <c r="F86" s="11" t="e">
        <f>SUM(ENERO!F86+FEBRERO!F86+MARZO!F86+ABRIL!F86+MAYO!F86+#REF!+#REF!+#REF!+#REF!+#REF!+#REF!+#REF!)</f>
        <v>#REF!</v>
      </c>
      <c r="G86" s="17" t="e">
        <f>SUM(ENERO!G86+FEBRERO!G86+MARZO!G86+ABRIL!G86+MAYO!G86+#REF!+#REF!+#REF!+#REF!+#REF!+#REF!+#REF!)</f>
        <v>#REF!</v>
      </c>
      <c r="H86" s="26" t="e">
        <f t="shared" si="10"/>
        <v>#REF!</v>
      </c>
      <c r="I86" s="1"/>
      <c r="K86" s="176"/>
      <c r="L86" s="176"/>
      <c r="M86" s="176"/>
      <c r="R86" s="4"/>
      <c r="S86" s="1"/>
    </row>
    <row r="87" spans="1:19" x14ac:dyDescent="0.25">
      <c r="A87" s="22" t="s">
        <v>93</v>
      </c>
      <c r="B87" s="11" t="e">
        <f>SUM(ENERO!B87+FEBRERO!B87+MARZO!B87+ABRIL!B87+MAYO!B87+#REF!+#REF!+#REF!+#REF!+#REF!+#REF!+#REF!)</f>
        <v>#REF!</v>
      </c>
      <c r="C87" s="11" t="e">
        <f>SUM(ENERO!C87+FEBRERO!C87+MARZO!C87+ABRIL!C87+MAYO!C87+#REF!+#REF!+#REF!+#REF!+#REF!+#REF!+#REF!)</f>
        <v>#REF!</v>
      </c>
      <c r="D87" s="11" t="e">
        <f>SUM(ENERO!D87+FEBRERO!D87+MARZO!D87+ABRIL!D87+MAYO!D87+#REF!+#REF!+#REF!+#REF!+#REF!+#REF!+#REF!)</f>
        <v>#REF!</v>
      </c>
      <c r="E87" s="10" t="e">
        <f>SUM(ENERO!E87+FEBRERO!E87+MARZO!E87+ABRIL!E87+MAYO!E87+#REF!+#REF!+#REF!+#REF!+#REF!+#REF!+#REF!)</f>
        <v>#REF!</v>
      </c>
      <c r="F87" s="11" t="e">
        <f>SUM(ENERO!F87+FEBRERO!F87+MARZO!F87+ABRIL!F87+MAYO!F87+#REF!+#REF!+#REF!+#REF!+#REF!+#REF!+#REF!)</f>
        <v>#REF!</v>
      </c>
      <c r="G87" s="17" t="e">
        <f>SUM(ENERO!G87+FEBRERO!G87+MARZO!G87+ABRIL!G87+MAYO!G87+#REF!+#REF!+#REF!+#REF!+#REF!+#REF!+#REF!)</f>
        <v>#REF!</v>
      </c>
      <c r="H87" s="26" t="e">
        <f t="shared" si="10"/>
        <v>#REF!</v>
      </c>
      <c r="I87" s="1"/>
      <c r="R87" s="4"/>
      <c r="S87" s="1"/>
    </row>
    <row r="88" spans="1:19" x14ac:dyDescent="0.25">
      <c r="A88" s="22" t="s">
        <v>94</v>
      </c>
      <c r="B88" s="11" t="e">
        <f>SUM(ENERO!B88+FEBRERO!B88+MARZO!B88+ABRIL!B88+MAYO!B88+#REF!+#REF!+#REF!+#REF!+#REF!+#REF!+#REF!)</f>
        <v>#REF!</v>
      </c>
      <c r="C88" s="11" t="e">
        <f>SUM(ENERO!C88+FEBRERO!C88+MARZO!C88+ABRIL!C88+MAYO!C88+#REF!+#REF!+#REF!+#REF!+#REF!+#REF!+#REF!)</f>
        <v>#REF!</v>
      </c>
      <c r="D88" s="11" t="e">
        <f>SUM(ENERO!D88+FEBRERO!D88+MARZO!D88+ABRIL!D88+MAYO!D88+#REF!+#REF!+#REF!+#REF!+#REF!+#REF!+#REF!)</f>
        <v>#REF!</v>
      </c>
      <c r="E88" s="10" t="e">
        <f>SUM(ENERO!E88+FEBRERO!E88+MARZO!E88+ABRIL!E88+MAYO!E88+#REF!+#REF!+#REF!+#REF!+#REF!+#REF!+#REF!)</f>
        <v>#REF!</v>
      </c>
      <c r="F88" s="11" t="e">
        <f>SUM(ENERO!F88+FEBRERO!F88+MARZO!F88+ABRIL!F88+MAYO!F88+#REF!+#REF!+#REF!+#REF!+#REF!+#REF!+#REF!)</f>
        <v>#REF!</v>
      </c>
      <c r="G88" s="17" t="e">
        <f>SUM(ENERO!G88+FEBRERO!G88+MARZO!G88+ABRIL!G88+MAYO!G88+#REF!+#REF!+#REF!+#REF!+#REF!+#REF!+#REF!)</f>
        <v>#REF!</v>
      </c>
      <c r="H88" s="33" t="e">
        <f t="shared" si="10"/>
        <v>#REF!</v>
      </c>
      <c r="I88" s="1"/>
      <c r="R88" s="4"/>
      <c r="S88" s="1"/>
    </row>
    <row r="89" spans="1:19" x14ac:dyDescent="0.25">
      <c r="A89" s="101" t="s">
        <v>108</v>
      </c>
      <c r="B89" s="69" t="e">
        <f>SUM(ENERO!B89+FEBRERO!B89+MARZO!B89+ABRIL!B89+MAYO!B89+#REF!+#REF!+#REF!+#REF!+#REF!+#REF!+#REF!)</f>
        <v>#REF!</v>
      </c>
      <c r="C89" s="69" t="e">
        <f>SUM(ENERO!C89+FEBRERO!C89+MARZO!C89+ABRIL!C89+MAYO!C89+#REF!+#REF!+#REF!+#REF!+#REF!+#REF!+#REF!)</f>
        <v>#REF!</v>
      </c>
      <c r="D89" s="69" t="e">
        <f>SUM(ENERO!D89+FEBRERO!D89+MARZO!D89+ABRIL!D89+MAYO!D89+#REF!+#REF!+#REF!+#REF!+#REF!+#REF!+#REF!)</f>
        <v>#REF!</v>
      </c>
      <c r="E89" s="110" t="e">
        <f>SUM(ENERO!E89+FEBRERO!E89+MARZO!E89+ABRIL!E89+MAYO!E89+#REF!+#REF!+#REF!+#REF!+#REF!+#REF!+#REF!)</f>
        <v>#REF!</v>
      </c>
      <c r="F89" s="69" t="e">
        <f>SUM(ENERO!F89+FEBRERO!F89+MARZO!F89+ABRIL!F89+MAYO!F89+#REF!+#REF!+#REF!+#REF!+#REF!+#REF!+#REF!)</f>
        <v>#REF!</v>
      </c>
      <c r="G89" s="111" t="e">
        <f>SUM(ENERO!G89+FEBRERO!G89+MARZO!G89+ABRIL!G89+MAYO!G89+#REF!+#REF!+#REF!+#REF!+#REF!+#REF!+#REF!)</f>
        <v>#REF!</v>
      </c>
      <c r="H89" s="102" t="e">
        <f>SUM(B89:G89)</f>
        <v>#REF!</v>
      </c>
      <c r="I89" s="1"/>
      <c r="R89" s="4"/>
      <c r="S89" s="1"/>
    </row>
    <row r="90" spans="1:19" ht="14.25" customHeight="1" x14ac:dyDescent="0.25">
      <c r="A90" s="32" t="s">
        <v>63</v>
      </c>
      <c r="B90" s="11" t="e">
        <f>SUM(ENERO!B90+FEBRERO!B90+MARZO!B90+ABRIL!B90+MAYO!B90+#REF!+#REF!+#REF!+#REF!+#REF!+#REF!+#REF!)</f>
        <v>#REF!</v>
      </c>
      <c r="C90" s="11" t="e">
        <f>SUM(ENERO!C90+FEBRERO!C90+MARZO!C90+ABRIL!C90+MAYO!C90+#REF!+#REF!+#REF!+#REF!+#REF!+#REF!+#REF!)</f>
        <v>#REF!</v>
      </c>
      <c r="D90" s="11" t="e">
        <f>SUM(ENERO!D90+FEBRERO!D90+MARZO!D90+ABRIL!D90+MAYO!D90+#REF!+#REF!+#REF!+#REF!+#REF!+#REF!+#REF!)</f>
        <v>#REF!</v>
      </c>
      <c r="E90" s="10" t="e">
        <f>SUM(ENERO!E90+FEBRERO!E90+MARZO!E90+ABRIL!E90+MAYO!E90+#REF!+#REF!+#REF!+#REF!+#REF!+#REF!+#REF!)</f>
        <v>#REF!</v>
      </c>
      <c r="F90" s="11" t="e">
        <f>SUM(ENERO!F90+FEBRERO!F90+MARZO!F90+ABRIL!F90+MAYO!F90+#REF!+#REF!+#REF!+#REF!+#REF!+#REF!+#REF!)</f>
        <v>#REF!</v>
      </c>
      <c r="G90" s="17" t="e">
        <f>SUM(ENERO!G90+FEBRERO!G90+MARZO!G90+ABRIL!G90+MAYO!G90+#REF!+#REF!+#REF!+#REF!+#REF!+#REF!+#REF!)</f>
        <v>#REF!</v>
      </c>
      <c r="H90" s="108" t="e">
        <f t="shared" si="10"/>
        <v>#REF!</v>
      </c>
      <c r="I90" s="1"/>
      <c r="R90" s="4"/>
      <c r="S90" s="1"/>
    </row>
    <row r="91" spans="1:19" ht="14.25" customHeight="1" x14ac:dyDescent="0.25">
      <c r="A91" s="22" t="s">
        <v>153</v>
      </c>
      <c r="B91" s="11" t="e">
        <f>SUM(ENERO!B91+FEBRERO!B91+MARZO!B91+ABRIL!B91+MAYO!B91+#REF!+#REF!+#REF!+#REF!+#REF!+#REF!+#REF!)</f>
        <v>#REF!</v>
      </c>
      <c r="C91" s="11" t="e">
        <f>SUM(ENERO!C91+FEBRERO!C91+MARZO!C91+ABRIL!C91+MAYO!C91+#REF!+#REF!+#REF!+#REF!+#REF!+#REF!+#REF!)</f>
        <v>#REF!</v>
      </c>
      <c r="D91" s="11" t="e">
        <f>SUM(ENERO!D91+FEBRERO!D91+MARZO!D91+ABRIL!D91+MAYO!D91+#REF!+#REF!+#REF!+#REF!+#REF!+#REF!+#REF!)</f>
        <v>#REF!</v>
      </c>
      <c r="E91" s="10" t="e">
        <f>SUM(ENERO!E91+FEBRERO!E91+MARZO!E91+ABRIL!E91+MAYO!E91+#REF!+#REF!+#REF!+#REF!+#REF!+#REF!+#REF!)</f>
        <v>#REF!</v>
      </c>
      <c r="F91" s="11" t="e">
        <f>SUM(ENERO!F91+FEBRERO!F91+MARZO!F91+ABRIL!F91+MAYO!F91+#REF!+#REF!+#REF!+#REF!+#REF!+#REF!+#REF!)</f>
        <v>#REF!</v>
      </c>
      <c r="G91" s="17" t="e">
        <f>SUM(ENERO!G91+FEBRERO!G91+MARZO!G91+ABRIL!G91+MAYO!G91+#REF!+#REF!+#REF!+#REF!+#REF!+#REF!+#REF!)</f>
        <v>#REF!</v>
      </c>
      <c r="H91" s="26" t="e">
        <f t="shared" si="10"/>
        <v>#REF!</v>
      </c>
      <c r="I91" s="1"/>
      <c r="R91" s="4"/>
      <c r="S91" s="1"/>
    </row>
    <row r="92" spans="1:19" ht="14.25" customHeight="1" x14ac:dyDescent="0.25">
      <c r="A92" s="22" t="s">
        <v>107</v>
      </c>
      <c r="B92" s="11" t="e">
        <f>SUM(ENERO!B92+FEBRERO!B92+MARZO!B92+ABRIL!B92+MAYO!B92+#REF!+#REF!+#REF!+#REF!+#REF!+#REF!+#REF!)</f>
        <v>#REF!</v>
      </c>
      <c r="C92" s="11" t="e">
        <f>SUM(ENERO!C92+FEBRERO!C92+MARZO!C92+ABRIL!C92+MAYO!C92+#REF!+#REF!+#REF!+#REF!+#REF!+#REF!+#REF!)</f>
        <v>#REF!</v>
      </c>
      <c r="D92" s="11" t="e">
        <f>SUM(ENERO!D92+FEBRERO!D92+MARZO!D92+ABRIL!D92+MAYO!D92+#REF!+#REF!+#REF!+#REF!+#REF!+#REF!+#REF!)</f>
        <v>#REF!</v>
      </c>
      <c r="E92" s="10" t="e">
        <f>SUM(ENERO!E92+FEBRERO!E92+MARZO!E92+ABRIL!E92+MAYO!E92+#REF!+#REF!+#REF!+#REF!+#REF!+#REF!+#REF!)</f>
        <v>#REF!</v>
      </c>
      <c r="F92" s="11" t="e">
        <f>SUM(ENERO!F92+FEBRERO!F92+MARZO!F92+ABRIL!F92+MAYO!F92+#REF!+#REF!+#REF!+#REF!+#REF!+#REF!+#REF!)</f>
        <v>#REF!</v>
      </c>
      <c r="G92" s="17" t="e">
        <f>SUM(ENERO!G92+FEBRERO!G92+MARZO!G92+ABRIL!G92+MAYO!G92+#REF!+#REF!+#REF!+#REF!+#REF!+#REF!+#REF!)</f>
        <v>#REF!</v>
      </c>
      <c r="H92" s="26" t="e">
        <f t="shared" si="10"/>
        <v>#REF!</v>
      </c>
      <c r="I92" s="1"/>
      <c r="R92" s="4"/>
      <c r="S92" s="1"/>
    </row>
    <row r="93" spans="1:19" x14ac:dyDescent="0.25">
      <c r="A93" s="22" t="s">
        <v>210</v>
      </c>
      <c r="B93" s="11" t="e">
        <f>SUM(ENERO!B93+FEBRERO!B94+MARZO!B94+ABRIL!B94+MAYO!B94+#REF!+#REF!+#REF!+#REF!+#REF!+#REF!+#REF!)</f>
        <v>#REF!</v>
      </c>
      <c r="C93" s="11" t="e">
        <f>SUM(ENERO!C93+FEBRERO!C94+MARZO!C94+ABRIL!C94+MAYO!C94+#REF!+#REF!+#REF!+#REF!+#REF!+#REF!+#REF!)</f>
        <v>#REF!</v>
      </c>
      <c r="D93" s="11" t="e">
        <f>SUM(ENERO!D93+FEBRERO!D94+MARZO!D94+ABRIL!D94+MAYO!D94+#REF!+#REF!+#REF!+#REF!+#REF!+#REF!+#REF!)</f>
        <v>#REF!</v>
      </c>
      <c r="E93" s="10" t="e">
        <f>SUM(ENERO!E93+FEBRERO!E94+MARZO!E94+ABRIL!E94+MAYO!E94+#REF!+#REF!+#REF!+#REF!+#REF!+#REF!+#REF!)</f>
        <v>#REF!</v>
      </c>
      <c r="F93" s="11" t="e">
        <f>SUM(ENERO!F93+FEBRERO!F94+MARZO!F94+ABRIL!F94+MAYO!F94+#REF!+#REF!+#REF!+#REF!+#REF!+#REF!+#REF!)</f>
        <v>#REF!</v>
      </c>
      <c r="G93" s="17" t="e">
        <f>SUM(ENERO!G93+FEBRERO!G94+MARZO!G94+ABRIL!G94+MAYO!G94+#REF!+#REF!+#REF!+#REF!+#REF!+#REF!+#REF!)</f>
        <v>#REF!</v>
      </c>
      <c r="H93" s="26" t="e">
        <f t="shared" si="10"/>
        <v>#REF!</v>
      </c>
      <c r="I93" s="1"/>
      <c r="R93" s="4"/>
      <c r="S93" s="1"/>
    </row>
    <row r="94" spans="1:19" x14ac:dyDescent="0.25">
      <c r="A94" s="22" t="s">
        <v>182</v>
      </c>
      <c r="B94" s="19" t="e">
        <f>SUM(ENERO!B94+FEBRERO!B94+MARZO!B94+ABRIL!B94+MAYO!B94+#REF!+#REF!+#REF!+#REF!+#REF!+#REF!+#REF!)</f>
        <v>#REF!</v>
      </c>
      <c r="C94" s="19" t="e">
        <f>SUM(ENERO!C94+FEBRERO!C94+MARZO!C94+ABRIL!C94+MAYO!C94+#REF!+#REF!+#REF!+#REF!+#REF!+#REF!+#REF!)</f>
        <v>#REF!</v>
      </c>
      <c r="D94" s="19" t="e">
        <f>SUM(ENERO!D94+FEBRERO!D94+MARZO!D94+ABRIL!D94+MAYO!D94+#REF!+#REF!+#REF!+#REF!+#REF!+#REF!+#REF!)</f>
        <v>#REF!</v>
      </c>
      <c r="E94" s="21" t="e">
        <f>SUM(ENERO!E94+FEBRERO!E94+MARZO!E94+ABRIL!E94+MAYO!E94+#REF!+#REF!+#REF!+#REF!+#REF!+#REF!+#REF!)</f>
        <v>#REF!</v>
      </c>
      <c r="F94" s="19" t="e">
        <f>SUM(ENERO!F94+FEBRERO!F94+MARZO!F94+ABRIL!F94+MAYO!F94+#REF!+#REF!+#REF!+#REF!+#REF!+#REF!+#REF!)</f>
        <v>#REF!</v>
      </c>
      <c r="G94" s="38" t="e">
        <f>SUM(ENERO!G94+FEBRERO!G94+MARZO!G94+ABRIL!G94+MAYO!G94+#REF!+#REF!+#REF!+#REF!+#REF!+#REF!+#REF!)</f>
        <v>#REF!</v>
      </c>
      <c r="H94" s="26" t="e">
        <f t="shared" si="10"/>
        <v>#REF!</v>
      </c>
      <c r="I94" s="1"/>
      <c r="R94" s="4"/>
      <c r="S94" s="1"/>
    </row>
    <row r="95" spans="1:19" x14ac:dyDescent="0.25">
      <c r="A95" s="73" t="s">
        <v>3</v>
      </c>
      <c r="B95" s="76" t="e">
        <f>SUM(B96:B155)</f>
        <v>#REF!</v>
      </c>
      <c r="C95" s="76" t="e">
        <f t="shared" ref="C95:G95" si="13">SUM(C96:C155)</f>
        <v>#REF!</v>
      </c>
      <c r="D95" s="76" t="e">
        <f t="shared" si="13"/>
        <v>#REF!</v>
      </c>
      <c r="E95" s="76" t="e">
        <f t="shared" si="13"/>
        <v>#REF!</v>
      </c>
      <c r="F95" s="76" t="e">
        <f t="shared" si="13"/>
        <v>#REF!</v>
      </c>
      <c r="G95" s="76" t="e">
        <f t="shared" si="13"/>
        <v>#REF!</v>
      </c>
      <c r="H95" s="75" t="e">
        <f t="shared" si="10"/>
        <v>#REF!</v>
      </c>
      <c r="I95" s="1"/>
      <c r="R95" s="4"/>
      <c r="S95" s="1"/>
    </row>
    <row r="96" spans="1:19" x14ac:dyDescent="0.25">
      <c r="A96" s="7" t="s">
        <v>113</v>
      </c>
      <c r="B96" s="11" t="e">
        <f>SUM(ENERO!B96+FEBRERO!B96+MARZO!B96+ABRIL!B96+MAYO!B96+#REF!+#REF!+#REF!+#REF!+#REF!+#REF!+#REF!)</f>
        <v>#REF!</v>
      </c>
      <c r="C96" s="11" t="e">
        <f>SUM(ENERO!C96+FEBRERO!C96+MARZO!C96+ABRIL!C96+MAYO!C96+#REF!+#REF!+#REF!+#REF!+#REF!+#REF!+#REF!)</f>
        <v>#REF!</v>
      </c>
      <c r="D96" s="11" t="e">
        <f>SUM(ENERO!D96+FEBRERO!D96+MARZO!D96+ABRIL!D96+MAYO!D96+#REF!+#REF!+#REF!+#REF!+#REF!+#REF!+#REF!)</f>
        <v>#REF!</v>
      </c>
      <c r="E96" s="11" t="e">
        <f>SUM(ENERO!E96+FEBRERO!E96+MARZO!E96+ABRIL!E96+MAYO!E96+#REF!+#REF!+#REF!+#REF!+#REF!+#REF!+#REF!)</f>
        <v>#REF!</v>
      </c>
      <c r="F96" s="11" t="e">
        <f>SUM(ENERO!F96+FEBRERO!F96+MARZO!F96+ABRIL!F96+MAYO!F96+#REF!+#REF!+#REF!+#REF!+#REF!+#REF!+#REF!)</f>
        <v>#REF!</v>
      </c>
      <c r="G96" s="11" t="e">
        <f>SUM(ENERO!G96+FEBRERO!G96+MARZO!G96+ABRIL!G96+MAYO!G96+#REF!+#REF!+#REF!+#REF!+#REF!+#REF!+#REF!)</f>
        <v>#REF!</v>
      </c>
      <c r="H96" s="14" t="e">
        <f t="shared" si="10"/>
        <v>#REF!</v>
      </c>
      <c r="I96" s="1"/>
      <c r="R96" s="4"/>
      <c r="S96" s="1"/>
    </row>
    <row r="97" spans="1:19" x14ac:dyDescent="0.25">
      <c r="A97" s="7" t="s">
        <v>112</v>
      </c>
      <c r="B97" s="11" t="e">
        <f>SUM(ENERO!B97+FEBRERO!B97+MARZO!B97+ABRIL!B97+MAYO!B97+#REF!+#REF!+#REF!+#REF!+#REF!+#REF!+#REF!)</f>
        <v>#REF!</v>
      </c>
      <c r="C97" s="11" t="e">
        <f>SUM(ENERO!C97+FEBRERO!C97+MARZO!C97+ABRIL!C97+MAYO!C97+#REF!+#REF!+#REF!+#REF!+#REF!+#REF!+#REF!)</f>
        <v>#REF!</v>
      </c>
      <c r="D97" s="11" t="e">
        <f>SUM(ENERO!D97+FEBRERO!D97+MARZO!D97+ABRIL!D97+MAYO!D97+#REF!+#REF!+#REF!+#REF!+#REF!+#REF!+#REF!)</f>
        <v>#REF!</v>
      </c>
      <c r="E97" s="11" t="e">
        <f>SUM(ENERO!E97+FEBRERO!E97+MARZO!E97+ABRIL!E97+MAYO!E97+#REF!+#REF!+#REF!+#REF!+#REF!+#REF!+#REF!)</f>
        <v>#REF!</v>
      </c>
      <c r="F97" s="11" t="e">
        <f>SUM(ENERO!F97+FEBRERO!F97+MARZO!F97+ABRIL!F97+MAYO!F97+#REF!+#REF!+#REF!+#REF!+#REF!+#REF!+#REF!)</f>
        <v>#REF!</v>
      </c>
      <c r="G97" s="11" t="e">
        <f>SUM(ENERO!G97+FEBRERO!G97+MARZO!G97+ABRIL!G97+MAYO!G97+#REF!+#REF!+#REF!+#REF!+#REF!+#REF!+#REF!)</f>
        <v>#REF!</v>
      </c>
      <c r="H97" s="27" t="e">
        <f t="shared" si="10"/>
        <v>#REF!</v>
      </c>
      <c r="I97" s="1"/>
      <c r="R97" s="4"/>
      <c r="S97" s="1"/>
    </row>
    <row r="98" spans="1:19" x14ac:dyDescent="0.25">
      <c r="A98" s="7" t="s">
        <v>41</v>
      </c>
      <c r="B98" s="11" t="e">
        <f>SUM(ENERO!B98+FEBRERO!B98+MARZO!B98+ABRIL!B98+MAYO!B98+#REF!+#REF!+#REF!+#REF!+#REF!+#REF!+#REF!)</f>
        <v>#REF!</v>
      </c>
      <c r="C98" s="11" t="e">
        <f>SUM(ENERO!C98+FEBRERO!C98+MARZO!C98+ABRIL!C98+MAYO!C98+#REF!+#REF!+#REF!+#REF!+#REF!+#REF!+#REF!)</f>
        <v>#REF!</v>
      </c>
      <c r="D98" s="11" t="e">
        <f>SUM(ENERO!D98+FEBRERO!D98+MARZO!D98+ABRIL!D98+MAYO!D98+#REF!+#REF!+#REF!+#REF!+#REF!+#REF!+#REF!)</f>
        <v>#REF!</v>
      </c>
      <c r="E98" s="11" t="e">
        <f>SUM(ENERO!E98+FEBRERO!E98+MARZO!E98+ABRIL!E98+MAYO!E98+#REF!+#REF!+#REF!+#REF!+#REF!+#REF!+#REF!)</f>
        <v>#REF!</v>
      </c>
      <c r="F98" s="11" t="e">
        <f>SUM(ENERO!F98+FEBRERO!F98+MARZO!F98+ABRIL!F98+MAYO!F98+#REF!+#REF!+#REF!+#REF!+#REF!+#REF!+#REF!)</f>
        <v>#REF!</v>
      </c>
      <c r="G98" s="11" t="e">
        <f>SUM(ENERO!G98+FEBRERO!G98+MARZO!G98+ABRIL!G98+MAYO!G98+#REF!+#REF!+#REF!+#REF!+#REF!+#REF!+#REF!)</f>
        <v>#REF!</v>
      </c>
      <c r="H98" s="27" t="e">
        <f t="shared" si="10"/>
        <v>#REF!</v>
      </c>
      <c r="I98" s="1"/>
      <c r="R98" s="4"/>
      <c r="S98" s="1"/>
    </row>
    <row r="99" spans="1:19" x14ac:dyDescent="0.25">
      <c r="A99" s="7" t="s">
        <v>192</v>
      </c>
      <c r="B99" s="11" t="e">
        <f>SUM(ENERO!B99+FEBRERO!B99+MARZO!B99+ABRIL!B99+MAYO!B99+#REF!+#REF!+#REF!+#REF!+#REF!+#REF!+#REF!)</f>
        <v>#REF!</v>
      </c>
      <c r="C99" s="11" t="e">
        <f>SUM(ENERO!C99+FEBRERO!C99+MARZO!C99+ABRIL!C99+MAYO!C99+#REF!+#REF!+#REF!+#REF!+#REF!+#REF!+#REF!)</f>
        <v>#REF!</v>
      </c>
      <c r="D99" s="11" t="e">
        <f>SUM(ENERO!D99+FEBRERO!D99+MARZO!D99+ABRIL!D99+MAYO!D99+#REF!+#REF!+#REF!+#REF!+#REF!+#REF!+#REF!)</f>
        <v>#REF!</v>
      </c>
      <c r="E99" s="11" t="e">
        <f>SUM(ENERO!E99+FEBRERO!E99+MARZO!E99+ABRIL!E99+MAYO!E99+#REF!+#REF!+#REF!+#REF!+#REF!+#REF!+#REF!)</f>
        <v>#REF!</v>
      </c>
      <c r="F99" s="11" t="e">
        <f>SUM(ENERO!F99+FEBRERO!F99+MARZO!F99+ABRIL!F99+MAYO!F99+#REF!+#REF!+#REF!+#REF!+#REF!+#REF!+#REF!)</f>
        <v>#REF!</v>
      </c>
      <c r="G99" s="11" t="e">
        <f>SUM(ENERO!G99+FEBRERO!G99+MARZO!G99+ABRIL!G99+MAYO!G99+#REF!+#REF!+#REF!+#REF!+#REF!+#REF!+#REF!)</f>
        <v>#REF!</v>
      </c>
      <c r="H99" s="27" t="e">
        <f t="shared" si="10"/>
        <v>#REF!</v>
      </c>
      <c r="I99" s="1"/>
      <c r="R99" s="4"/>
      <c r="S99" s="1"/>
    </row>
    <row r="100" spans="1:19" x14ac:dyDescent="0.25">
      <c r="A100" s="7" t="s">
        <v>213</v>
      </c>
      <c r="B100" s="11" t="e">
        <f>SUM(ENERO!B100+FEBRERO!B100+MARZO!B100+ABRIL!B100+MAYO!B100+#REF!+#REF!+#REF!+#REF!+#REF!+#REF!+#REF!)</f>
        <v>#REF!</v>
      </c>
      <c r="C100" s="11" t="e">
        <f>SUM(ENERO!C100+FEBRERO!C100+MARZO!C100+ABRIL!C100+MAYO!C100+#REF!+#REF!+#REF!+#REF!+#REF!+#REF!+#REF!)</f>
        <v>#REF!</v>
      </c>
      <c r="D100" s="11" t="e">
        <f>SUM(ENERO!D100+FEBRERO!D100+MARZO!D100+ABRIL!D100+MAYO!D100+#REF!+#REF!+#REF!+#REF!+#REF!+#REF!+#REF!)</f>
        <v>#REF!</v>
      </c>
      <c r="E100" s="11" t="e">
        <f>SUM(ENERO!E100+FEBRERO!E100+MARZO!E100+ABRIL!E100+MAYO!E100+#REF!+#REF!+#REF!+#REF!+#REF!+#REF!+#REF!)</f>
        <v>#REF!</v>
      </c>
      <c r="F100" s="11" t="e">
        <f>SUM(ENERO!F100+FEBRERO!F100+MARZO!F100+ABRIL!F100+MAYO!F100+#REF!+#REF!+#REF!+#REF!+#REF!+#REF!+#REF!)</f>
        <v>#REF!</v>
      </c>
      <c r="G100" s="11" t="e">
        <f>SUM(ENERO!G100+FEBRERO!G100+MARZO!G100+ABRIL!G100+MAYO!G100+#REF!+#REF!+#REF!+#REF!+#REF!+#REF!+#REF!)</f>
        <v>#REF!</v>
      </c>
      <c r="H100" s="27" t="e">
        <f t="shared" si="10"/>
        <v>#REF!</v>
      </c>
      <c r="I100" s="1"/>
      <c r="R100" s="4"/>
      <c r="S100" s="1"/>
    </row>
    <row r="101" spans="1:19" x14ac:dyDescent="0.25">
      <c r="A101" s="7" t="s">
        <v>214</v>
      </c>
      <c r="B101" s="11" t="e">
        <f>SUM(ENERO!B101+FEBRERO!B101+MARZO!B101+ABRIL!B101+MAYO!B101+#REF!+#REF!+#REF!+#REF!+#REF!+#REF!+#REF!)</f>
        <v>#REF!</v>
      </c>
      <c r="C101" s="11" t="e">
        <f>SUM(ENERO!C101+FEBRERO!C101+MARZO!C101+ABRIL!C101+MAYO!C101+#REF!+#REF!+#REF!+#REF!+#REF!+#REF!+#REF!)</f>
        <v>#REF!</v>
      </c>
      <c r="D101" s="11" t="e">
        <f>SUM(ENERO!D101+FEBRERO!D101+MARZO!D101+ABRIL!D101+MAYO!D101+#REF!+#REF!+#REF!+#REF!+#REF!+#REF!+#REF!)</f>
        <v>#REF!</v>
      </c>
      <c r="E101" s="11" t="e">
        <f>SUM(ENERO!E101+FEBRERO!E101+MARZO!E101+ABRIL!E101+MAYO!E101+#REF!+#REF!+#REF!+#REF!+#REF!+#REF!+#REF!)</f>
        <v>#REF!</v>
      </c>
      <c r="F101" s="11" t="e">
        <f>SUM(ENERO!F101+FEBRERO!F101+MARZO!F101+ABRIL!F101+MAYO!F101+#REF!+#REF!+#REF!+#REF!+#REF!+#REF!+#REF!)</f>
        <v>#REF!</v>
      </c>
      <c r="G101" s="11" t="e">
        <f>SUM(ENERO!G101+FEBRERO!G101+MARZO!G101+ABRIL!G101+MAYO!G101+#REF!+#REF!+#REF!+#REF!+#REF!+#REF!+#REF!)</f>
        <v>#REF!</v>
      </c>
      <c r="H101" s="27" t="e">
        <f t="shared" si="10"/>
        <v>#REF!</v>
      </c>
      <c r="I101" s="1"/>
      <c r="R101" s="4"/>
      <c r="S101" s="1"/>
    </row>
    <row r="102" spans="1:19" x14ac:dyDescent="0.25">
      <c r="A102" s="7" t="s">
        <v>215</v>
      </c>
      <c r="B102" s="11" t="e">
        <f>SUM(ENERO!B102+FEBRERO!B102+MARZO!B102+ABRIL!B102+MAYO!B102+#REF!+#REF!+#REF!+#REF!+#REF!+#REF!+#REF!)</f>
        <v>#REF!</v>
      </c>
      <c r="C102" s="11" t="e">
        <f>SUM(ENERO!C102+FEBRERO!C102+MARZO!C102+ABRIL!C102+MAYO!C102+#REF!+#REF!+#REF!+#REF!+#REF!+#REF!+#REF!)</f>
        <v>#REF!</v>
      </c>
      <c r="D102" s="11" t="e">
        <f>SUM(ENERO!D102+FEBRERO!D102+MARZO!D102+ABRIL!D102+MAYO!D102+#REF!+#REF!+#REF!+#REF!+#REF!+#REF!+#REF!)</f>
        <v>#REF!</v>
      </c>
      <c r="E102" s="11" t="e">
        <f>SUM(ENERO!E102+FEBRERO!E102+MARZO!E102+ABRIL!E102+MAYO!E102+#REF!+#REF!+#REF!+#REF!+#REF!+#REF!+#REF!)</f>
        <v>#REF!</v>
      </c>
      <c r="F102" s="11" t="e">
        <f>SUM(ENERO!F102+FEBRERO!F102+MARZO!F102+ABRIL!F102+MAYO!F102+#REF!+#REF!+#REF!+#REF!+#REF!+#REF!+#REF!)</f>
        <v>#REF!</v>
      </c>
      <c r="G102" s="11" t="e">
        <f>SUM(ENERO!G102+FEBRERO!G102+MARZO!G102+ABRIL!G102+MAYO!G102+#REF!+#REF!+#REF!+#REF!+#REF!+#REF!+#REF!)</f>
        <v>#REF!</v>
      </c>
      <c r="H102" s="27" t="e">
        <f t="shared" si="10"/>
        <v>#REF!</v>
      </c>
      <c r="I102" s="1"/>
      <c r="R102" s="4"/>
      <c r="S102" s="1"/>
    </row>
    <row r="103" spans="1:19" x14ac:dyDescent="0.25">
      <c r="A103" s="7" t="s">
        <v>219</v>
      </c>
      <c r="B103" s="11" t="e">
        <f>SUM(ENERO!B103+FEBRERO!B103+MARZO!B103+ABRIL!B103+MAYO!B103+#REF!+#REF!+#REF!+#REF!+#REF!+#REF!+#REF!)</f>
        <v>#REF!</v>
      </c>
      <c r="C103" s="11" t="e">
        <f>SUM(ENERO!C103+FEBRERO!C103+MARZO!C103+ABRIL!C103+MAYO!C103+#REF!+#REF!+#REF!+#REF!+#REF!+#REF!+#REF!)</f>
        <v>#REF!</v>
      </c>
      <c r="D103" s="11" t="e">
        <f>SUM(ENERO!D103+FEBRERO!D103+MARZO!D103+ABRIL!D103+MAYO!D103+#REF!+#REF!+#REF!+#REF!+#REF!+#REF!+#REF!)</f>
        <v>#REF!</v>
      </c>
      <c r="E103" s="11" t="e">
        <f>SUM(ENERO!E103+FEBRERO!E103+MARZO!E103+ABRIL!E103+MAYO!E103+#REF!+#REF!+#REF!+#REF!+#REF!+#REF!+#REF!)</f>
        <v>#REF!</v>
      </c>
      <c r="F103" s="11" t="e">
        <f>SUM(ENERO!F103+FEBRERO!F103+MARZO!F103+ABRIL!F103+MAYO!F103+#REF!+#REF!+#REF!+#REF!+#REF!+#REF!+#REF!)</f>
        <v>#REF!</v>
      </c>
      <c r="G103" s="11" t="e">
        <f>SUM(ENERO!G103+FEBRERO!G103+MARZO!G103+ABRIL!G103+MAYO!G103+#REF!+#REF!+#REF!+#REF!+#REF!+#REF!+#REF!)</f>
        <v>#REF!</v>
      </c>
      <c r="H103" s="27" t="e">
        <f t="shared" si="10"/>
        <v>#REF!</v>
      </c>
      <c r="I103" s="1"/>
      <c r="R103" s="4"/>
      <c r="S103" s="1"/>
    </row>
    <row r="104" spans="1:19" x14ac:dyDescent="0.25">
      <c r="A104" s="7" t="s">
        <v>220</v>
      </c>
      <c r="B104" s="11" t="e">
        <f>SUM(ENERO!B104+FEBRERO!B104+MARZO!B104+ABRIL!B104+MAYO!B104+#REF!+#REF!+#REF!+#REF!+#REF!+#REF!+#REF!)</f>
        <v>#REF!</v>
      </c>
      <c r="C104" s="11" t="e">
        <f>SUM(ENERO!C104+FEBRERO!C104+MARZO!C104+ABRIL!C104+MAYO!C104+#REF!+#REF!+#REF!+#REF!+#REF!+#REF!+#REF!)</f>
        <v>#REF!</v>
      </c>
      <c r="D104" s="11" t="e">
        <f>SUM(ENERO!D104+FEBRERO!D104+MARZO!D104+ABRIL!D104+MAYO!D104+#REF!+#REF!+#REF!+#REF!+#REF!+#REF!+#REF!)</f>
        <v>#REF!</v>
      </c>
      <c r="E104" s="11" t="e">
        <f>SUM(ENERO!E104+FEBRERO!E104+MARZO!E104+ABRIL!E104+MAYO!E104+#REF!+#REF!+#REF!+#REF!+#REF!+#REF!+#REF!)</f>
        <v>#REF!</v>
      </c>
      <c r="F104" s="11" t="e">
        <f>SUM(ENERO!F104+FEBRERO!F104+MARZO!F104+ABRIL!F104+MAYO!F104+#REF!+#REF!+#REF!+#REF!+#REF!+#REF!+#REF!)</f>
        <v>#REF!</v>
      </c>
      <c r="G104" s="11" t="e">
        <f>SUM(ENERO!G104+FEBRERO!G104+MARZO!G104+ABRIL!G104+MAYO!G104+#REF!+#REF!+#REF!+#REF!+#REF!+#REF!+#REF!)</f>
        <v>#REF!</v>
      </c>
      <c r="H104" s="27" t="e">
        <f t="shared" si="10"/>
        <v>#REF!</v>
      </c>
      <c r="I104" s="1"/>
      <c r="R104" s="4"/>
      <c r="S104" s="1"/>
    </row>
    <row r="105" spans="1:19" x14ac:dyDescent="0.25">
      <c r="A105" s="7" t="s">
        <v>216</v>
      </c>
      <c r="B105" s="11" t="e">
        <f>SUM(ENERO!B105+FEBRERO!B105+MARZO!B105+ABRIL!B105+MAYO!B105+#REF!+#REF!+#REF!+#REF!+#REF!+#REF!+#REF!)</f>
        <v>#REF!</v>
      </c>
      <c r="C105" s="11" t="e">
        <f>SUM(ENERO!C105+FEBRERO!C105+MARZO!C105+ABRIL!C105+MAYO!C105+#REF!+#REF!+#REF!+#REF!+#REF!+#REF!+#REF!)</f>
        <v>#REF!</v>
      </c>
      <c r="D105" s="11" t="e">
        <f>SUM(ENERO!D105+FEBRERO!D105+MARZO!D105+ABRIL!D105+MAYO!D105+#REF!+#REF!+#REF!+#REF!+#REF!+#REF!+#REF!)</f>
        <v>#REF!</v>
      </c>
      <c r="E105" s="11" t="e">
        <f>SUM(ENERO!E105+FEBRERO!E105+MARZO!E105+ABRIL!E105+MAYO!E105+#REF!+#REF!+#REF!+#REF!+#REF!+#REF!+#REF!)</f>
        <v>#REF!</v>
      </c>
      <c r="F105" s="11" t="e">
        <f>SUM(ENERO!F105+FEBRERO!F105+MARZO!F105+ABRIL!F105+MAYO!F105+#REF!+#REF!+#REF!+#REF!+#REF!+#REF!+#REF!)</f>
        <v>#REF!</v>
      </c>
      <c r="G105" s="11" t="e">
        <f>SUM(ENERO!G105+FEBRERO!G105+MARZO!G105+ABRIL!G105+MAYO!G105+#REF!+#REF!+#REF!+#REF!+#REF!+#REF!+#REF!)</f>
        <v>#REF!</v>
      </c>
      <c r="H105" s="27" t="e">
        <f t="shared" si="10"/>
        <v>#REF!</v>
      </c>
      <c r="I105" s="1"/>
      <c r="R105" s="4"/>
      <c r="S105" s="1"/>
    </row>
    <row r="106" spans="1:19" x14ac:dyDescent="0.25">
      <c r="A106" s="7" t="s">
        <v>174</v>
      </c>
      <c r="B106" s="11" t="e">
        <f>SUM(ENERO!B106+FEBRERO!B106+MARZO!B106+ABRIL!B106+MAYO!B106+#REF!+#REF!+#REF!+#REF!+#REF!+#REF!+#REF!)</f>
        <v>#REF!</v>
      </c>
      <c r="C106" s="11" t="e">
        <f>SUM(ENERO!C106+FEBRERO!C106+MARZO!C106+ABRIL!C106+MAYO!C106+#REF!+#REF!+#REF!+#REF!+#REF!+#REF!+#REF!)</f>
        <v>#REF!</v>
      </c>
      <c r="D106" s="11" t="e">
        <f>SUM(ENERO!D106+FEBRERO!D106+MARZO!D106+ABRIL!D106+MAYO!D106+#REF!+#REF!+#REF!+#REF!+#REF!+#REF!+#REF!)</f>
        <v>#REF!</v>
      </c>
      <c r="E106" s="11" t="e">
        <f>SUM(ENERO!E106+FEBRERO!E106+MARZO!E106+ABRIL!E106+MAYO!E106+#REF!+#REF!+#REF!+#REF!+#REF!+#REF!+#REF!)</f>
        <v>#REF!</v>
      </c>
      <c r="F106" s="11" t="e">
        <f>SUM(ENERO!F106+FEBRERO!F106+MARZO!F106+ABRIL!F106+MAYO!F106+#REF!+#REF!+#REF!+#REF!+#REF!+#REF!+#REF!)</f>
        <v>#REF!</v>
      </c>
      <c r="G106" s="11" t="e">
        <f>SUM(ENERO!G106+FEBRERO!G106+MARZO!G106+ABRIL!G106+MAYO!G106+#REF!+#REF!+#REF!+#REF!+#REF!+#REF!+#REF!)</f>
        <v>#REF!</v>
      </c>
      <c r="H106" s="27" t="e">
        <f t="shared" si="10"/>
        <v>#REF!</v>
      </c>
      <c r="I106" s="1"/>
      <c r="R106" s="4"/>
      <c r="S106" s="1"/>
    </row>
    <row r="107" spans="1:19" x14ac:dyDescent="0.25">
      <c r="A107" s="7" t="s">
        <v>175</v>
      </c>
      <c r="B107" s="11" t="e">
        <f>SUM(ENERO!B107+FEBRERO!B107+MARZO!B107+ABRIL!B107+MAYO!B107+#REF!+#REF!+#REF!+#REF!+#REF!+#REF!+#REF!)</f>
        <v>#REF!</v>
      </c>
      <c r="C107" s="11" t="e">
        <f>SUM(ENERO!C107+FEBRERO!C107+MARZO!C107+ABRIL!C107+MAYO!C107+#REF!+#REF!+#REF!+#REF!+#REF!+#REF!+#REF!)</f>
        <v>#REF!</v>
      </c>
      <c r="D107" s="11" t="e">
        <f>SUM(ENERO!D107+FEBRERO!D107+MARZO!D107+ABRIL!D107+MAYO!D107+#REF!+#REF!+#REF!+#REF!+#REF!+#REF!+#REF!)</f>
        <v>#REF!</v>
      </c>
      <c r="E107" s="11" t="e">
        <f>SUM(ENERO!E107+FEBRERO!E107+MARZO!E107+ABRIL!E107+MAYO!E107+#REF!+#REF!+#REF!+#REF!+#REF!+#REF!+#REF!)</f>
        <v>#REF!</v>
      </c>
      <c r="F107" s="11" t="e">
        <f>SUM(ENERO!F107+FEBRERO!F107+MARZO!F107+ABRIL!F107+MAYO!F107+#REF!+#REF!+#REF!+#REF!+#REF!+#REF!+#REF!)</f>
        <v>#REF!</v>
      </c>
      <c r="G107" s="11" t="e">
        <f>SUM(ENERO!G107+FEBRERO!G107+MARZO!G107+ABRIL!G107+MAYO!G107+#REF!+#REF!+#REF!+#REF!+#REF!+#REF!+#REF!)</f>
        <v>#REF!</v>
      </c>
      <c r="H107" s="27" t="e">
        <f t="shared" si="10"/>
        <v>#REF!</v>
      </c>
      <c r="I107" s="1"/>
      <c r="R107" s="4"/>
      <c r="S107" s="1"/>
    </row>
    <row r="108" spans="1:19" x14ac:dyDescent="0.25">
      <c r="A108" s="177" t="s">
        <v>109</v>
      </c>
      <c r="B108" s="177"/>
      <c r="C108" s="177"/>
      <c r="D108" s="177"/>
      <c r="E108" s="177"/>
      <c r="F108" s="177"/>
      <c r="G108" s="177"/>
      <c r="H108" s="177"/>
      <c r="I108" s="1"/>
      <c r="R108" s="4"/>
      <c r="S108" s="1"/>
    </row>
    <row r="109" spans="1:19" x14ac:dyDescent="0.25">
      <c r="A109" s="7" t="s">
        <v>123</v>
      </c>
      <c r="B109" s="11" t="e">
        <f>SUM(ENERO!B109+FEBRERO!B109+MARZO!B109+ABRIL!B109+MAYO!B109+#REF!+#REF!+#REF!+#REF!+#REF!+#REF!+#REF!)</f>
        <v>#REF!</v>
      </c>
      <c r="C109" s="11" t="e">
        <f>SUM(ENERO!C109+FEBRERO!C109+MARZO!C109+ABRIL!C109+MAYO!C109+#REF!+#REF!+#REF!+#REF!+#REF!+#REF!+#REF!)</f>
        <v>#REF!</v>
      </c>
      <c r="D109" s="11" t="e">
        <f>SUM(ENERO!D109+FEBRERO!D109+MARZO!D109+ABRIL!D109+MAYO!D109+#REF!+#REF!+#REF!+#REF!+#REF!+#REF!+#REF!)</f>
        <v>#REF!</v>
      </c>
      <c r="E109" s="11" t="e">
        <f>SUM(ENERO!E109+FEBRERO!E109+MARZO!E109+ABRIL!E109+MAYO!E109+#REF!+#REF!+#REF!+#REF!+#REF!+#REF!+#REF!)</f>
        <v>#REF!</v>
      </c>
      <c r="F109" s="11" t="e">
        <f>SUM(ENERO!F109+FEBRERO!F109+MARZO!F109+ABRIL!F109+MAYO!F109+#REF!+#REF!+#REF!+#REF!+#REF!+#REF!+#REF!)</f>
        <v>#REF!</v>
      </c>
      <c r="G109" s="11" t="e">
        <f>SUM(ENERO!G109+FEBRERO!G109+MARZO!G109+ABRIL!G109+MAYO!G109+#REF!+#REF!+#REF!+#REF!+#REF!+#REF!+#REF!)</f>
        <v>#REF!</v>
      </c>
      <c r="H109" s="28" t="e">
        <f t="shared" si="10"/>
        <v>#REF!</v>
      </c>
      <c r="I109" s="1"/>
      <c r="R109" s="4"/>
      <c r="S109" s="1"/>
    </row>
    <row r="110" spans="1:19" x14ac:dyDescent="0.25">
      <c r="A110" s="7" t="s">
        <v>122</v>
      </c>
      <c r="B110" s="11" t="e">
        <f>SUM(ENERO!B110+FEBRERO!B110+MARZO!B110+ABRIL!B110+MAYO!B110+#REF!+#REF!+#REF!+#REF!+#REF!+#REF!+#REF!)</f>
        <v>#REF!</v>
      </c>
      <c r="C110" s="11" t="e">
        <f>SUM(ENERO!C110+FEBRERO!C110+MARZO!C110+ABRIL!C110+MAYO!C110+#REF!+#REF!+#REF!+#REF!+#REF!+#REF!+#REF!)</f>
        <v>#REF!</v>
      </c>
      <c r="D110" s="11" t="e">
        <f>SUM(ENERO!D110+FEBRERO!D110+MARZO!D110+ABRIL!D110+MAYO!D110+#REF!+#REF!+#REF!+#REF!+#REF!+#REF!+#REF!)</f>
        <v>#REF!</v>
      </c>
      <c r="E110" s="11" t="e">
        <f>SUM(ENERO!E110+FEBRERO!E110+MARZO!E110+ABRIL!E110+MAYO!E110+#REF!+#REF!+#REF!+#REF!+#REF!+#REF!+#REF!)</f>
        <v>#REF!</v>
      </c>
      <c r="F110" s="11" t="e">
        <f>SUM(ENERO!F110+FEBRERO!F110+MARZO!F110+ABRIL!F110+MAYO!F110+#REF!+#REF!+#REF!+#REF!+#REF!+#REF!+#REF!)</f>
        <v>#REF!</v>
      </c>
      <c r="G110" s="11" t="e">
        <f>SUM(ENERO!G110+FEBRERO!G110+MARZO!G110+ABRIL!G110+MAYO!G110+#REF!+#REF!+#REF!+#REF!+#REF!+#REF!+#REF!)</f>
        <v>#REF!</v>
      </c>
      <c r="H110" s="14" t="e">
        <f t="shared" si="10"/>
        <v>#REF!</v>
      </c>
      <c r="I110" s="1"/>
      <c r="J110" s="176"/>
      <c r="K110" s="176"/>
      <c r="R110" s="4"/>
      <c r="S110" s="1"/>
    </row>
    <row r="111" spans="1:19" x14ac:dyDescent="0.25">
      <c r="A111" s="7" t="s">
        <v>121</v>
      </c>
      <c r="B111" s="11" t="e">
        <f>SUM(ENERO!B111+FEBRERO!B111+MARZO!B111+ABRIL!B111+MAYO!B111+#REF!+#REF!+#REF!+#REF!+#REF!+#REF!+#REF!)</f>
        <v>#REF!</v>
      </c>
      <c r="C111" s="11" t="e">
        <f>SUM(ENERO!C111+FEBRERO!C111+MARZO!C111+ABRIL!C111+MAYO!C111+#REF!+#REF!+#REF!+#REF!+#REF!+#REF!+#REF!)</f>
        <v>#REF!</v>
      </c>
      <c r="D111" s="11" t="e">
        <f>SUM(ENERO!D111+FEBRERO!D111+MARZO!D111+ABRIL!D111+MAYO!D111+#REF!+#REF!+#REF!+#REF!+#REF!+#REF!+#REF!)</f>
        <v>#REF!</v>
      </c>
      <c r="E111" s="11" t="e">
        <f>SUM(ENERO!E111+FEBRERO!E111+MARZO!E111+ABRIL!E111+MAYO!E111+#REF!+#REF!+#REF!+#REF!+#REF!+#REF!+#REF!)</f>
        <v>#REF!</v>
      </c>
      <c r="F111" s="11" t="e">
        <f>SUM(ENERO!F111+FEBRERO!F111+MARZO!F111+ABRIL!F111+MAYO!F111+#REF!+#REF!+#REF!+#REF!+#REF!+#REF!+#REF!)</f>
        <v>#REF!</v>
      </c>
      <c r="G111" s="11" t="e">
        <f>SUM(ENERO!G111+FEBRERO!G111+MARZO!G111+ABRIL!G111+MAYO!G111+#REF!+#REF!+#REF!+#REF!+#REF!+#REF!+#REF!)</f>
        <v>#REF!</v>
      </c>
      <c r="H111" s="14" t="e">
        <f t="shared" si="10"/>
        <v>#REF!</v>
      </c>
      <c r="I111" s="1"/>
      <c r="J111" s="176"/>
      <c r="K111" s="176"/>
      <c r="R111" s="4"/>
      <c r="S111" s="1"/>
    </row>
    <row r="112" spans="1:19" x14ac:dyDescent="0.25">
      <c r="A112" s="7" t="s">
        <v>120</v>
      </c>
      <c r="B112" s="11" t="e">
        <f>SUM(ENERO!B112+FEBRERO!B112+MARZO!B112+ABRIL!B112+MAYO!B112+#REF!+#REF!+#REF!+#REF!+#REF!+#REF!+#REF!)</f>
        <v>#REF!</v>
      </c>
      <c r="C112" s="11" t="e">
        <f>SUM(ENERO!C112+FEBRERO!C112+MARZO!C112+ABRIL!C112+MAYO!C112+#REF!+#REF!+#REF!+#REF!+#REF!+#REF!+#REF!)</f>
        <v>#REF!</v>
      </c>
      <c r="D112" s="11" t="e">
        <f>SUM(ENERO!D112+FEBRERO!D112+MARZO!D112+ABRIL!D112+MAYO!D112+#REF!+#REF!+#REF!+#REF!+#REF!+#REF!+#REF!)</f>
        <v>#REF!</v>
      </c>
      <c r="E112" s="11" t="e">
        <f>SUM(ENERO!E112+FEBRERO!E112+MARZO!E112+ABRIL!E112+MAYO!E112+#REF!+#REF!+#REF!+#REF!+#REF!+#REF!+#REF!)</f>
        <v>#REF!</v>
      </c>
      <c r="F112" s="11" t="e">
        <f>SUM(ENERO!F112+FEBRERO!F112+MARZO!F112+ABRIL!F112+MAYO!F112+#REF!+#REF!+#REF!+#REF!+#REF!+#REF!+#REF!)</f>
        <v>#REF!</v>
      </c>
      <c r="G112" s="11" t="e">
        <f>SUM(ENERO!G112+FEBRERO!G112+MARZO!G112+ABRIL!G112+MAYO!G112+#REF!+#REF!+#REF!+#REF!+#REF!+#REF!+#REF!)</f>
        <v>#REF!</v>
      </c>
      <c r="H112" s="14" t="e">
        <f t="shared" si="10"/>
        <v>#REF!</v>
      </c>
      <c r="I112" s="1"/>
      <c r="R112" s="4"/>
      <c r="S112" s="1"/>
    </row>
    <row r="113" spans="1:19" x14ac:dyDescent="0.25">
      <c r="A113" s="7" t="s">
        <v>124</v>
      </c>
      <c r="B113" s="11" t="e">
        <f>SUM(ENERO!B113+FEBRERO!B113+MARZO!B113+ABRIL!B113+MAYO!B113+#REF!+#REF!+#REF!+#REF!+#REF!+#REF!+#REF!)</f>
        <v>#REF!</v>
      </c>
      <c r="C113" s="11" t="e">
        <f>SUM(ENERO!C113+FEBRERO!C113+MARZO!C113+ABRIL!C113+MAYO!C113+#REF!+#REF!+#REF!+#REF!+#REF!+#REF!+#REF!)</f>
        <v>#REF!</v>
      </c>
      <c r="D113" s="11" t="e">
        <f>SUM(ENERO!D113+FEBRERO!D113+MARZO!D113+ABRIL!D113+MAYO!D113+#REF!+#REF!+#REF!+#REF!+#REF!+#REF!+#REF!)</f>
        <v>#REF!</v>
      </c>
      <c r="E113" s="11" t="e">
        <f>SUM(ENERO!E113+FEBRERO!E113+MARZO!E113+ABRIL!E113+MAYO!E113+#REF!+#REF!+#REF!+#REF!+#REF!+#REF!+#REF!)</f>
        <v>#REF!</v>
      </c>
      <c r="F113" s="11" t="e">
        <f>SUM(ENERO!F113+FEBRERO!F113+MARZO!F113+ABRIL!F113+MAYO!F113+#REF!+#REF!+#REF!+#REF!+#REF!+#REF!+#REF!)</f>
        <v>#REF!</v>
      </c>
      <c r="G113" s="11" t="e">
        <f>SUM(ENERO!G113+FEBRERO!G113+MARZO!G113+ABRIL!G113+MAYO!G113+#REF!+#REF!+#REF!+#REF!+#REF!+#REF!+#REF!)</f>
        <v>#REF!</v>
      </c>
      <c r="H113" s="14" t="e">
        <f t="shared" si="10"/>
        <v>#REF!</v>
      </c>
      <c r="I113" s="1"/>
      <c r="R113" s="4"/>
      <c r="S113" s="1"/>
    </row>
    <row r="114" spans="1:19" x14ac:dyDescent="0.25">
      <c r="A114" s="7" t="s">
        <v>48</v>
      </c>
      <c r="B114" s="11" t="e">
        <f>SUM(ENERO!B114+FEBRERO!B114+MARZO!B114+ABRIL!B114+MAYO!B114+#REF!+#REF!+#REF!+#REF!+#REF!+#REF!+#REF!)</f>
        <v>#REF!</v>
      </c>
      <c r="C114" s="11" t="e">
        <f>SUM(ENERO!C114+FEBRERO!C114+MARZO!C114+ABRIL!C114+MAYO!C114+#REF!+#REF!+#REF!+#REF!+#REF!+#REF!+#REF!)</f>
        <v>#REF!</v>
      </c>
      <c r="D114" s="11" t="e">
        <f>SUM(ENERO!D114+FEBRERO!D114+MARZO!D114+ABRIL!D114+MAYO!D114+#REF!+#REF!+#REF!+#REF!+#REF!+#REF!+#REF!)</f>
        <v>#REF!</v>
      </c>
      <c r="E114" s="11" t="e">
        <f>SUM(ENERO!E114+FEBRERO!E114+MARZO!E114+ABRIL!E114+MAYO!E114+#REF!+#REF!+#REF!+#REF!+#REF!+#REF!+#REF!)</f>
        <v>#REF!</v>
      </c>
      <c r="F114" s="11" t="e">
        <f>SUM(ENERO!F114+FEBRERO!F114+MARZO!F114+ABRIL!F114+MAYO!F114+#REF!+#REF!+#REF!+#REF!+#REF!+#REF!+#REF!)</f>
        <v>#REF!</v>
      </c>
      <c r="G114" s="11" t="e">
        <f>SUM(ENERO!G114+FEBRERO!G114+MARZO!G114+ABRIL!G114+MAYO!G114+#REF!+#REF!+#REF!+#REF!+#REF!+#REF!+#REF!)</f>
        <v>#REF!</v>
      </c>
      <c r="H114" s="14" t="e">
        <f>SUM(B114:G114)</f>
        <v>#REF!</v>
      </c>
      <c r="I114" s="1"/>
      <c r="R114" s="4"/>
      <c r="S114" s="1"/>
    </row>
    <row r="115" spans="1:19" x14ac:dyDescent="0.25">
      <c r="A115" s="173" t="s">
        <v>110</v>
      </c>
      <c r="B115" s="174"/>
      <c r="C115" s="174"/>
      <c r="D115" s="174"/>
      <c r="E115" s="174"/>
      <c r="F115" s="174"/>
      <c r="G115" s="174"/>
      <c r="H115" s="175"/>
      <c r="I115" s="1"/>
      <c r="R115" s="4"/>
      <c r="S115" s="1"/>
    </row>
    <row r="116" spans="1:19" x14ac:dyDescent="0.25">
      <c r="A116" s="8" t="s">
        <v>111</v>
      </c>
      <c r="B116" s="20" t="e">
        <f>SUM(ENERO!B116+FEBRERO!B116+MARZO!B116+ABRIL!B116+MAYO!B116+#REF!+#REF!+#REF!+#REF!+#REF!+#REF!+#REF!)</f>
        <v>#REF!</v>
      </c>
      <c r="C116" s="20" t="e">
        <f>SUM(ENERO!C116+FEBRERO!C116+MARZO!C116+ABRIL!C116+MAYO!C116+#REF!+#REF!+#REF!+#REF!+#REF!+#REF!+#REF!)</f>
        <v>#REF!</v>
      </c>
      <c r="D116" s="20" t="e">
        <f>SUM(ENERO!D116+FEBRERO!D116+MARZO!D116+ABRIL!D116+MAYO!D116+#REF!+#REF!+#REF!+#REF!+#REF!+#REF!+#REF!)</f>
        <v>#REF!</v>
      </c>
      <c r="E116" s="20" t="e">
        <f>SUM(ENERO!E116+FEBRERO!E116+MARZO!E116+ABRIL!E116+MAYO!E116+#REF!+#REF!+#REF!+#REF!+#REF!+#REF!+#REF!)</f>
        <v>#REF!</v>
      </c>
      <c r="F116" s="20" t="e">
        <f>SUM(ENERO!F116+FEBRERO!F116+MARZO!F116+ABRIL!F116+MAYO!F116+#REF!+#REF!+#REF!+#REF!+#REF!+#REF!+#REF!)</f>
        <v>#REF!</v>
      </c>
      <c r="G116" s="20" t="e">
        <f>SUM(ENERO!G116+FEBRERO!G116+MARZO!G116+ABRIL!G116+MAYO!G116+#REF!+#REF!+#REF!+#REF!+#REF!+#REF!+#REF!)</f>
        <v>#REF!</v>
      </c>
      <c r="H116" s="14" t="e">
        <f t="shared" ref="H116:H146" si="14">SUM(B116:G116)</f>
        <v>#REF!</v>
      </c>
      <c r="I116" s="1"/>
      <c r="R116" s="4"/>
      <c r="S116" s="1"/>
    </row>
    <row r="117" spans="1:19" x14ac:dyDescent="0.25">
      <c r="A117" s="7" t="s">
        <v>158</v>
      </c>
      <c r="B117" s="20" t="e">
        <f>SUM(ENERO!B117+FEBRERO!B117+MARZO!B117+ABRIL!B117+MAYO!B117+#REF!+#REF!+#REF!+#REF!+#REF!+#REF!+#REF!)</f>
        <v>#REF!</v>
      </c>
      <c r="C117" s="20" t="e">
        <f>SUM(ENERO!C117+FEBRERO!C117+MARZO!C117+ABRIL!C117+MAYO!C117+#REF!+#REF!+#REF!+#REF!+#REF!+#REF!+#REF!)</f>
        <v>#REF!</v>
      </c>
      <c r="D117" s="20" t="e">
        <f>SUM(ENERO!D117+FEBRERO!D117+MARZO!D117+ABRIL!D117+MAYO!D117+#REF!+#REF!+#REF!+#REF!+#REF!+#REF!+#REF!)</f>
        <v>#REF!</v>
      </c>
      <c r="E117" s="20" t="e">
        <f>SUM(ENERO!E117+FEBRERO!E117+MARZO!E117+ABRIL!E117+MAYO!E117+#REF!+#REF!+#REF!+#REF!+#REF!+#REF!+#REF!)</f>
        <v>#REF!</v>
      </c>
      <c r="F117" s="20" t="e">
        <f>SUM(ENERO!F117+FEBRERO!F117+MARZO!F117+ABRIL!F117+MAYO!F117+#REF!+#REF!+#REF!+#REF!+#REF!+#REF!+#REF!)</f>
        <v>#REF!</v>
      </c>
      <c r="G117" s="20" t="e">
        <f>SUM(ENERO!G117+FEBRERO!G117+MARZO!G117+ABRIL!G117+MAYO!G117+#REF!+#REF!+#REF!+#REF!+#REF!+#REF!+#REF!)</f>
        <v>#REF!</v>
      </c>
      <c r="H117" s="14" t="e">
        <f t="shared" si="14"/>
        <v>#REF!</v>
      </c>
      <c r="I117" s="1"/>
      <c r="R117" s="4"/>
      <c r="S117" s="1"/>
    </row>
    <row r="118" spans="1:19" x14ac:dyDescent="0.25">
      <c r="A118" s="7" t="s">
        <v>156</v>
      </c>
      <c r="B118" s="20" t="e">
        <f>SUM(ENERO!B118+FEBRERO!B118+MARZO!B118+ABRIL!B118+MAYO!B118+#REF!+#REF!+#REF!+#REF!+#REF!+#REF!+#REF!)</f>
        <v>#REF!</v>
      </c>
      <c r="C118" s="20" t="e">
        <f>SUM(ENERO!C118+FEBRERO!C118+MARZO!C118+ABRIL!C118+MAYO!C118+#REF!+#REF!+#REF!+#REF!+#REF!+#REF!+#REF!)</f>
        <v>#REF!</v>
      </c>
      <c r="D118" s="20" t="e">
        <f>SUM(ENERO!D118+FEBRERO!D118+MARZO!D118+ABRIL!D118+MAYO!D118+#REF!+#REF!+#REF!+#REF!+#REF!+#REF!+#REF!)</f>
        <v>#REF!</v>
      </c>
      <c r="E118" s="20" t="e">
        <f>SUM(ENERO!E118+FEBRERO!E118+MARZO!E118+ABRIL!E118+MAYO!E118+#REF!+#REF!+#REF!+#REF!+#REF!+#REF!+#REF!)</f>
        <v>#REF!</v>
      </c>
      <c r="F118" s="20" t="e">
        <f>SUM(ENERO!F118+FEBRERO!F118+MARZO!F118+ABRIL!F118+MAYO!F118+#REF!+#REF!+#REF!+#REF!+#REF!+#REF!+#REF!)</f>
        <v>#REF!</v>
      </c>
      <c r="G118" s="20" t="e">
        <f>SUM(ENERO!G118+FEBRERO!G118+MARZO!G118+ABRIL!G118+MAYO!G118+#REF!+#REF!+#REF!+#REF!+#REF!+#REF!+#REF!)</f>
        <v>#REF!</v>
      </c>
      <c r="H118" s="14" t="e">
        <f t="shared" si="14"/>
        <v>#REF!</v>
      </c>
      <c r="I118" s="1"/>
      <c r="R118" s="4"/>
      <c r="S118" s="1"/>
    </row>
    <row r="119" spans="1:19" x14ac:dyDescent="0.25">
      <c r="A119" s="7" t="s">
        <v>187</v>
      </c>
      <c r="B119" s="20" t="e">
        <f>SUM(ENERO!B119+FEBRERO!B119+MARZO!B119+ABRIL!B119+MAYO!B119+#REF!+#REF!+#REF!+#REF!+#REF!+#REF!+#REF!)</f>
        <v>#REF!</v>
      </c>
      <c r="C119" s="20" t="e">
        <f>SUM(ENERO!C119+FEBRERO!C119+MARZO!C119+ABRIL!C119+MAYO!C119+#REF!+#REF!+#REF!+#REF!+#REF!+#REF!+#REF!)</f>
        <v>#REF!</v>
      </c>
      <c r="D119" s="20" t="e">
        <f>SUM(ENERO!D119+FEBRERO!D119+MARZO!D119+ABRIL!D119+MAYO!D119+#REF!+#REF!+#REF!+#REF!+#REF!+#REF!+#REF!)</f>
        <v>#REF!</v>
      </c>
      <c r="E119" s="20" t="e">
        <f>SUM(ENERO!E119+FEBRERO!E119+MARZO!E119+ABRIL!E119+MAYO!E119+#REF!+#REF!+#REF!+#REF!+#REF!+#REF!+#REF!)</f>
        <v>#REF!</v>
      </c>
      <c r="F119" s="20" t="e">
        <f>SUM(ENERO!F119+FEBRERO!F119+MARZO!F119+ABRIL!F119+MAYO!F119+#REF!+#REF!+#REF!+#REF!+#REF!+#REF!+#REF!)</f>
        <v>#REF!</v>
      </c>
      <c r="G119" s="20" t="e">
        <f>SUM(ENERO!G119+FEBRERO!G119+MARZO!G119+ABRIL!G119+MAYO!G119+#REF!+#REF!+#REF!+#REF!+#REF!+#REF!+#REF!)</f>
        <v>#REF!</v>
      </c>
      <c r="H119" s="14" t="e">
        <f t="shared" si="14"/>
        <v>#REF!</v>
      </c>
      <c r="I119" s="1"/>
      <c r="R119" s="4"/>
      <c r="S119" s="1"/>
    </row>
    <row r="120" spans="1:19" x14ac:dyDescent="0.25">
      <c r="A120" s="7" t="s">
        <v>157</v>
      </c>
      <c r="B120" s="20" t="e">
        <f>SUM(ENERO!B120+FEBRERO!B120+MARZO!B120+ABRIL!B120+MAYO!B120+#REF!+#REF!+#REF!+#REF!+#REF!+#REF!+#REF!)</f>
        <v>#REF!</v>
      </c>
      <c r="C120" s="20" t="e">
        <f>SUM(ENERO!C120+FEBRERO!C120+MARZO!C120+ABRIL!C120+MAYO!C120+#REF!+#REF!+#REF!+#REF!+#REF!+#REF!+#REF!)</f>
        <v>#REF!</v>
      </c>
      <c r="D120" s="20" t="e">
        <f>SUM(ENERO!D120+FEBRERO!D120+MARZO!D120+ABRIL!D120+MAYO!D120+#REF!+#REF!+#REF!+#REF!+#REF!+#REF!+#REF!)</f>
        <v>#REF!</v>
      </c>
      <c r="E120" s="20" t="e">
        <f>SUM(ENERO!E120+FEBRERO!E120+MARZO!E120+ABRIL!E120+MAYO!E120+#REF!+#REF!+#REF!+#REF!+#REF!+#REF!+#REF!)</f>
        <v>#REF!</v>
      </c>
      <c r="F120" s="20" t="e">
        <f>SUM(ENERO!F120+FEBRERO!F120+MARZO!F120+ABRIL!F120+MAYO!F120+#REF!+#REF!+#REF!+#REF!+#REF!+#REF!+#REF!)</f>
        <v>#REF!</v>
      </c>
      <c r="G120" s="20" t="e">
        <f>SUM(ENERO!G120+FEBRERO!G120+MARZO!G120+ABRIL!G120+MAYO!G120+#REF!+#REF!+#REF!+#REF!+#REF!+#REF!+#REF!)</f>
        <v>#REF!</v>
      </c>
      <c r="H120" s="14" t="e">
        <f t="shared" si="14"/>
        <v>#REF!</v>
      </c>
      <c r="I120" s="1"/>
      <c r="R120" s="4"/>
      <c r="S120" s="1"/>
    </row>
    <row r="121" spans="1:19" x14ac:dyDescent="0.25">
      <c r="A121" s="7" t="s">
        <v>125</v>
      </c>
      <c r="B121" s="20" t="e">
        <f>SUM(ENERO!B121+FEBRERO!B121+MARZO!B121+ABRIL!B121+MAYO!B121+#REF!+#REF!+#REF!+#REF!+#REF!+#REF!+#REF!)</f>
        <v>#REF!</v>
      </c>
      <c r="C121" s="20" t="e">
        <f>SUM(ENERO!C121+FEBRERO!C121+MARZO!C121+ABRIL!C121+MAYO!C121+#REF!+#REF!+#REF!+#REF!+#REF!+#REF!+#REF!)</f>
        <v>#REF!</v>
      </c>
      <c r="D121" s="20" t="e">
        <f>SUM(ENERO!D121+FEBRERO!D121+MARZO!D121+ABRIL!D121+MAYO!D121+#REF!+#REF!+#REF!+#REF!+#REF!+#REF!+#REF!)</f>
        <v>#REF!</v>
      </c>
      <c r="E121" s="20" t="e">
        <f>SUM(ENERO!E121+FEBRERO!E121+MARZO!E121+ABRIL!E121+MAYO!E121+#REF!+#REF!+#REF!+#REF!+#REF!+#REF!+#REF!)</f>
        <v>#REF!</v>
      </c>
      <c r="F121" s="20" t="e">
        <f>SUM(ENERO!F121+FEBRERO!F121+MARZO!F121+ABRIL!F121+MAYO!F121+#REF!+#REF!+#REF!+#REF!+#REF!+#REF!+#REF!)</f>
        <v>#REF!</v>
      </c>
      <c r="G121" s="20" t="e">
        <f>SUM(ENERO!G121+FEBRERO!G121+MARZO!G121+ABRIL!G121+MAYO!G121+#REF!+#REF!+#REF!+#REF!+#REF!+#REF!+#REF!)</f>
        <v>#REF!</v>
      </c>
      <c r="H121" s="14" t="e">
        <f t="shared" si="14"/>
        <v>#REF!</v>
      </c>
      <c r="I121" s="1"/>
      <c r="R121" s="4"/>
      <c r="S121" s="1"/>
    </row>
    <row r="122" spans="1:19" x14ac:dyDescent="0.25">
      <c r="A122" s="7" t="s">
        <v>126</v>
      </c>
      <c r="B122" s="20" t="e">
        <f>SUM(ENERO!B122+FEBRERO!B122+MARZO!B122+ABRIL!B122+MAYO!B122+#REF!+#REF!+#REF!+#REF!+#REF!+#REF!+#REF!)</f>
        <v>#REF!</v>
      </c>
      <c r="C122" s="20" t="e">
        <f>SUM(ENERO!C122+FEBRERO!C122+MARZO!C122+ABRIL!C122+MAYO!C122+#REF!+#REF!+#REF!+#REF!+#REF!+#REF!+#REF!)</f>
        <v>#REF!</v>
      </c>
      <c r="D122" s="20" t="e">
        <f>SUM(ENERO!D122+FEBRERO!D122+MARZO!D122+ABRIL!D122+MAYO!D122+#REF!+#REF!+#REF!+#REF!+#REF!+#REF!+#REF!)</f>
        <v>#REF!</v>
      </c>
      <c r="E122" s="20" t="e">
        <f>SUM(ENERO!E122+FEBRERO!E122+MARZO!E122+ABRIL!E122+MAYO!E122+#REF!+#REF!+#REF!+#REF!+#REF!+#REF!+#REF!)</f>
        <v>#REF!</v>
      </c>
      <c r="F122" s="20" t="e">
        <f>SUM(ENERO!F122+FEBRERO!F122+MARZO!F122+ABRIL!F122+MAYO!F122+#REF!+#REF!+#REF!+#REF!+#REF!+#REF!+#REF!)</f>
        <v>#REF!</v>
      </c>
      <c r="G122" s="20" t="e">
        <f>SUM(ENERO!G122+FEBRERO!G122+MARZO!G122+ABRIL!G122+MAYO!G122+#REF!+#REF!+#REF!+#REF!+#REF!+#REF!+#REF!)</f>
        <v>#REF!</v>
      </c>
      <c r="H122" s="14" t="e">
        <f t="shared" si="14"/>
        <v>#REF!</v>
      </c>
      <c r="I122" s="1"/>
      <c r="R122" s="4"/>
      <c r="S122" s="1"/>
    </row>
    <row r="123" spans="1:19" x14ac:dyDescent="0.25">
      <c r="A123" s="7" t="s">
        <v>103</v>
      </c>
      <c r="B123" s="20" t="e">
        <f>SUM(ENERO!B123+FEBRERO!B123+MARZO!B123+ABRIL!B123+MAYO!B123+#REF!+#REF!+#REF!+#REF!+#REF!+#REF!+#REF!)</f>
        <v>#REF!</v>
      </c>
      <c r="C123" s="20" t="e">
        <f>SUM(ENERO!C123+FEBRERO!C123+MARZO!C123+ABRIL!C123+MAYO!C123+#REF!+#REF!+#REF!+#REF!+#REF!+#REF!+#REF!)</f>
        <v>#REF!</v>
      </c>
      <c r="D123" s="20" t="e">
        <f>SUM(ENERO!D123+FEBRERO!D123+MARZO!D123+ABRIL!D123+MAYO!D123+#REF!+#REF!+#REF!+#REF!+#REF!+#REF!+#REF!)</f>
        <v>#REF!</v>
      </c>
      <c r="E123" s="20" t="e">
        <f>SUM(ENERO!E123+FEBRERO!E123+MARZO!E123+ABRIL!E123+MAYO!E123+#REF!+#REF!+#REF!+#REF!+#REF!+#REF!+#REF!)</f>
        <v>#REF!</v>
      </c>
      <c r="F123" s="20" t="e">
        <f>SUM(ENERO!F123+FEBRERO!F123+MARZO!F123+ABRIL!F123+MAYO!F123+#REF!+#REF!+#REF!+#REF!+#REF!+#REF!+#REF!)</f>
        <v>#REF!</v>
      </c>
      <c r="G123" s="20" t="e">
        <f>SUM(ENERO!G123+FEBRERO!G123+MARZO!G123+ABRIL!G123+MAYO!G123+#REF!+#REF!+#REF!+#REF!+#REF!+#REF!+#REF!)</f>
        <v>#REF!</v>
      </c>
      <c r="H123" s="14" t="e">
        <f t="shared" si="14"/>
        <v>#REF!</v>
      </c>
      <c r="I123" s="1"/>
      <c r="R123" s="4"/>
      <c r="S123" s="1"/>
    </row>
    <row r="124" spans="1:19" x14ac:dyDescent="0.25">
      <c r="A124" s="7" t="s">
        <v>127</v>
      </c>
      <c r="B124" s="20" t="e">
        <f>SUM(ENERO!B124+FEBRERO!B124+MARZO!B124+ABRIL!B124+MAYO!B124+#REF!+#REF!+#REF!+#REF!+#REF!+#REF!+#REF!)</f>
        <v>#REF!</v>
      </c>
      <c r="C124" s="20" t="e">
        <f>SUM(ENERO!C124+FEBRERO!C124+MARZO!C124+ABRIL!C124+MAYO!C124+#REF!+#REF!+#REF!+#REF!+#REF!+#REF!+#REF!)</f>
        <v>#REF!</v>
      </c>
      <c r="D124" s="20" t="e">
        <f>SUM(ENERO!D124+FEBRERO!D124+MARZO!D124+ABRIL!D124+MAYO!D124+#REF!+#REF!+#REF!+#REF!+#REF!+#REF!+#REF!)</f>
        <v>#REF!</v>
      </c>
      <c r="E124" s="20" t="e">
        <f>SUM(ENERO!E124+FEBRERO!E124+MARZO!E124+ABRIL!E124+MAYO!E124+#REF!+#REF!+#REF!+#REF!+#REF!+#REF!+#REF!)</f>
        <v>#REF!</v>
      </c>
      <c r="F124" s="20" t="e">
        <f>SUM(ENERO!F124+FEBRERO!F124+MARZO!F124+ABRIL!F124+MAYO!F124+#REF!+#REF!+#REF!+#REF!+#REF!+#REF!+#REF!)</f>
        <v>#REF!</v>
      </c>
      <c r="G124" s="20" t="e">
        <f>SUM(ENERO!G124+FEBRERO!G124+MARZO!G124+ABRIL!G124+MAYO!G124+#REF!+#REF!+#REF!+#REF!+#REF!+#REF!+#REF!)</f>
        <v>#REF!</v>
      </c>
      <c r="H124" s="14" t="e">
        <f t="shared" si="14"/>
        <v>#REF!</v>
      </c>
      <c r="I124" s="1"/>
      <c r="R124" s="4"/>
      <c r="S124" s="1"/>
    </row>
    <row r="125" spans="1:19" x14ac:dyDescent="0.25">
      <c r="A125" s="7" t="s">
        <v>128</v>
      </c>
      <c r="B125" s="20" t="e">
        <f>SUM(ENERO!B125+FEBRERO!B125+MARZO!B125+ABRIL!B125+MAYO!B125+#REF!+#REF!+#REF!+#REF!+#REF!+#REF!+#REF!)</f>
        <v>#REF!</v>
      </c>
      <c r="C125" s="20" t="e">
        <f>SUM(ENERO!C125+FEBRERO!C125+MARZO!C125+ABRIL!C125+MAYO!C125+#REF!+#REF!+#REF!+#REF!+#REF!+#REF!+#REF!)</f>
        <v>#REF!</v>
      </c>
      <c r="D125" s="20" t="e">
        <f>SUM(ENERO!D125+FEBRERO!D125+MARZO!D125+ABRIL!D125+MAYO!D125+#REF!+#REF!+#REF!+#REF!+#REF!+#REF!+#REF!)</f>
        <v>#REF!</v>
      </c>
      <c r="E125" s="20" t="e">
        <f>SUM(ENERO!E125+FEBRERO!E125+MARZO!E125+ABRIL!E125+MAYO!E125+#REF!+#REF!+#REF!+#REF!+#REF!+#REF!+#REF!)</f>
        <v>#REF!</v>
      </c>
      <c r="F125" s="20" t="e">
        <f>SUM(ENERO!F125+FEBRERO!F125+MARZO!F125+ABRIL!F125+MAYO!F125+#REF!+#REF!+#REF!+#REF!+#REF!+#REF!+#REF!)</f>
        <v>#REF!</v>
      </c>
      <c r="G125" s="20" t="e">
        <f>SUM(ENERO!G125+FEBRERO!G125+MARZO!G125+ABRIL!G125+MAYO!G125+#REF!+#REF!+#REF!+#REF!+#REF!+#REF!+#REF!)</f>
        <v>#REF!</v>
      </c>
      <c r="H125" s="14" t="e">
        <f t="shared" si="14"/>
        <v>#REF!</v>
      </c>
      <c r="I125" s="1"/>
      <c r="R125" s="4"/>
      <c r="S125" s="1"/>
    </row>
    <row r="126" spans="1:19" x14ac:dyDescent="0.25">
      <c r="A126" s="7" t="s">
        <v>129</v>
      </c>
      <c r="B126" s="20" t="e">
        <f>SUM(ENERO!B126+FEBRERO!B126+MARZO!B126+ABRIL!B126+MAYO!B126+#REF!+#REF!+#REF!+#REF!+#REF!+#REF!+#REF!)</f>
        <v>#REF!</v>
      </c>
      <c r="C126" s="20" t="e">
        <f>SUM(ENERO!C126+FEBRERO!C126+MARZO!C126+ABRIL!C126+MAYO!C126+#REF!+#REF!+#REF!+#REF!+#REF!+#REF!+#REF!)</f>
        <v>#REF!</v>
      </c>
      <c r="D126" s="20" t="e">
        <f>SUM(ENERO!D126+FEBRERO!D126+MARZO!D126+ABRIL!D126+MAYO!D126+#REF!+#REF!+#REF!+#REF!+#REF!+#REF!+#REF!)</f>
        <v>#REF!</v>
      </c>
      <c r="E126" s="20" t="e">
        <f>SUM(ENERO!E126+FEBRERO!E126+MARZO!E126+ABRIL!E126+MAYO!E126+#REF!+#REF!+#REF!+#REF!+#REF!+#REF!+#REF!)</f>
        <v>#REF!</v>
      </c>
      <c r="F126" s="20" t="e">
        <f>SUM(ENERO!F126+FEBRERO!F126+MARZO!F126+ABRIL!F126+MAYO!F126+#REF!+#REF!+#REF!+#REF!+#REF!+#REF!+#REF!)</f>
        <v>#REF!</v>
      </c>
      <c r="G126" s="20" t="e">
        <f>SUM(ENERO!G126+FEBRERO!G126+MARZO!G126+ABRIL!G126+MAYO!G126+#REF!+#REF!+#REF!+#REF!+#REF!+#REF!+#REF!)</f>
        <v>#REF!</v>
      </c>
      <c r="H126" s="14" t="e">
        <f t="shared" si="14"/>
        <v>#REF!</v>
      </c>
      <c r="I126" s="1"/>
      <c r="R126" s="4"/>
      <c r="S126" s="1"/>
    </row>
    <row r="127" spans="1:19" x14ac:dyDescent="0.25">
      <c r="A127" s="7" t="s">
        <v>44</v>
      </c>
      <c r="B127" s="20" t="e">
        <f>SUM(ENERO!B127+FEBRERO!B127+MARZO!B127+ABRIL!B127+MAYO!B127+#REF!+#REF!+#REF!+#REF!+#REF!+#REF!+#REF!)</f>
        <v>#REF!</v>
      </c>
      <c r="C127" s="20" t="e">
        <f>SUM(ENERO!C127+FEBRERO!C127+MARZO!C127+ABRIL!C127+MAYO!C127+#REF!+#REF!+#REF!+#REF!+#REF!+#REF!+#REF!)</f>
        <v>#REF!</v>
      </c>
      <c r="D127" s="20" t="e">
        <f>SUM(ENERO!D127+FEBRERO!D127+MARZO!D127+ABRIL!D127+MAYO!D127+#REF!+#REF!+#REF!+#REF!+#REF!+#REF!+#REF!)</f>
        <v>#REF!</v>
      </c>
      <c r="E127" s="20" t="e">
        <f>SUM(ENERO!E127+FEBRERO!E127+MARZO!E127+ABRIL!E127+MAYO!E127+#REF!+#REF!+#REF!+#REF!+#REF!+#REF!+#REF!)</f>
        <v>#REF!</v>
      </c>
      <c r="F127" s="20" t="e">
        <f>SUM(ENERO!F127+FEBRERO!F127+MARZO!F127+ABRIL!F127+MAYO!F127+#REF!+#REF!+#REF!+#REF!+#REF!+#REF!+#REF!)</f>
        <v>#REF!</v>
      </c>
      <c r="G127" s="20" t="e">
        <f>SUM(ENERO!G127+FEBRERO!G127+MARZO!G127+ABRIL!G127+MAYO!G127+#REF!+#REF!+#REF!+#REF!+#REF!+#REF!+#REF!)</f>
        <v>#REF!</v>
      </c>
      <c r="H127" s="14" t="e">
        <f t="shared" si="14"/>
        <v>#REF!</v>
      </c>
      <c r="I127" s="1"/>
      <c r="R127" s="4"/>
      <c r="S127" s="1"/>
    </row>
    <row r="128" spans="1:19" x14ac:dyDescent="0.25">
      <c r="A128" s="7" t="s">
        <v>92</v>
      </c>
      <c r="B128" s="20" t="e">
        <f>SUM(ENERO!B128+FEBRERO!B128+MARZO!B128+ABRIL!B128+MAYO!B128+#REF!+#REF!+#REF!+#REF!+#REF!+#REF!+#REF!)</f>
        <v>#REF!</v>
      </c>
      <c r="C128" s="20" t="e">
        <f>SUM(ENERO!C128+FEBRERO!C128+MARZO!C128+ABRIL!C128+MAYO!C128+#REF!+#REF!+#REF!+#REF!+#REF!+#REF!+#REF!)</f>
        <v>#REF!</v>
      </c>
      <c r="D128" s="20" t="e">
        <f>SUM(ENERO!D128+FEBRERO!D128+MARZO!D128+ABRIL!D128+MAYO!D128+#REF!+#REF!+#REF!+#REF!+#REF!+#REF!+#REF!)</f>
        <v>#REF!</v>
      </c>
      <c r="E128" s="20" t="e">
        <f>SUM(ENERO!E128+FEBRERO!E128+MARZO!E128+ABRIL!E128+MAYO!E128+#REF!+#REF!+#REF!+#REF!+#REF!+#REF!+#REF!)</f>
        <v>#REF!</v>
      </c>
      <c r="F128" s="20" t="e">
        <f>SUM(ENERO!F128+FEBRERO!F128+MARZO!F128+ABRIL!F128+MAYO!F128+#REF!+#REF!+#REF!+#REF!+#REF!+#REF!+#REF!)</f>
        <v>#REF!</v>
      </c>
      <c r="G128" s="20" t="e">
        <f>SUM(ENERO!G128+FEBRERO!G128+MARZO!G128+ABRIL!G128+MAYO!G128+#REF!+#REF!+#REF!+#REF!+#REF!+#REF!+#REF!)</f>
        <v>#REF!</v>
      </c>
      <c r="H128" s="14" t="e">
        <f t="shared" si="14"/>
        <v>#REF!</v>
      </c>
      <c r="I128" s="1"/>
      <c r="R128" s="4"/>
      <c r="S128" s="1"/>
    </row>
    <row r="129" spans="1:19" x14ac:dyDescent="0.25">
      <c r="A129" s="7" t="s">
        <v>45</v>
      </c>
      <c r="B129" s="20" t="e">
        <f>SUM(ENERO!B129+FEBRERO!B129+MARZO!B129+ABRIL!B129+MAYO!B129+#REF!+#REF!+#REF!+#REF!+#REF!+#REF!+#REF!)</f>
        <v>#REF!</v>
      </c>
      <c r="C129" s="20" t="e">
        <f>SUM(ENERO!C129+FEBRERO!C129+MARZO!C129+ABRIL!C129+MAYO!C129+#REF!+#REF!+#REF!+#REF!+#REF!+#REF!+#REF!)</f>
        <v>#REF!</v>
      </c>
      <c r="D129" s="20" t="e">
        <f>SUM(ENERO!D129+FEBRERO!D129+MARZO!D129+ABRIL!D129+MAYO!D129+#REF!+#REF!+#REF!+#REF!+#REF!+#REF!+#REF!)</f>
        <v>#REF!</v>
      </c>
      <c r="E129" s="20" t="e">
        <f>SUM(ENERO!E129+FEBRERO!E129+MARZO!E129+ABRIL!E129+MAYO!E129+#REF!+#REF!+#REF!+#REF!+#REF!+#REF!+#REF!)</f>
        <v>#REF!</v>
      </c>
      <c r="F129" s="20" t="e">
        <f>SUM(ENERO!F129+FEBRERO!F129+MARZO!F129+ABRIL!F129+MAYO!F129+#REF!+#REF!+#REF!+#REF!+#REF!+#REF!+#REF!)</f>
        <v>#REF!</v>
      </c>
      <c r="G129" s="20" t="e">
        <f>SUM(ENERO!G129+FEBRERO!G129+MARZO!G129+ABRIL!G129+MAYO!G129+#REF!+#REF!+#REF!+#REF!+#REF!+#REF!+#REF!)</f>
        <v>#REF!</v>
      </c>
      <c r="H129" s="14" t="e">
        <f t="shared" si="14"/>
        <v>#REF!</v>
      </c>
      <c r="I129" s="1"/>
      <c r="R129" s="4"/>
      <c r="S129" s="1"/>
    </row>
    <row r="130" spans="1:19" x14ac:dyDescent="0.25">
      <c r="A130" s="7" t="s">
        <v>99</v>
      </c>
      <c r="B130" s="20" t="e">
        <f>SUM(ENERO!B130+FEBRERO!B130+MARZO!B130+ABRIL!B130+MAYO!B130+#REF!+#REF!+#REF!+#REF!+#REF!+#REF!+#REF!)</f>
        <v>#REF!</v>
      </c>
      <c r="C130" s="20" t="e">
        <f>SUM(ENERO!C130+FEBRERO!C130+MARZO!C130+ABRIL!C130+MAYO!C130+#REF!+#REF!+#REF!+#REF!+#REF!+#REF!+#REF!)</f>
        <v>#REF!</v>
      </c>
      <c r="D130" s="20" t="e">
        <f>SUM(ENERO!D130+FEBRERO!D130+MARZO!D130+ABRIL!D130+MAYO!D130+#REF!+#REF!+#REF!+#REF!+#REF!+#REF!+#REF!)</f>
        <v>#REF!</v>
      </c>
      <c r="E130" s="20" t="e">
        <f>SUM(ENERO!E130+FEBRERO!E130+MARZO!E130+ABRIL!E130+MAYO!E130+#REF!+#REF!+#REF!+#REF!+#REF!+#REF!+#REF!)</f>
        <v>#REF!</v>
      </c>
      <c r="F130" s="20" t="e">
        <f>SUM(ENERO!F130+FEBRERO!F130+MARZO!F130+ABRIL!F130+MAYO!F130+#REF!+#REF!+#REF!+#REF!+#REF!+#REF!+#REF!)</f>
        <v>#REF!</v>
      </c>
      <c r="G130" s="20" t="e">
        <f>SUM(ENERO!G130+FEBRERO!G130+MARZO!G130+ABRIL!G130+MAYO!G130+#REF!+#REF!+#REF!+#REF!+#REF!+#REF!+#REF!)</f>
        <v>#REF!</v>
      </c>
      <c r="H130" s="14" t="e">
        <f t="shared" si="14"/>
        <v>#REF!</v>
      </c>
      <c r="I130" s="1"/>
      <c r="R130" s="4"/>
      <c r="S130" s="1"/>
    </row>
    <row r="131" spans="1:19" x14ac:dyDescent="0.25">
      <c r="A131" s="7" t="s">
        <v>100</v>
      </c>
      <c r="B131" s="20" t="e">
        <f>SUM(ENERO!B131+FEBRERO!B131+MARZO!B131+ABRIL!B131+MAYO!B131+#REF!+#REF!+#REF!+#REF!+#REF!+#REF!+#REF!)</f>
        <v>#REF!</v>
      </c>
      <c r="C131" s="20" t="e">
        <f>SUM(ENERO!C131+FEBRERO!C131+MARZO!C131+ABRIL!C131+MAYO!C131+#REF!+#REF!+#REF!+#REF!+#REF!+#REF!+#REF!)</f>
        <v>#REF!</v>
      </c>
      <c r="D131" s="20" t="e">
        <f>SUM(ENERO!D131+FEBRERO!D131+MARZO!D131+ABRIL!D131+MAYO!D131+#REF!+#REF!+#REF!+#REF!+#REF!+#REF!+#REF!)</f>
        <v>#REF!</v>
      </c>
      <c r="E131" s="20" t="e">
        <f>SUM(ENERO!E131+FEBRERO!E131+MARZO!E131+ABRIL!E131+MAYO!E131+#REF!+#REF!+#REF!+#REF!+#REF!+#REF!+#REF!)</f>
        <v>#REF!</v>
      </c>
      <c r="F131" s="20" t="e">
        <f>SUM(ENERO!F131+FEBRERO!F131+MARZO!F131+ABRIL!F131+MAYO!F131+#REF!+#REF!+#REF!+#REF!+#REF!+#REF!+#REF!)</f>
        <v>#REF!</v>
      </c>
      <c r="G131" s="20" t="e">
        <f>SUM(ENERO!G131+FEBRERO!G131+MARZO!G131+ABRIL!G131+MAYO!G131+#REF!+#REF!+#REF!+#REF!+#REF!+#REF!+#REF!)</f>
        <v>#REF!</v>
      </c>
      <c r="H131" s="14" t="e">
        <f t="shared" si="14"/>
        <v>#REF!</v>
      </c>
      <c r="I131" s="1"/>
      <c r="R131" s="4"/>
      <c r="S131" s="1"/>
    </row>
    <row r="132" spans="1:19" ht="15.75" customHeight="1" x14ac:dyDescent="0.25">
      <c r="A132" s="7" t="s">
        <v>46</v>
      </c>
      <c r="B132" s="20" t="e">
        <f>SUM(ENERO!B132+FEBRERO!B132+MARZO!B132+ABRIL!B132+MAYO!B132+#REF!+#REF!+#REF!+#REF!+#REF!+#REF!+#REF!)</f>
        <v>#REF!</v>
      </c>
      <c r="C132" s="20" t="e">
        <f>SUM(ENERO!C132+FEBRERO!C132+MARZO!C132+ABRIL!C132+MAYO!C132+#REF!+#REF!+#REF!+#REF!+#REF!+#REF!+#REF!)</f>
        <v>#REF!</v>
      </c>
      <c r="D132" s="20" t="e">
        <f>SUM(ENERO!D132+FEBRERO!D132+MARZO!D132+ABRIL!D132+MAYO!D132+#REF!+#REF!+#REF!+#REF!+#REF!+#REF!+#REF!)</f>
        <v>#REF!</v>
      </c>
      <c r="E132" s="20" t="e">
        <f>SUM(ENERO!E132+FEBRERO!E132+MARZO!E132+ABRIL!E132+MAYO!E132+#REF!+#REF!+#REF!+#REF!+#REF!+#REF!+#REF!)</f>
        <v>#REF!</v>
      </c>
      <c r="F132" s="20" t="e">
        <f>SUM(ENERO!F132+FEBRERO!F132+MARZO!F132+ABRIL!F132+MAYO!F132+#REF!+#REF!+#REF!+#REF!+#REF!+#REF!+#REF!)</f>
        <v>#REF!</v>
      </c>
      <c r="G132" s="20" t="e">
        <f>SUM(ENERO!G132+FEBRERO!G132+MARZO!G132+ABRIL!G132+MAYO!G132+#REF!+#REF!+#REF!+#REF!+#REF!+#REF!+#REF!)</f>
        <v>#REF!</v>
      </c>
      <c r="H132" s="14" t="e">
        <f t="shared" si="14"/>
        <v>#REF!</v>
      </c>
      <c r="I132" s="1"/>
      <c r="R132" s="4"/>
      <c r="S132" s="1"/>
    </row>
    <row r="133" spans="1:19" x14ac:dyDescent="0.25">
      <c r="A133" s="7" t="s">
        <v>47</v>
      </c>
      <c r="B133" s="20" t="e">
        <f>SUM(ENERO!B133+FEBRERO!B133+MARZO!B133+ABRIL!B133+MAYO!B133+#REF!+#REF!+#REF!+#REF!+#REF!+#REF!+#REF!)</f>
        <v>#REF!</v>
      </c>
      <c r="C133" s="20" t="e">
        <f>SUM(ENERO!C133+FEBRERO!C133+MARZO!C133+ABRIL!C133+MAYO!C133+#REF!+#REF!+#REF!+#REF!+#REF!+#REF!+#REF!)</f>
        <v>#REF!</v>
      </c>
      <c r="D133" s="20" t="e">
        <f>SUM(ENERO!D133+FEBRERO!D133+MARZO!D133+ABRIL!D133+MAYO!D133+#REF!+#REF!+#REF!+#REF!+#REF!+#REF!+#REF!)</f>
        <v>#REF!</v>
      </c>
      <c r="E133" s="20" t="e">
        <f>SUM(ENERO!E133+FEBRERO!E133+MARZO!E133+ABRIL!E133+MAYO!E133+#REF!+#REF!+#REF!+#REF!+#REF!+#REF!+#REF!)</f>
        <v>#REF!</v>
      </c>
      <c r="F133" s="20" t="e">
        <f>SUM(ENERO!F133+FEBRERO!F133+MARZO!F133+ABRIL!F133+MAYO!F133+#REF!+#REF!+#REF!+#REF!+#REF!+#REF!+#REF!)</f>
        <v>#REF!</v>
      </c>
      <c r="G133" s="20" t="e">
        <f>SUM(ENERO!G133+FEBRERO!G133+MARZO!G133+ABRIL!G133+MAYO!G133+#REF!+#REF!+#REF!+#REF!+#REF!+#REF!+#REF!)</f>
        <v>#REF!</v>
      </c>
      <c r="H133" s="14" t="e">
        <f t="shared" si="14"/>
        <v>#REF!</v>
      </c>
      <c r="I133" s="1"/>
      <c r="R133" s="4"/>
      <c r="S133" s="1"/>
    </row>
    <row r="134" spans="1:19" x14ac:dyDescent="0.25">
      <c r="A134" s="7" t="s">
        <v>53</v>
      </c>
      <c r="B134" s="20" t="e">
        <f>SUM(ENERO!B134+FEBRERO!B134+MARZO!B134+ABRIL!B134+MAYO!B134+#REF!+#REF!+#REF!+#REF!+#REF!+#REF!+#REF!)</f>
        <v>#REF!</v>
      </c>
      <c r="C134" s="20" t="e">
        <f>SUM(ENERO!C134+FEBRERO!C134+MARZO!C134+ABRIL!C134+MAYO!C134+#REF!+#REF!+#REF!+#REF!+#REF!+#REF!+#REF!)</f>
        <v>#REF!</v>
      </c>
      <c r="D134" s="20" t="e">
        <f>SUM(ENERO!D134+FEBRERO!D134+MARZO!D134+ABRIL!D134+MAYO!D134+#REF!+#REF!+#REF!+#REF!+#REF!+#REF!+#REF!)</f>
        <v>#REF!</v>
      </c>
      <c r="E134" s="20" t="e">
        <f>SUM(ENERO!E134+FEBRERO!E134+MARZO!E134+ABRIL!E134+MAYO!E134+#REF!+#REF!+#REF!+#REF!+#REF!+#REF!+#REF!)</f>
        <v>#REF!</v>
      </c>
      <c r="F134" s="20" t="e">
        <f>SUM(ENERO!F134+FEBRERO!F134+MARZO!F134+ABRIL!F134+MAYO!F134+#REF!+#REF!+#REF!+#REF!+#REF!+#REF!+#REF!)</f>
        <v>#REF!</v>
      </c>
      <c r="G134" s="20" t="e">
        <f>SUM(ENERO!G134+FEBRERO!G134+MARZO!G134+ABRIL!G134+MAYO!G134+#REF!+#REF!+#REF!+#REF!+#REF!+#REF!+#REF!)</f>
        <v>#REF!</v>
      </c>
      <c r="H134" s="14" t="e">
        <f t="shared" si="14"/>
        <v>#REF!</v>
      </c>
      <c r="I134" s="1"/>
      <c r="R134" s="4"/>
      <c r="S134" s="1"/>
    </row>
    <row r="135" spans="1:19" x14ac:dyDescent="0.25">
      <c r="A135" s="7" t="s">
        <v>134</v>
      </c>
      <c r="B135" s="20" t="e">
        <f>SUM(ENERO!B135+FEBRERO!B135+MARZO!B135+ABRIL!B135+MAYO!B135+#REF!+#REF!+#REF!+#REF!+#REF!+#REF!+#REF!)</f>
        <v>#REF!</v>
      </c>
      <c r="C135" s="20" t="e">
        <f>SUM(ENERO!C135+FEBRERO!C135+MARZO!C135+ABRIL!C135+MAYO!C135+#REF!+#REF!+#REF!+#REF!+#REF!+#REF!+#REF!)</f>
        <v>#REF!</v>
      </c>
      <c r="D135" s="20" t="e">
        <f>SUM(ENERO!D135+FEBRERO!D135+MARZO!D135+ABRIL!D135+MAYO!D135+#REF!+#REF!+#REF!+#REF!+#REF!+#REF!+#REF!)</f>
        <v>#REF!</v>
      </c>
      <c r="E135" s="20" t="e">
        <f>SUM(ENERO!E135+FEBRERO!E135+MARZO!E135+ABRIL!E135+MAYO!E135+#REF!+#REF!+#REF!+#REF!+#REF!+#REF!+#REF!)</f>
        <v>#REF!</v>
      </c>
      <c r="F135" s="20" t="e">
        <f>SUM(ENERO!F135+FEBRERO!F135+MARZO!F135+ABRIL!F135+MAYO!F135+#REF!+#REF!+#REF!+#REF!+#REF!+#REF!+#REF!)</f>
        <v>#REF!</v>
      </c>
      <c r="G135" s="20" t="e">
        <f>SUM(ENERO!G135+FEBRERO!G135+MARZO!G135+ABRIL!G135+MAYO!G135+#REF!+#REF!+#REF!+#REF!+#REF!+#REF!+#REF!)</f>
        <v>#REF!</v>
      </c>
      <c r="H135" s="14" t="e">
        <f t="shared" si="14"/>
        <v>#REF!</v>
      </c>
      <c r="I135" s="1"/>
      <c r="R135" s="4"/>
      <c r="S135" s="1"/>
    </row>
    <row r="136" spans="1:19" x14ac:dyDescent="0.25">
      <c r="A136" s="7" t="s">
        <v>135</v>
      </c>
      <c r="B136" s="20" t="e">
        <f>SUM(ENERO!B136+FEBRERO!B136+MARZO!B136+ABRIL!B136+MAYO!B136+#REF!+#REF!+#REF!+#REF!+#REF!+#REF!+#REF!)</f>
        <v>#REF!</v>
      </c>
      <c r="C136" s="20" t="e">
        <f>SUM(ENERO!C136+FEBRERO!C136+MARZO!C136+ABRIL!C136+MAYO!C136+#REF!+#REF!+#REF!+#REF!+#REF!+#REF!+#REF!)</f>
        <v>#REF!</v>
      </c>
      <c r="D136" s="20" t="e">
        <f>SUM(ENERO!D136+FEBRERO!D136+MARZO!D136+ABRIL!D136+MAYO!D136+#REF!+#REF!+#REF!+#REF!+#REF!+#REF!+#REF!)</f>
        <v>#REF!</v>
      </c>
      <c r="E136" s="20" t="e">
        <f>SUM(ENERO!E136+FEBRERO!E136+MARZO!E136+ABRIL!E136+MAYO!E136+#REF!+#REF!+#REF!+#REF!+#REF!+#REF!+#REF!)</f>
        <v>#REF!</v>
      </c>
      <c r="F136" s="20" t="e">
        <f>SUM(ENERO!F136+FEBRERO!F136+MARZO!F136+ABRIL!F136+MAYO!F136+#REF!+#REF!+#REF!+#REF!+#REF!+#REF!+#REF!)</f>
        <v>#REF!</v>
      </c>
      <c r="G136" s="20" t="e">
        <f>SUM(ENERO!G136+FEBRERO!G136+MARZO!G136+ABRIL!G136+MAYO!G136+#REF!+#REF!+#REF!+#REF!+#REF!+#REF!+#REF!)</f>
        <v>#REF!</v>
      </c>
      <c r="H136" s="14" t="e">
        <f t="shared" si="14"/>
        <v>#REF!</v>
      </c>
      <c r="I136" s="1"/>
      <c r="R136" s="4"/>
      <c r="S136" s="1"/>
    </row>
    <row r="137" spans="1:19" x14ac:dyDescent="0.25">
      <c r="A137" s="7" t="s">
        <v>49</v>
      </c>
      <c r="B137" s="20" t="e">
        <f>SUM(ENERO!B137+FEBRERO!B137+MARZO!B137+ABRIL!B137+MAYO!B137+#REF!+#REF!+#REF!+#REF!+#REF!+#REF!+#REF!)</f>
        <v>#REF!</v>
      </c>
      <c r="C137" s="20" t="e">
        <f>SUM(ENERO!C137+FEBRERO!C137+MARZO!C137+ABRIL!C137+MAYO!C137+#REF!+#REF!+#REF!+#REF!+#REF!+#REF!+#REF!)</f>
        <v>#REF!</v>
      </c>
      <c r="D137" s="20" t="e">
        <f>SUM(ENERO!D137+FEBRERO!D137+MARZO!D137+ABRIL!D137+MAYO!D137+#REF!+#REF!+#REF!+#REF!+#REF!+#REF!+#REF!)</f>
        <v>#REF!</v>
      </c>
      <c r="E137" s="20" t="e">
        <f>SUM(ENERO!E137+FEBRERO!E137+MARZO!E137+ABRIL!E137+MAYO!E137+#REF!+#REF!+#REF!+#REF!+#REF!+#REF!+#REF!)</f>
        <v>#REF!</v>
      </c>
      <c r="F137" s="20" t="e">
        <f>SUM(ENERO!F137+FEBRERO!F137+MARZO!F137+ABRIL!F137+MAYO!F137+#REF!+#REF!+#REF!+#REF!+#REF!+#REF!+#REF!)</f>
        <v>#REF!</v>
      </c>
      <c r="G137" s="20" t="e">
        <f>SUM(ENERO!G137+FEBRERO!G137+MARZO!G137+ABRIL!G137+MAYO!G137+#REF!+#REF!+#REF!+#REF!+#REF!+#REF!+#REF!)</f>
        <v>#REF!</v>
      </c>
      <c r="H137" s="27" t="e">
        <f t="shared" si="14"/>
        <v>#REF!</v>
      </c>
      <c r="I137" s="1"/>
      <c r="R137" s="4"/>
      <c r="S137" s="1"/>
    </row>
    <row r="138" spans="1:19" x14ac:dyDescent="0.25">
      <c r="A138" s="7" t="s">
        <v>189</v>
      </c>
      <c r="B138" s="20" t="e">
        <f>SUM(ENERO!B138+FEBRERO!B138+MARZO!B138+ABRIL!B138+MAYO!B138+#REF!+#REF!+#REF!+#REF!+#REF!+#REF!+#REF!)</f>
        <v>#REF!</v>
      </c>
      <c r="C138" s="20" t="e">
        <f>SUM(ENERO!C138+FEBRERO!C138+MARZO!C138+ABRIL!C138+MAYO!C138+#REF!+#REF!+#REF!+#REF!+#REF!+#REF!+#REF!)</f>
        <v>#REF!</v>
      </c>
      <c r="D138" s="20" t="e">
        <f>SUM(ENERO!D138+FEBRERO!D138+MARZO!D138+ABRIL!D138+MAYO!D138+#REF!+#REF!+#REF!+#REF!+#REF!+#REF!+#REF!)</f>
        <v>#REF!</v>
      </c>
      <c r="E138" s="20" t="e">
        <f>SUM(ENERO!E138+FEBRERO!E138+MARZO!E138+ABRIL!E138+MAYO!E138+#REF!+#REF!+#REF!+#REF!+#REF!+#REF!+#REF!)</f>
        <v>#REF!</v>
      </c>
      <c r="F138" s="20" t="e">
        <f>SUM(ENERO!F138+FEBRERO!F138+MARZO!F138+ABRIL!F138+MAYO!F138+#REF!+#REF!+#REF!+#REF!+#REF!+#REF!+#REF!)</f>
        <v>#REF!</v>
      </c>
      <c r="G138" s="20" t="e">
        <f>SUM(ENERO!G138+FEBRERO!G138+MARZO!G138+ABRIL!G138+MAYO!G138+#REF!+#REF!+#REF!+#REF!+#REF!+#REF!+#REF!)</f>
        <v>#REF!</v>
      </c>
      <c r="H138" s="27" t="e">
        <f t="shared" si="14"/>
        <v>#REF!</v>
      </c>
      <c r="I138" s="1"/>
      <c r="R138" s="4"/>
      <c r="S138" s="1"/>
    </row>
    <row r="139" spans="1:19" x14ac:dyDescent="0.25">
      <c r="A139" s="7" t="s">
        <v>50</v>
      </c>
      <c r="B139" s="20" t="e">
        <f>SUM(ENERO!B139+FEBRERO!B139+MARZO!B139+ABRIL!B139+MAYO!B139+#REF!+#REF!+#REF!+#REF!+#REF!+#REF!+#REF!)</f>
        <v>#REF!</v>
      </c>
      <c r="C139" s="20" t="e">
        <f>SUM(ENERO!C139+FEBRERO!C139+MARZO!C139+ABRIL!C139+MAYO!C139+#REF!+#REF!+#REF!+#REF!+#REF!+#REF!+#REF!)</f>
        <v>#REF!</v>
      </c>
      <c r="D139" s="20" t="e">
        <f>SUM(ENERO!D139+FEBRERO!D139+MARZO!D139+ABRIL!D139+MAYO!D139+#REF!+#REF!+#REF!+#REF!+#REF!+#REF!+#REF!)</f>
        <v>#REF!</v>
      </c>
      <c r="E139" s="20" t="e">
        <f>SUM(ENERO!E139+FEBRERO!E139+MARZO!E139+ABRIL!E139+MAYO!E139+#REF!+#REF!+#REF!+#REF!+#REF!+#REF!+#REF!)</f>
        <v>#REF!</v>
      </c>
      <c r="F139" s="20" t="e">
        <f>SUM(ENERO!F139+FEBRERO!F139+MARZO!F139+ABRIL!F139+MAYO!F139+#REF!+#REF!+#REF!+#REF!+#REF!+#REF!+#REF!)</f>
        <v>#REF!</v>
      </c>
      <c r="G139" s="20" t="e">
        <f>SUM(ENERO!G139+FEBRERO!G139+MARZO!G139+ABRIL!G139+MAYO!G139+#REF!+#REF!+#REF!+#REF!+#REF!+#REF!+#REF!)</f>
        <v>#REF!</v>
      </c>
      <c r="H139" s="14" t="e">
        <f t="shared" si="14"/>
        <v>#REF!</v>
      </c>
      <c r="I139" s="1"/>
      <c r="R139" s="4"/>
      <c r="S139" s="1"/>
    </row>
    <row r="140" spans="1:19" x14ac:dyDescent="0.25">
      <c r="A140" s="7" t="s">
        <v>104</v>
      </c>
      <c r="B140" s="20" t="e">
        <f>SUM(ENERO!B140+FEBRERO!B140+MARZO!B140+ABRIL!B140+MAYO!B140+#REF!+#REF!+#REF!+#REF!+#REF!+#REF!+#REF!)</f>
        <v>#REF!</v>
      </c>
      <c r="C140" s="20" t="e">
        <f>SUM(ENERO!C140+FEBRERO!C140+MARZO!C140+ABRIL!C140+MAYO!C140+#REF!+#REF!+#REF!+#REF!+#REF!+#REF!+#REF!)</f>
        <v>#REF!</v>
      </c>
      <c r="D140" s="20" t="e">
        <f>SUM(ENERO!D140+FEBRERO!D140+MARZO!D140+ABRIL!D140+MAYO!D140+#REF!+#REF!+#REF!+#REF!+#REF!+#REF!+#REF!)</f>
        <v>#REF!</v>
      </c>
      <c r="E140" s="20" t="e">
        <f>SUM(ENERO!E140+FEBRERO!E140+MARZO!E140+ABRIL!E140+MAYO!E140+#REF!+#REF!+#REF!+#REF!+#REF!+#REF!+#REF!)</f>
        <v>#REF!</v>
      </c>
      <c r="F140" s="20" t="e">
        <f>SUM(ENERO!F140+FEBRERO!F140+MARZO!F140+ABRIL!F140+MAYO!F140+#REF!+#REF!+#REF!+#REF!+#REF!+#REF!+#REF!)</f>
        <v>#REF!</v>
      </c>
      <c r="G140" s="20" t="e">
        <f>SUM(ENERO!G140+FEBRERO!G140+MARZO!G140+ABRIL!G140+MAYO!G140+#REF!+#REF!+#REF!+#REF!+#REF!+#REF!+#REF!)</f>
        <v>#REF!</v>
      </c>
      <c r="H140" s="14" t="e">
        <f t="shared" si="14"/>
        <v>#REF!</v>
      </c>
      <c r="I140" s="1"/>
      <c r="R140" s="4"/>
      <c r="S140" s="1"/>
    </row>
    <row r="141" spans="1:19" x14ac:dyDescent="0.25">
      <c r="A141" s="7" t="s">
        <v>51</v>
      </c>
      <c r="B141" s="20" t="e">
        <f>SUM(ENERO!B141+FEBRERO!B141+MARZO!B141+ABRIL!B141+MAYO!B141+#REF!+#REF!+#REF!+#REF!+#REF!+#REF!+#REF!)</f>
        <v>#REF!</v>
      </c>
      <c r="C141" s="20" t="e">
        <f>SUM(ENERO!C141+FEBRERO!C141+MARZO!C141+ABRIL!C141+MAYO!C141+#REF!+#REF!+#REF!+#REF!+#REF!+#REF!+#REF!)</f>
        <v>#REF!</v>
      </c>
      <c r="D141" s="20" t="e">
        <f>SUM(ENERO!D141+FEBRERO!D141+MARZO!D141+ABRIL!D141+MAYO!D141+#REF!+#REF!+#REF!+#REF!+#REF!+#REF!+#REF!)</f>
        <v>#REF!</v>
      </c>
      <c r="E141" s="20" t="e">
        <f>SUM(ENERO!E141+FEBRERO!E141+MARZO!E141+ABRIL!E141+MAYO!E141+#REF!+#REF!+#REF!+#REF!+#REF!+#REF!+#REF!)</f>
        <v>#REF!</v>
      </c>
      <c r="F141" s="20" t="e">
        <f>SUM(ENERO!F141+FEBRERO!F141+MARZO!F141+ABRIL!F141+MAYO!F141+#REF!+#REF!+#REF!+#REF!+#REF!+#REF!+#REF!)</f>
        <v>#REF!</v>
      </c>
      <c r="G141" s="20" t="e">
        <f>SUM(ENERO!G141+FEBRERO!G141+MARZO!G141+ABRIL!G141+MAYO!G141+#REF!+#REF!+#REF!+#REF!+#REF!+#REF!+#REF!)</f>
        <v>#REF!</v>
      </c>
      <c r="H141" s="14" t="e">
        <f t="shared" si="14"/>
        <v>#REF!</v>
      </c>
      <c r="I141" s="1"/>
      <c r="R141" s="6"/>
      <c r="S141" s="1"/>
    </row>
    <row r="142" spans="1:19" x14ac:dyDescent="0.25">
      <c r="A142" s="7" t="s">
        <v>52</v>
      </c>
      <c r="B142" s="20" t="e">
        <f>SUM(ENERO!B142+FEBRERO!B142+MARZO!B142+ABRIL!B142+MAYO!B142+#REF!+#REF!+#REF!+#REF!+#REF!+#REF!+#REF!)</f>
        <v>#REF!</v>
      </c>
      <c r="C142" s="20" t="e">
        <f>SUM(ENERO!C142+FEBRERO!C142+MARZO!C142+ABRIL!C142+MAYO!C142+#REF!+#REF!+#REF!+#REF!+#REF!+#REF!+#REF!)</f>
        <v>#REF!</v>
      </c>
      <c r="D142" s="20" t="e">
        <f>SUM(ENERO!D142+FEBRERO!D142+MARZO!D142+ABRIL!D142+MAYO!D142+#REF!+#REF!+#REF!+#REF!+#REF!+#REF!+#REF!)</f>
        <v>#REF!</v>
      </c>
      <c r="E142" s="20" t="e">
        <f>SUM(ENERO!E142+FEBRERO!E142+MARZO!E142+ABRIL!E142+MAYO!E142+#REF!+#REF!+#REF!+#REF!+#REF!+#REF!+#REF!)</f>
        <v>#REF!</v>
      </c>
      <c r="F142" s="20" t="e">
        <f>SUM(ENERO!F142+FEBRERO!F142+MARZO!F142+ABRIL!F142+MAYO!F142+#REF!+#REF!+#REF!+#REF!+#REF!+#REF!+#REF!)</f>
        <v>#REF!</v>
      </c>
      <c r="G142" s="20" t="e">
        <f>SUM(ENERO!G142+FEBRERO!G142+MARZO!G142+ABRIL!G142+MAYO!G142+#REF!+#REF!+#REF!+#REF!+#REF!+#REF!+#REF!)</f>
        <v>#REF!</v>
      </c>
      <c r="H142" s="14" t="e">
        <f t="shared" si="14"/>
        <v>#REF!</v>
      </c>
    </row>
    <row r="143" spans="1:19" x14ac:dyDescent="0.25">
      <c r="A143" s="7" t="s">
        <v>115</v>
      </c>
      <c r="B143" s="20" t="e">
        <f>SUM(ENERO!B143+FEBRERO!B143+MARZO!B143+ABRIL!B143+MAYO!B143+#REF!+#REF!+#REF!+#REF!+#REF!+#REF!+#REF!)</f>
        <v>#REF!</v>
      </c>
      <c r="C143" s="20" t="e">
        <f>SUM(ENERO!C143+FEBRERO!C143+MARZO!C143+ABRIL!C143+MAYO!C143+#REF!+#REF!+#REF!+#REF!+#REF!+#REF!+#REF!)</f>
        <v>#REF!</v>
      </c>
      <c r="D143" s="20" t="e">
        <f>SUM(ENERO!D143+FEBRERO!D143+MARZO!D143+ABRIL!D143+MAYO!D143+#REF!+#REF!+#REF!+#REF!+#REF!+#REF!+#REF!)</f>
        <v>#REF!</v>
      </c>
      <c r="E143" s="20" t="e">
        <f>SUM(ENERO!E143+FEBRERO!E143+MARZO!E143+ABRIL!E143+MAYO!E143+#REF!+#REF!+#REF!+#REF!+#REF!+#REF!+#REF!)</f>
        <v>#REF!</v>
      </c>
      <c r="F143" s="20" t="e">
        <f>SUM(ENERO!F143+FEBRERO!F143+MARZO!F143+ABRIL!F143+MAYO!F143+#REF!+#REF!+#REF!+#REF!+#REF!+#REF!+#REF!)</f>
        <v>#REF!</v>
      </c>
      <c r="G143" s="20" t="e">
        <f>SUM(ENERO!G143+FEBRERO!G143+MARZO!G143+ABRIL!G143+MAYO!G143+#REF!+#REF!+#REF!+#REF!+#REF!+#REF!+#REF!)</f>
        <v>#REF!</v>
      </c>
      <c r="H143" s="14" t="e">
        <f t="shared" si="14"/>
        <v>#REF!</v>
      </c>
    </row>
    <row r="144" spans="1:19" x14ac:dyDescent="0.25">
      <c r="A144" s="7" t="s">
        <v>116</v>
      </c>
      <c r="B144" s="20" t="e">
        <f>SUM(ENERO!B144+FEBRERO!B144+MARZO!B144+ABRIL!B144+MAYO!B144+#REF!+#REF!+#REF!+#REF!+#REF!+#REF!+#REF!)</f>
        <v>#REF!</v>
      </c>
      <c r="C144" s="20" t="e">
        <f>SUM(ENERO!C144+FEBRERO!C144+MARZO!C144+ABRIL!C144+MAYO!C144+#REF!+#REF!+#REF!+#REF!+#REF!+#REF!+#REF!)</f>
        <v>#REF!</v>
      </c>
      <c r="D144" s="20" t="e">
        <f>SUM(ENERO!D144+FEBRERO!D144+MARZO!D144+ABRIL!D144+MAYO!D144+#REF!+#REF!+#REF!+#REF!+#REF!+#REF!+#REF!)</f>
        <v>#REF!</v>
      </c>
      <c r="E144" s="20" t="e">
        <f>SUM(ENERO!E144+FEBRERO!E144+MARZO!E144+ABRIL!E144+MAYO!E144+#REF!+#REF!+#REF!+#REF!+#REF!+#REF!+#REF!)</f>
        <v>#REF!</v>
      </c>
      <c r="F144" s="20" t="e">
        <f>SUM(ENERO!F144+FEBRERO!F144+MARZO!F144+ABRIL!F144+MAYO!F144+#REF!+#REF!+#REF!+#REF!+#REF!+#REF!+#REF!)</f>
        <v>#REF!</v>
      </c>
      <c r="G144" s="20" t="e">
        <f>SUM(ENERO!G144+FEBRERO!G144+MARZO!G144+ABRIL!G144+MAYO!G144+#REF!+#REF!+#REF!+#REF!+#REF!+#REF!+#REF!)</f>
        <v>#REF!</v>
      </c>
      <c r="H144" s="14" t="e">
        <f t="shared" si="14"/>
        <v>#REF!</v>
      </c>
    </row>
    <row r="145" spans="1:13" x14ac:dyDescent="0.25">
      <c r="A145" s="7" t="s">
        <v>102</v>
      </c>
      <c r="B145" s="20" t="e">
        <f>SUM(ENERO!B145+FEBRERO!B145+MARZO!B145+ABRIL!B145+MAYO!B145+#REF!+#REF!+#REF!+#REF!+#REF!+#REF!+#REF!)</f>
        <v>#REF!</v>
      </c>
      <c r="C145" s="20" t="e">
        <f>SUM(ENERO!C145+FEBRERO!C145+MARZO!C145+ABRIL!C145+MAYO!C145+#REF!+#REF!+#REF!+#REF!+#REF!+#REF!+#REF!)</f>
        <v>#REF!</v>
      </c>
      <c r="D145" s="20" t="e">
        <f>SUM(ENERO!D145+FEBRERO!D145+MARZO!D145+ABRIL!D145+MAYO!D145+#REF!+#REF!+#REF!+#REF!+#REF!+#REF!+#REF!)</f>
        <v>#REF!</v>
      </c>
      <c r="E145" s="20" t="e">
        <f>SUM(ENERO!E145+FEBRERO!E145+MARZO!E145+ABRIL!E145+MAYO!E145+#REF!+#REF!+#REF!+#REF!+#REF!+#REF!+#REF!)</f>
        <v>#REF!</v>
      </c>
      <c r="F145" s="20" t="e">
        <f>SUM(ENERO!F145+FEBRERO!F145+MARZO!F145+ABRIL!F145+MAYO!F145+#REF!+#REF!+#REF!+#REF!+#REF!+#REF!+#REF!)</f>
        <v>#REF!</v>
      </c>
      <c r="G145" s="20" t="e">
        <f>SUM(ENERO!G145+FEBRERO!G145+MARZO!G145+ABRIL!G145+MAYO!G145+#REF!+#REF!+#REF!+#REF!+#REF!+#REF!+#REF!)</f>
        <v>#REF!</v>
      </c>
      <c r="H145" s="14" t="e">
        <f t="shared" si="14"/>
        <v>#REF!</v>
      </c>
    </row>
    <row r="146" spans="1:13" x14ac:dyDescent="0.25">
      <c r="A146" s="7" t="s">
        <v>203</v>
      </c>
      <c r="B146" s="20" t="e">
        <f>SUM(ENERO!B146+FEBRERO!B146+MARZO!B146+ABRIL!B146+MAYO!B146+#REF!+#REF!+#REF!+#REF!+#REF!+#REF!+#REF!)</f>
        <v>#REF!</v>
      </c>
      <c r="C146" s="20" t="e">
        <f>SUM(ENERO!C146+FEBRERO!C146+MARZO!C146+ABRIL!C146+MAYO!C146+#REF!+#REF!+#REF!+#REF!+#REF!+#REF!+#REF!)</f>
        <v>#REF!</v>
      </c>
      <c r="D146" s="20" t="e">
        <f>SUM(ENERO!D146+FEBRERO!D146+MARZO!D146+ABRIL!D146+MAYO!D146+#REF!+#REF!+#REF!+#REF!+#REF!+#REF!+#REF!)</f>
        <v>#REF!</v>
      </c>
      <c r="E146" s="20" t="e">
        <f>SUM(ENERO!E146+FEBRERO!E146+MARZO!E146+ABRIL!E146+MAYO!E146+#REF!+#REF!+#REF!+#REF!+#REF!+#REF!+#REF!)</f>
        <v>#REF!</v>
      </c>
      <c r="F146" s="20" t="e">
        <f>SUM(ENERO!F146+FEBRERO!F146+MARZO!F146+ABRIL!F146+MAYO!F146+#REF!+#REF!+#REF!+#REF!+#REF!+#REF!+#REF!)</f>
        <v>#REF!</v>
      </c>
      <c r="G146" s="20" t="e">
        <f>SUM(ENERO!G146+FEBRERO!G146+MARZO!G146+ABRIL!G146+MAYO!G146+#REF!+#REF!+#REF!+#REF!+#REF!+#REF!+#REF!)</f>
        <v>#REF!</v>
      </c>
      <c r="H146" s="14" t="e">
        <f t="shared" si="14"/>
        <v>#REF!</v>
      </c>
    </row>
    <row r="147" spans="1:13" x14ac:dyDescent="0.25">
      <c r="A147" s="7" t="s">
        <v>197</v>
      </c>
      <c r="B147" s="20" t="e">
        <f>SUM(ENERO!B147+FEBRERO!B147+MARZO!B147+ABRIL!B147+MAYO!B147+#REF!+#REF!+#REF!+#REF!+#REF!+#REF!+#REF!)</f>
        <v>#REF!</v>
      </c>
      <c r="C147" s="20" t="e">
        <f>SUM(ENERO!C147+FEBRERO!C147+MARZO!C147+ABRIL!C147+MAYO!C147+#REF!+#REF!+#REF!+#REF!+#REF!+#REF!+#REF!)</f>
        <v>#REF!</v>
      </c>
      <c r="D147" s="20" t="e">
        <f>SUM(ENERO!D147+FEBRERO!D147+MARZO!D147+ABRIL!D147+MAYO!D147+#REF!+#REF!+#REF!+#REF!+#REF!+#REF!+#REF!)</f>
        <v>#REF!</v>
      </c>
      <c r="E147" s="20" t="e">
        <f>SUM(ENERO!E147+FEBRERO!E147+MARZO!E147+ABRIL!E147+MAYO!E147+#REF!+#REF!+#REF!+#REF!+#REF!+#REF!+#REF!)</f>
        <v>#REF!</v>
      </c>
      <c r="F147" s="20" t="e">
        <f>SUM(ENERO!F147+FEBRERO!F147+MARZO!F147+ABRIL!F147+MAYO!F147+#REF!+#REF!+#REF!+#REF!+#REF!+#REF!+#REF!)</f>
        <v>#REF!</v>
      </c>
      <c r="G147" s="20" t="e">
        <f>SUM(ENERO!G147+FEBRERO!G147+MARZO!G147+ABRIL!G147+MAYO!G147+#REF!+#REF!+#REF!+#REF!+#REF!+#REF!+#REF!)</f>
        <v>#REF!</v>
      </c>
      <c r="H147" s="14" t="e">
        <f t="shared" ref="H147:H149" si="15">SUM(B147:G147)</f>
        <v>#REF!</v>
      </c>
    </row>
    <row r="148" spans="1:13" x14ac:dyDescent="0.25">
      <c r="A148" s="7" t="s">
        <v>217</v>
      </c>
      <c r="B148" s="20" t="e">
        <f>SUM(ENERO!B148+FEBRERO!B148+MARZO!B148+ABRIL!B148+MAYO!B148+#REF!+#REF!+#REF!+#REF!+#REF!+#REF!+#REF!)</f>
        <v>#REF!</v>
      </c>
      <c r="C148" s="20" t="e">
        <f>SUM(ENERO!C148+FEBRERO!C148+MARZO!C148+ABRIL!C148+MAYO!C148+#REF!+#REF!+#REF!+#REF!+#REF!+#REF!+#REF!)</f>
        <v>#REF!</v>
      </c>
      <c r="D148" s="20" t="e">
        <f>SUM(ENERO!D148+FEBRERO!D148+MARZO!D148+ABRIL!D148+MAYO!D148+#REF!+#REF!+#REF!+#REF!+#REF!+#REF!+#REF!)</f>
        <v>#REF!</v>
      </c>
      <c r="E148" s="20" t="e">
        <f>SUM(ENERO!E148+FEBRERO!E148+MARZO!E148+ABRIL!E148+MAYO!E148+#REF!+#REF!+#REF!+#REF!+#REF!+#REF!+#REF!)</f>
        <v>#REF!</v>
      </c>
      <c r="F148" s="20" t="e">
        <f>SUM(ENERO!F148+FEBRERO!F148+MARZO!F148+ABRIL!F148+MAYO!F148+#REF!+#REF!+#REF!+#REF!+#REF!+#REF!+#REF!)</f>
        <v>#REF!</v>
      </c>
      <c r="G148" s="20" t="e">
        <f>SUM(ENERO!G148+FEBRERO!G148+MARZO!G148+ABRIL!G148+MAYO!G148+#REF!+#REF!+#REF!+#REF!+#REF!+#REF!+#REF!)</f>
        <v>#REF!</v>
      </c>
      <c r="H148" s="14" t="e">
        <f t="shared" si="15"/>
        <v>#REF!</v>
      </c>
    </row>
    <row r="149" spans="1:13" x14ac:dyDescent="0.25">
      <c r="A149" s="7" t="s">
        <v>198</v>
      </c>
      <c r="B149" s="20" t="e">
        <f>SUM(ENERO!B149+FEBRERO!B149+MARZO!B149+ABRIL!B149+MAYO!B149+#REF!+#REF!+#REF!+#REF!+#REF!+#REF!+#REF!)</f>
        <v>#REF!</v>
      </c>
      <c r="C149" s="20" t="e">
        <f>SUM(ENERO!C149+FEBRERO!C149+MARZO!C149+ABRIL!C149+MAYO!C149+#REF!+#REF!+#REF!+#REF!+#REF!+#REF!+#REF!)</f>
        <v>#REF!</v>
      </c>
      <c r="D149" s="20" t="e">
        <f>SUM(ENERO!D149+FEBRERO!D149+MARZO!D149+ABRIL!D149+MAYO!D149+#REF!+#REF!+#REF!+#REF!+#REF!+#REF!+#REF!)</f>
        <v>#REF!</v>
      </c>
      <c r="E149" s="20" t="e">
        <f>SUM(ENERO!E149+FEBRERO!E149+MARZO!E149+ABRIL!E149+MAYO!E149+#REF!+#REF!+#REF!+#REF!+#REF!+#REF!+#REF!)</f>
        <v>#REF!</v>
      </c>
      <c r="F149" s="20" t="e">
        <f>SUM(ENERO!F149+FEBRERO!F149+MARZO!F149+ABRIL!F149+MAYO!F149+#REF!+#REF!+#REF!+#REF!+#REF!+#REF!+#REF!)</f>
        <v>#REF!</v>
      </c>
      <c r="G149" s="20" t="e">
        <f>SUM(ENERO!G149+FEBRERO!G149+MARZO!G149+ABRIL!G149+MAYO!G149+#REF!+#REF!+#REF!+#REF!+#REF!+#REF!+#REF!)</f>
        <v>#REF!</v>
      </c>
      <c r="H149" s="14" t="e">
        <f t="shared" si="15"/>
        <v>#REF!</v>
      </c>
    </row>
    <row r="150" spans="1:13" x14ac:dyDescent="0.25">
      <c r="A150" s="7" t="s">
        <v>199</v>
      </c>
      <c r="B150" s="20" t="e">
        <f>SUM(ENERO!B150+FEBRERO!B150+MARZO!B150+ABRIL!B150+MAYO!B150+#REF!+#REF!+#REF!+#REF!+#REF!+#REF!+#REF!)</f>
        <v>#REF!</v>
      </c>
      <c r="C150" s="20" t="e">
        <f>SUM(ENERO!C150+FEBRERO!C150+MARZO!C150+ABRIL!C150+MAYO!C150+#REF!+#REF!+#REF!+#REF!+#REF!+#REF!+#REF!)</f>
        <v>#REF!</v>
      </c>
      <c r="D150" s="20" t="e">
        <f>SUM(ENERO!D150+FEBRERO!D150+MARZO!D150+ABRIL!D150+MAYO!D150+#REF!+#REF!+#REF!+#REF!+#REF!+#REF!+#REF!)</f>
        <v>#REF!</v>
      </c>
      <c r="E150" s="20" t="e">
        <f>SUM(ENERO!E150+FEBRERO!E150+MARZO!E150+ABRIL!E150+MAYO!E150+#REF!+#REF!+#REF!+#REF!+#REF!+#REF!+#REF!)</f>
        <v>#REF!</v>
      </c>
      <c r="F150" s="20" t="e">
        <f>SUM(ENERO!F150+FEBRERO!F150+MARZO!F150+ABRIL!F150+MAYO!F150+#REF!+#REF!+#REF!+#REF!+#REF!+#REF!+#REF!)</f>
        <v>#REF!</v>
      </c>
      <c r="G150" s="20" t="e">
        <f>SUM(ENERO!G150+FEBRERO!G150+MARZO!G150+ABRIL!G150+MAYO!G150+#REF!+#REF!+#REF!+#REF!+#REF!+#REF!+#REF!)</f>
        <v>#REF!</v>
      </c>
      <c r="H150" s="14" t="e">
        <f>SUM(B150:G150)</f>
        <v>#REF!</v>
      </c>
    </row>
    <row r="151" spans="1:13" x14ac:dyDescent="0.25">
      <c r="A151" s="7" t="s">
        <v>200</v>
      </c>
      <c r="B151" s="20" t="e">
        <f>SUM(ENERO!B151+FEBRERO!B151+MARZO!B151+ABRIL!B151+MAYO!B151+#REF!+#REF!+#REF!+#REF!+#REF!+#REF!+#REF!)</f>
        <v>#REF!</v>
      </c>
      <c r="C151" s="20" t="e">
        <f>SUM(ENERO!C151+FEBRERO!C151+MARZO!C151+ABRIL!C151+MAYO!C151+#REF!+#REF!+#REF!+#REF!+#REF!+#REF!+#REF!)</f>
        <v>#REF!</v>
      </c>
      <c r="D151" s="20" t="e">
        <f>SUM(ENERO!D151+FEBRERO!D151+MARZO!D151+ABRIL!D151+MAYO!D151+#REF!+#REF!+#REF!+#REF!+#REF!+#REF!+#REF!)</f>
        <v>#REF!</v>
      </c>
      <c r="E151" s="20" t="e">
        <f>SUM(ENERO!E151+FEBRERO!E151+MARZO!E151+ABRIL!E151+MAYO!E151+#REF!+#REF!+#REF!+#REF!+#REF!+#REF!+#REF!)</f>
        <v>#REF!</v>
      </c>
      <c r="F151" s="20" t="e">
        <f>SUM(ENERO!F151+FEBRERO!F151+MARZO!F151+ABRIL!F151+MAYO!F151+#REF!+#REF!+#REF!+#REF!+#REF!+#REF!+#REF!)</f>
        <v>#REF!</v>
      </c>
      <c r="G151" s="20" t="e">
        <f>SUM(ENERO!G151+FEBRERO!G151+MARZO!G151+ABRIL!G151+MAYO!G151+#REF!+#REF!+#REF!+#REF!+#REF!+#REF!+#REF!)</f>
        <v>#REF!</v>
      </c>
      <c r="H151" s="14" t="e">
        <f>SUM(B151:G151)</f>
        <v>#REF!</v>
      </c>
    </row>
    <row r="152" spans="1:13" x14ac:dyDescent="0.25">
      <c r="A152" s="7" t="s">
        <v>222</v>
      </c>
      <c r="B152" s="20" t="e">
        <f>SUM(ENERO!B152+FEBRERO!B152+MARZO!B152+ABRIL!B152+MAYO!B152+#REF!+#REF!+#REF!+#REF!+#REF!+#REF!+#REF!)</f>
        <v>#REF!</v>
      </c>
      <c r="C152" s="20" t="e">
        <f>SUM(ENERO!C152+FEBRERO!C152+MARZO!C152+ABRIL!C152+MAYO!C152+#REF!+#REF!+#REF!+#REF!+#REF!+#REF!+#REF!)</f>
        <v>#REF!</v>
      </c>
      <c r="D152" s="20" t="e">
        <f>SUM(ENERO!D152+FEBRERO!D152+MARZO!D152+ABRIL!D152+MAYO!D152+#REF!+#REF!+#REF!+#REF!+#REF!+#REF!+#REF!)</f>
        <v>#REF!</v>
      </c>
      <c r="E152" s="20" t="e">
        <f>SUM(ENERO!E152+FEBRERO!E152+MARZO!E152+ABRIL!E152+MAYO!E152+#REF!+#REF!+#REF!+#REF!+#REF!+#REF!+#REF!)</f>
        <v>#REF!</v>
      </c>
      <c r="F152" s="20" t="e">
        <f>SUM(ENERO!F152+FEBRERO!F152+MARZO!F152+ABRIL!F152+MAYO!F152+#REF!+#REF!+#REF!+#REF!+#REF!+#REF!+#REF!)</f>
        <v>#REF!</v>
      </c>
      <c r="G152" s="20" t="e">
        <f>SUM(ENERO!G152+FEBRERO!G152+MARZO!G152+ABRIL!G152+MAYO!G152+#REF!+#REF!+#REF!+#REF!+#REF!+#REF!+#REF!)</f>
        <v>#REF!</v>
      </c>
      <c r="H152" s="14" t="e">
        <f>SUM(B152:G152)</f>
        <v>#REF!</v>
      </c>
    </row>
    <row r="153" spans="1:13" x14ac:dyDescent="0.25">
      <c r="A153" s="7" t="s">
        <v>105</v>
      </c>
      <c r="B153" s="20" t="e">
        <f>SUM(ENERO!B153+FEBRERO!B153+MARZO!B153+ABRIL!B153+MAYO!B153+#REF!+#REF!+#REF!+#REF!+#REF!+#REF!+#REF!)</f>
        <v>#REF!</v>
      </c>
      <c r="C153" s="20" t="e">
        <f>SUM(ENERO!C153+FEBRERO!C153+MARZO!C153+ABRIL!C153+MAYO!C153+#REF!+#REF!+#REF!+#REF!+#REF!+#REF!+#REF!)</f>
        <v>#REF!</v>
      </c>
      <c r="D153" s="20" t="e">
        <f>SUM(ENERO!D153+FEBRERO!D153+MARZO!D153+ABRIL!D153+MAYO!D153+#REF!+#REF!+#REF!+#REF!+#REF!+#REF!+#REF!)</f>
        <v>#REF!</v>
      </c>
      <c r="E153" s="20" t="e">
        <f>SUM(ENERO!E153+FEBRERO!E153+MARZO!E153+ABRIL!E153+MAYO!E153+#REF!+#REF!+#REF!+#REF!+#REF!+#REF!+#REF!)</f>
        <v>#REF!</v>
      </c>
      <c r="F153" s="20" t="e">
        <f>SUM(ENERO!F153+FEBRERO!F153+MARZO!F153+ABRIL!F153+MAYO!F153+#REF!+#REF!+#REF!+#REF!+#REF!+#REF!+#REF!)</f>
        <v>#REF!</v>
      </c>
      <c r="G153" s="20" t="e">
        <f>SUM(ENERO!G153+FEBRERO!G153+MARZO!G153+ABRIL!G153+MAYO!G153+#REF!+#REF!+#REF!+#REF!+#REF!+#REF!+#REF!)</f>
        <v>#REF!</v>
      </c>
      <c r="H153" s="27" t="e">
        <f>SUM(B153:G153)</f>
        <v>#REF!</v>
      </c>
    </row>
    <row r="154" spans="1:13" x14ac:dyDescent="0.25">
      <c r="A154" s="7" t="s">
        <v>206</v>
      </c>
      <c r="B154" s="20" t="e">
        <f>SUM(ENERO!B154+FEBRERO!B154+MARZO!B154+ABRIL!B155+MAYO!B154+#REF!+#REF!+#REF!+#REF!+#REF!+#REF!+#REF!)</f>
        <v>#REF!</v>
      </c>
      <c r="C154" s="20" t="e">
        <f>SUM(ENERO!C154+FEBRERO!C154+MARZO!C154+ABRIL!C155+MAYO!C154+#REF!+#REF!+#REF!+#REF!+#REF!+#REF!+#REF!)</f>
        <v>#REF!</v>
      </c>
      <c r="D154" s="20" t="e">
        <f>SUM(ENERO!D154+FEBRERO!D154+MARZO!D154+ABRIL!D155+MAYO!D154+#REF!+#REF!+#REF!+#REF!+#REF!+#REF!+#REF!)</f>
        <v>#REF!</v>
      </c>
      <c r="E154" s="20" t="e">
        <f>SUM(ENERO!E154+FEBRERO!E154+MARZO!E154+ABRIL!E155+MAYO!E154+#REF!+#REF!+#REF!+#REF!+#REF!+#REF!+#REF!)</f>
        <v>#REF!</v>
      </c>
      <c r="F154" s="20" t="e">
        <f>SUM(ENERO!F154+FEBRERO!F154+MARZO!F154+ABRIL!F155+MAYO!F154+#REF!+#REF!+#REF!+#REF!+#REF!+#REF!+#REF!)</f>
        <v>#REF!</v>
      </c>
      <c r="G154" s="20" t="e">
        <f>SUM(ENERO!G154+FEBRERO!G154+MARZO!G154+ABRIL!G155+MAYO!G154+#REF!+#REF!+#REF!+#REF!+#REF!+#REF!+#REF!)</f>
        <v>#REF!</v>
      </c>
      <c r="H154" s="14" t="e">
        <f t="shared" ref="H154:H155" si="16">SUM(B154:G154)</f>
        <v>#REF!</v>
      </c>
    </row>
    <row r="155" spans="1:13" x14ac:dyDescent="0.25">
      <c r="A155" s="107" t="s">
        <v>207</v>
      </c>
      <c r="B155" s="109" t="e">
        <f>SUM(ENERO!B155+FEBRERO!B155+MARZO!B155+ABRIL!B156+MAYO!B155+#REF!+#REF!+#REF!+#REF!+#REF!+#REF!+#REF!)</f>
        <v>#REF!</v>
      </c>
      <c r="C155" s="110" t="e">
        <f>SUM(ENERO!C155+FEBRERO!C155+MARZO!C155+ABRIL!C156+MAYO!C155+#REF!+#REF!+#REF!+#REF!+#REF!+#REF!+#REF!)</f>
        <v>#REF!</v>
      </c>
      <c r="D155" s="110" t="e">
        <f>SUM(ENERO!D155+FEBRERO!D155+MARZO!D155+ABRIL!D156+MAYO!D155+#REF!+#REF!+#REF!+#REF!+#REF!+#REF!+#REF!)</f>
        <v>#REF!</v>
      </c>
      <c r="E155" s="110" t="e">
        <f>SUM(ENERO!E155+FEBRERO!E155+MARZO!E155+ABRIL!E156+MAYO!E155+#REF!+#REF!+#REF!+#REF!+#REF!+#REF!+#REF!)</f>
        <v>#REF!</v>
      </c>
      <c r="F155" s="110" t="e">
        <f>SUM(ENERO!F155+FEBRERO!F155+MARZO!F155+ABRIL!F156+MAYO!F155+#REF!+#REF!+#REF!+#REF!+#REF!+#REF!+#REF!)</f>
        <v>#REF!</v>
      </c>
      <c r="G155" s="110" t="e">
        <f>SUM(ENERO!G155+FEBRERO!G155+MARZO!G155+ABRIL!G156+MAYO!G155+#REF!+#REF!+#REF!+#REF!+#REF!+#REF!+#REF!)</f>
        <v>#REF!</v>
      </c>
      <c r="H155" s="14" t="e">
        <f t="shared" si="16"/>
        <v>#REF!</v>
      </c>
    </row>
    <row r="160" spans="1:13" x14ac:dyDescent="0.25">
      <c r="J160" s="176"/>
      <c r="K160" s="176"/>
      <c r="L160" s="176"/>
      <c r="M160" s="176"/>
    </row>
    <row r="161" spans="10:17" x14ac:dyDescent="0.25">
      <c r="J161" s="176"/>
    </row>
    <row r="168" spans="10:17" x14ac:dyDescent="0.25">
      <c r="P168" s="5"/>
      <c r="Q168" s="5"/>
    </row>
    <row r="170" spans="10:17" x14ac:dyDescent="0.25">
      <c r="J170" s="5"/>
      <c r="K170" s="5"/>
      <c r="L170" s="5"/>
      <c r="M170" s="5"/>
      <c r="N170" s="1"/>
      <c r="O170" s="1"/>
    </row>
  </sheetData>
  <mergeCells count="30">
    <mergeCell ref="J52:Q52"/>
    <mergeCell ref="A3:R3"/>
    <mergeCell ref="B4:J4"/>
    <mergeCell ref="L4:R4"/>
    <mergeCell ref="A9:A10"/>
    <mergeCell ref="B9:H9"/>
    <mergeCell ref="J9:J10"/>
    <mergeCell ref="K9:Q9"/>
    <mergeCell ref="J26:J27"/>
    <mergeCell ref="K26:Q26"/>
    <mergeCell ref="J39:J40"/>
    <mergeCell ref="K39:Q39"/>
    <mergeCell ref="J50:M50"/>
    <mergeCell ref="A108:H108"/>
    <mergeCell ref="J53:P53"/>
    <mergeCell ref="J54:P54"/>
    <mergeCell ref="J55:P55"/>
    <mergeCell ref="J56:P56"/>
    <mergeCell ref="J57:P57"/>
    <mergeCell ref="J58:P58"/>
    <mergeCell ref="J59:P59"/>
    <mergeCell ref="J60:P60"/>
    <mergeCell ref="J61:P61"/>
    <mergeCell ref="J62:P62"/>
    <mergeCell ref="K86:M86"/>
    <mergeCell ref="J110:J111"/>
    <mergeCell ref="K110:K111"/>
    <mergeCell ref="A115:H115"/>
    <mergeCell ref="J160:J161"/>
    <mergeCell ref="K160:M160"/>
  </mergeCells>
  <pageMargins left="1" right="1" top="1" bottom="1" header="0.5" footer="0.5"/>
  <pageSetup paperSize="9" scale="50" fitToHeight="0" orientation="landscape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9FBAE-B981-47E8-9E9A-03F9D363C7E1}">
  <dimension ref="A2:B16"/>
  <sheetViews>
    <sheetView workbookViewId="0">
      <selection activeCell="E18" sqref="E18"/>
    </sheetView>
  </sheetViews>
  <sheetFormatPr baseColWidth="10" defaultRowHeight="15" x14ac:dyDescent="0.25"/>
  <cols>
    <col min="1" max="1" width="16.7109375" customWidth="1"/>
    <col min="2" max="2" width="11.42578125" style="91"/>
    <col min="8" max="19" width="7.28515625" customWidth="1"/>
  </cols>
  <sheetData>
    <row r="2" spans="1:2" x14ac:dyDescent="0.25">
      <c r="A2" t="s">
        <v>224</v>
      </c>
    </row>
    <row r="4" spans="1:2" x14ac:dyDescent="0.25">
      <c r="A4" s="60" t="s">
        <v>223</v>
      </c>
      <c r="B4" s="30" t="s">
        <v>11</v>
      </c>
    </row>
    <row r="5" spans="1:2" x14ac:dyDescent="0.25">
      <c r="A5" s="121" t="s">
        <v>117</v>
      </c>
      <c r="B5" s="70">
        <f>ENERO!Q63</f>
        <v>48826</v>
      </c>
    </row>
    <row r="6" spans="1:2" x14ac:dyDescent="0.25">
      <c r="A6" s="121" t="s">
        <v>172</v>
      </c>
      <c r="B6" s="70">
        <f>FEBRERO!Q63</f>
        <v>38183</v>
      </c>
    </row>
    <row r="7" spans="1:2" x14ac:dyDescent="0.25">
      <c r="A7" s="121" t="s">
        <v>173</v>
      </c>
      <c r="B7" s="70">
        <f>MARZO!Q63</f>
        <v>0</v>
      </c>
    </row>
    <row r="8" spans="1:2" x14ac:dyDescent="0.25">
      <c r="A8" s="121" t="s">
        <v>180</v>
      </c>
      <c r="B8" s="70">
        <f>ABRIL!Q63</f>
        <v>0</v>
      </c>
    </row>
    <row r="9" spans="1:2" x14ac:dyDescent="0.25">
      <c r="A9" s="121" t="s">
        <v>185</v>
      </c>
      <c r="B9" s="70">
        <f>MAYO!Q63</f>
        <v>0</v>
      </c>
    </row>
    <row r="10" spans="1:2" x14ac:dyDescent="0.25">
      <c r="A10" s="121" t="s">
        <v>190</v>
      </c>
      <c r="B10" s="70" t="e">
        <f>#REF!</f>
        <v>#REF!</v>
      </c>
    </row>
    <row r="11" spans="1:2" x14ac:dyDescent="0.25">
      <c r="A11" s="121" t="s">
        <v>191</v>
      </c>
      <c r="B11" s="70" t="e">
        <f>#REF!</f>
        <v>#REF!</v>
      </c>
    </row>
    <row r="12" spans="1:2" x14ac:dyDescent="0.25">
      <c r="A12" s="121" t="s">
        <v>193</v>
      </c>
      <c r="B12" s="70" t="e">
        <f>#REF!</f>
        <v>#REF!</v>
      </c>
    </row>
    <row r="13" spans="1:2" x14ac:dyDescent="0.25">
      <c r="A13" s="121" t="s">
        <v>195</v>
      </c>
      <c r="B13" s="70" t="e">
        <f>#REF!</f>
        <v>#REF!</v>
      </c>
    </row>
    <row r="14" spans="1:2" x14ac:dyDescent="0.25">
      <c r="A14" s="121" t="s">
        <v>196</v>
      </c>
      <c r="B14" s="70" t="e">
        <f>#REF!</f>
        <v>#REF!</v>
      </c>
    </row>
    <row r="15" spans="1:2" x14ac:dyDescent="0.25">
      <c r="A15" s="121" t="s">
        <v>201</v>
      </c>
      <c r="B15" s="70" t="e">
        <f>#REF!</f>
        <v>#REF!</v>
      </c>
    </row>
    <row r="16" spans="1:2" x14ac:dyDescent="0.25">
      <c r="A16" s="121" t="s">
        <v>205</v>
      </c>
      <c r="B16" s="70" t="e">
        <f>#REF!</f>
        <v>#REF!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FD5D-9A68-4CD5-BB38-71EDAC27B605}">
  <dimension ref="A2:M24"/>
  <sheetViews>
    <sheetView zoomScale="90" zoomScaleNormal="90" workbookViewId="0">
      <selection activeCell="P16" sqref="P16"/>
    </sheetView>
  </sheetViews>
  <sheetFormatPr baseColWidth="10" defaultRowHeight="15" x14ac:dyDescent="0.25"/>
  <cols>
    <col min="1" max="1" width="60.42578125" customWidth="1"/>
    <col min="2" max="13" width="7.28515625" customWidth="1"/>
  </cols>
  <sheetData>
    <row r="2" spans="1:13" x14ac:dyDescent="0.25">
      <c r="A2" t="s">
        <v>224</v>
      </c>
    </row>
    <row r="14" spans="1:13" ht="15.75" thickBot="1" x14ac:dyDescent="0.3"/>
    <row r="15" spans="1:13" ht="15.75" thickBot="1" x14ac:dyDescent="0.3">
      <c r="A15" s="182" t="s">
        <v>152</v>
      </c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4"/>
    </row>
    <row r="16" spans="1:13" x14ac:dyDescent="0.25">
      <c r="A16" s="125" t="s">
        <v>72</v>
      </c>
      <c r="B16" s="119" t="s">
        <v>235</v>
      </c>
      <c r="C16" s="119" t="s">
        <v>236</v>
      </c>
      <c r="D16" s="119" t="s">
        <v>225</v>
      </c>
      <c r="E16" s="119" t="s">
        <v>226</v>
      </c>
      <c r="F16" s="119" t="s">
        <v>227</v>
      </c>
      <c r="G16" s="119" t="s">
        <v>228</v>
      </c>
      <c r="H16" s="119" t="s">
        <v>229</v>
      </c>
      <c r="I16" s="119" t="s">
        <v>230</v>
      </c>
      <c r="J16" s="119" t="s">
        <v>231</v>
      </c>
      <c r="K16" s="119" t="s">
        <v>232</v>
      </c>
      <c r="L16" s="119" t="s">
        <v>233</v>
      </c>
      <c r="M16" s="120" t="s">
        <v>234</v>
      </c>
    </row>
    <row r="17" spans="1:13" x14ac:dyDescent="0.25">
      <c r="A17" s="86" t="s">
        <v>137</v>
      </c>
      <c r="B17" s="124">
        <f>ENERO!Q55</f>
        <v>27511</v>
      </c>
      <c r="C17" s="122">
        <f>FEBRERO!Q55</f>
        <v>29068</v>
      </c>
      <c r="D17" s="122">
        <f>MARZO!Q55</f>
        <v>0</v>
      </c>
      <c r="E17" s="122">
        <f>ABRIL!Q55</f>
        <v>0</v>
      </c>
      <c r="F17" s="122">
        <f>ABRIL!Q55</f>
        <v>0</v>
      </c>
      <c r="G17" s="122" t="e">
        <f>#REF!</f>
        <v>#REF!</v>
      </c>
      <c r="H17" s="122" t="e">
        <f>#REF!</f>
        <v>#REF!</v>
      </c>
      <c r="I17" s="122" t="e">
        <f>#REF!</f>
        <v>#REF!</v>
      </c>
      <c r="J17" s="122" t="e">
        <f>#REF!</f>
        <v>#REF!</v>
      </c>
      <c r="K17" s="122" t="e">
        <f>#REF!</f>
        <v>#REF!</v>
      </c>
      <c r="L17" s="122" t="e">
        <f>#REF!</f>
        <v>#REF!</v>
      </c>
      <c r="M17" s="123" t="e">
        <f>#REF!</f>
        <v>#REF!</v>
      </c>
    </row>
    <row r="18" spans="1:13" x14ac:dyDescent="0.25">
      <c r="A18" s="86" t="s">
        <v>138</v>
      </c>
      <c r="B18" s="124">
        <f>ENERO!Q56</f>
        <v>11406</v>
      </c>
      <c r="C18" s="122">
        <f>FEBRERO!Q56</f>
        <v>0</v>
      </c>
      <c r="D18" s="122">
        <f>MARZO!Q56</f>
        <v>0</v>
      </c>
      <c r="E18" s="122">
        <f>ABRIL!Q56</f>
        <v>0</v>
      </c>
      <c r="F18" s="122">
        <f>ABRIL!Q56</f>
        <v>0</v>
      </c>
      <c r="G18" s="122" t="e">
        <f>#REF!</f>
        <v>#REF!</v>
      </c>
      <c r="H18" s="122" t="e">
        <f>#REF!</f>
        <v>#REF!</v>
      </c>
      <c r="I18" s="122" t="e">
        <f>#REF!</f>
        <v>#REF!</v>
      </c>
      <c r="J18" s="122" t="e">
        <f>#REF!</f>
        <v>#REF!</v>
      </c>
      <c r="K18" s="122" t="e">
        <f>#REF!</f>
        <v>#REF!</v>
      </c>
      <c r="L18" s="122" t="e">
        <f>#REF!</f>
        <v>#REF!</v>
      </c>
      <c r="M18" s="123" t="e">
        <f>#REF!</f>
        <v>#REF!</v>
      </c>
    </row>
    <row r="19" spans="1:13" x14ac:dyDescent="0.25">
      <c r="A19" s="86" t="s">
        <v>140</v>
      </c>
      <c r="B19" s="124">
        <f>ENERO!Q57</f>
        <v>856</v>
      </c>
      <c r="C19" s="122">
        <f>FEBRERO!Q57</f>
        <v>6767</v>
      </c>
      <c r="D19" s="122">
        <f>MARZO!Q57</f>
        <v>0</v>
      </c>
      <c r="E19" s="122">
        <f>ABRIL!Q57</f>
        <v>0</v>
      </c>
      <c r="F19" s="122">
        <f>ABRIL!Q57</f>
        <v>0</v>
      </c>
      <c r="G19" s="122" t="e">
        <f>#REF!</f>
        <v>#REF!</v>
      </c>
      <c r="H19" s="122" t="e">
        <f>#REF!</f>
        <v>#REF!</v>
      </c>
      <c r="I19" s="122" t="e">
        <f>#REF!</f>
        <v>#REF!</v>
      </c>
      <c r="J19" s="122" t="e">
        <f>#REF!</f>
        <v>#REF!</v>
      </c>
      <c r="K19" s="122" t="e">
        <f>#REF!</f>
        <v>#REF!</v>
      </c>
      <c r="L19" s="122" t="e">
        <f>#REF!</f>
        <v>#REF!</v>
      </c>
      <c r="M19" s="123" t="e">
        <f>#REF!</f>
        <v>#REF!</v>
      </c>
    </row>
    <row r="20" spans="1:13" x14ac:dyDescent="0.25">
      <c r="A20" s="86" t="s">
        <v>144</v>
      </c>
      <c r="B20" s="124">
        <f>ENERO!Q58</f>
        <v>1701</v>
      </c>
      <c r="C20" s="122">
        <f>FEBRERO!Q58</f>
        <v>0</v>
      </c>
      <c r="D20" s="122">
        <f>MARZO!Q58</f>
        <v>0</v>
      </c>
      <c r="E20" s="122">
        <f>ABRIL!Q58</f>
        <v>0</v>
      </c>
      <c r="F20" s="122">
        <f>ABRIL!Q58</f>
        <v>0</v>
      </c>
      <c r="G20" s="122" t="e">
        <f>#REF!</f>
        <v>#REF!</v>
      </c>
      <c r="H20" s="122" t="e">
        <f>#REF!</f>
        <v>#REF!</v>
      </c>
      <c r="I20" s="122" t="e">
        <f>#REF!</f>
        <v>#REF!</v>
      </c>
      <c r="J20" s="122" t="e">
        <f>#REF!</f>
        <v>#REF!</v>
      </c>
      <c r="K20" s="122" t="e">
        <f>#REF!</f>
        <v>#REF!</v>
      </c>
      <c r="L20" s="122" t="e">
        <f>#REF!</f>
        <v>#REF!</v>
      </c>
      <c r="M20" s="123" t="e">
        <f>#REF!</f>
        <v>#REF!</v>
      </c>
    </row>
    <row r="21" spans="1:13" x14ac:dyDescent="0.25">
      <c r="A21" s="86" t="s">
        <v>141</v>
      </c>
      <c r="B21" s="124">
        <f>ENERO!Q59</f>
        <v>4030</v>
      </c>
      <c r="C21" s="122">
        <f>FEBRERO!Q59</f>
        <v>0</v>
      </c>
      <c r="D21" s="122">
        <f>MARZO!Q59</f>
        <v>0</v>
      </c>
      <c r="E21" s="122">
        <f>ABRIL!Q59</f>
        <v>0</v>
      </c>
      <c r="F21" s="122">
        <f>ABRIL!Q59</f>
        <v>0</v>
      </c>
      <c r="G21" s="122" t="e">
        <f>#REF!</f>
        <v>#REF!</v>
      </c>
      <c r="H21" s="122" t="e">
        <f>#REF!</f>
        <v>#REF!</v>
      </c>
      <c r="I21" s="122" t="e">
        <f>#REF!</f>
        <v>#REF!</v>
      </c>
      <c r="J21" s="122" t="e">
        <f>#REF!</f>
        <v>#REF!</v>
      </c>
      <c r="K21" s="122" t="e">
        <f>#REF!</f>
        <v>#REF!</v>
      </c>
      <c r="L21" s="122" t="e">
        <f>#REF!</f>
        <v>#REF!</v>
      </c>
      <c r="M21" s="123" t="e">
        <f>#REF!</f>
        <v>#REF!</v>
      </c>
    </row>
    <row r="22" spans="1:13" x14ac:dyDescent="0.25">
      <c r="A22" s="86" t="s">
        <v>143</v>
      </c>
      <c r="B22" s="124">
        <f>ENERO!Q60</f>
        <v>1972</v>
      </c>
      <c r="C22" s="122">
        <f>FEBRERO!Q60</f>
        <v>1925</v>
      </c>
      <c r="D22" s="122">
        <f>MARZO!Q60</f>
        <v>0</v>
      </c>
      <c r="E22" s="122">
        <f>ABRIL!Q60</f>
        <v>0</v>
      </c>
      <c r="F22" s="122">
        <f>ABRIL!Q60</f>
        <v>0</v>
      </c>
      <c r="G22" s="122" t="e">
        <f>#REF!</f>
        <v>#REF!</v>
      </c>
      <c r="H22" s="122" t="e">
        <f>#REF!</f>
        <v>#REF!</v>
      </c>
      <c r="I22" s="122" t="e">
        <f>#REF!</f>
        <v>#REF!</v>
      </c>
      <c r="J22" s="122" t="e">
        <f>#REF!</f>
        <v>#REF!</v>
      </c>
      <c r="K22" s="122" t="e">
        <f>#REF!</f>
        <v>#REF!</v>
      </c>
      <c r="L22" s="122" t="e">
        <f>#REF!</f>
        <v>#REF!</v>
      </c>
      <c r="M22" s="123" t="e">
        <f>#REF!</f>
        <v>#REF!</v>
      </c>
    </row>
    <row r="23" spans="1:13" x14ac:dyDescent="0.25">
      <c r="A23" s="86" t="s">
        <v>145</v>
      </c>
      <c r="B23" s="124">
        <f>ENERO!Q61</f>
        <v>405</v>
      </c>
      <c r="C23" s="122">
        <f>FEBRERO!Q61</f>
        <v>419</v>
      </c>
      <c r="D23" s="122">
        <f>MARZO!Q61</f>
        <v>0</v>
      </c>
      <c r="E23" s="122">
        <f>ABRIL!Q61</f>
        <v>0</v>
      </c>
      <c r="F23" s="122">
        <f>ABRIL!Q61</f>
        <v>0</v>
      </c>
      <c r="G23" s="122" t="e">
        <f>#REF!</f>
        <v>#REF!</v>
      </c>
      <c r="H23" s="122" t="e">
        <f>#REF!</f>
        <v>#REF!</v>
      </c>
      <c r="I23" s="122" t="e">
        <f>#REF!</f>
        <v>#REF!</v>
      </c>
      <c r="J23" s="122" t="e">
        <f>#REF!</f>
        <v>#REF!</v>
      </c>
      <c r="K23" s="122" t="e">
        <f>#REF!</f>
        <v>#REF!</v>
      </c>
      <c r="L23" s="122" t="e">
        <f>#REF!</f>
        <v>#REF!</v>
      </c>
      <c r="M23" s="123" t="e">
        <f>#REF!</f>
        <v>#REF!</v>
      </c>
    </row>
    <row r="24" spans="1:13" ht="15.75" thickBot="1" x14ac:dyDescent="0.3">
      <c r="A24" s="87" t="s">
        <v>151</v>
      </c>
      <c r="B24" s="124">
        <f>ENERO!Q62</f>
        <v>942</v>
      </c>
      <c r="C24" s="122">
        <f>FEBRERO!Q62</f>
        <v>0</v>
      </c>
      <c r="D24" s="122">
        <f>MARZO!Q62</f>
        <v>0</v>
      </c>
      <c r="E24" s="122">
        <f>ABRIL!Q62</f>
        <v>0</v>
      </c>
      <c r="F24" s="122">
        <f>ABRIL!Q62</f>
        <v>0</v>
      </c>
      <c r="G24" s="122" t="e">
        <f>#REF!</f>
        <v>#REF!</v>
      </c>
      <c r="H24" s="122" t="e">
        <f>#REF!</f>
        <v>#REF!</v>
      </c>
      <c r="I24" s="122" t="e">
        <f>#REF!</f>
        <v>#REF!</v>
      </c>
      <c r="J24" s="122" t="e">
        <f>#REF!</f>
        <v>#REF!</v>
      </c>
      <c r="K24" s="122" t="e">
        <f>#REF!</f>
        <v>#REF!</v>
      </c>
      <c r="L24" s="122" t="e">
        <f>#REF!</f>
        <v>#REF!</v>
      </c>
      <c r="M24" s="123" t="e">
        <f>#REF!</f>
        <v>#REF!</v>
      </c>
    </row>
  </sheetData>
  <mergeCells count="1">
    <mergeCell ref="A15:M15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7D38-38BA-4373-92E2-49323378FEBD}">
  <sheetPr>
    <pageSetUpPr fitToPage="1"/>
  </sheetPr>
  <dimension ref="A3:AC170"/>
  <sheetViews>
    <sheetView topLeftCell="A16" zoomScale="80" zoomScaleNormal="80" workbookViewId="0">
      <selection activeCell="V12" sqref="V12"/>
    </sheetView>
  </sheetViews>
  <sheetFormatPr baseColWidth="10" defaultRowHeight="15" x14ac:dyDescent="0.25"/>
  <cols>
    <col min="1" max="1" width="49.85546875" customWidth="1"/>
    <col min="2" max="6" width="9.85546875" customWidth="1"/>
    <col min="7" max="7" width="13.5703125" customWidth="1"/>
    <col min="8" max="9" width="9.28515625" customWidth="1"/>
    <col min="10" max="10" width="9.42578125" customWidth="1"/>
    <col min="11" max="11" width="43.7109375" customWidth="1"/>
    <col min="12" max="16" width="9.28515625" customWidth="1"/>
    <col min="17" max="17" width="10.42578125" customWidth="1"/>
    <col min="18" max="19" width="10" customWidth="1"/>
    <col min="20" max="20" width="2.85546875" customWidth="1"/>
    <col min="28" max="28" width="13.7109375" customWidth="1"/>
  </cols>
  <sheetData>
    <row r="3" spans="1:29" ht="26.25" x14ac:dyDescent="0.25">
      <c r="A3" s="161"/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"/>
    </row>
    <row r="4" spans="1:29" ht="15.75" x14ac:dyDescent="0.25">
      <c r="A4" s="1" t="s">
        <v>12</v>
      </c>
      <c r="B4" s="170" t="s">
        <v>16</v>
      </c>
      <c r="C4" s="171"/>
      <c r="D4" s="171"/>
      <c r="E4" s="171"/>
      <c r="F4" s="171"/>
      <c r="G4" s="171"/>
      <c r="H4" s="171"/>
      <c r="I4" s="171"/>
      <c r="J4" s="171"/>
      <c r="K4" s="172"/>
      <c r="L4" s="9" t="s">
        <v>14</v>
      </c>
      <c r="M4" s="162" t="s">
        <v>208</v>
      </c>
      <c r="N4" s="163"/>
      <c r="O4" s="163"/>
      <c r="P4" s="163"/>
      <c r="Q4" s="163"/>
      <c r="R4" s="163"/>
      <c r="S4" s="163"/>
      <c r="T4" s="164"/>
      <c r="U4" s="1"/>
    </row>
    <row r="5" spans="1:29" x14ac:dyDescent="0.25">
      <c r="A5" s="1"/>
      <c r="B5" s="1"/>
      <c r="C5" s="1"/>
      <c r="D5" s="10"/>
      <c r="E5" s="1"/>
      <c r="F5" s="1"/>
      <c r="G5" s="1"/>
      <c r="H5" s="1"/>
      <c r="I5" s="1"/>
      <c r="J5" s="1"/>
      <c r="K5" s="1"/>
      <c r="L5" s="9"/>
      <c r="M5" s="10"/>
      <c r="N5" s="10"/>
      <c r="O5" s="10"/>
      <c r="P5" s="10"/>
      <c r="Q5" s="10"/>
      <c r="R5" s="10"/>
      <c r="S5" s="10"/>
      <c r="T5" s="10"/>
      <c r="U5" s="1"/>
    </row>
    <row r="6" spans="1:29" x14ac:dyDescent="0.25">
      <c r="A6" s="1" t="s">
        <v>204</v>
      </c>
      <c r="B6" s="30">
        <v>3</v>
      </c>
      <c r="C6" s="1"/>
      <c r="D6" s="10"/>
      <c r="E6" s="1"/>
      <c r="F6" s="1"/>
      <c r="G6" s="1"/>
      <c r="H6" s="1"/>
      <c r="I6" s="1"/>
      <c r="J6" s="1"/>
      <c r="K6" s="1"/>
      <c r="L6" s="9" t="s">
        <v>13</v>
      </c>
      <c r="M6" s="30">
        <v>2025</v>
      </c>
      <c r="N6" s="1"/>
      <c r="O6" s="1"/>
      <c r="P6" s="1"/>
      <c r="Q6" s="1"/>
      <c r="R6" s="1"/>
      <c r="S6" s="1"/>
      <c r="T6" s="1"/>
      <c r="U6" s="1"/>
    </row>
    <row r="7" spans="1:29" x14ac:dyDescent="0.25">
      <c r="A7" s="1"/>
      <c r="B7" s="1"/>
      <c r="C7" s="1"/>
      <c r="D7" s="10"/>
      <c r="E7" s="1"/>
      <c r="F7" s="1"/>
      <c r="G7" s="1"/>
      <c r="H7" s="1"/>
      <c r="I7" s="1"/>
      <c r="J7" s="1"/>
      <c r="K7" s="1"/>
      <c r="L7" s="1"/>
      <c r="M7" s="44"/>
      <c r="N7" s="1"/>
      <c r="O7" s="1"/>
      <c r="P7" s="1"/>
      <c r="Q7" s="1"/>
      <c r="R7" s="1"/>
      <c r="S7" s="1"/>
      <c r="T7" s="1"/>
      <c r="U7" s="1"/>
    </row>
    <row r="8" spans="1:29" ht="15.75" thickBot="1" x14ac:dyDescent="0.3">
      <c r="A8" s="2"/>
      <c r="B8" s="2"/>
      <c r="C8" s="2"/>
      <c r="D8" s="2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3"/>
      <c r="U8" s="1"/>
    </row>
    <row r="9" spans="1:29" x14ac:dyDescent="0.25">
      <c r="A9" s="165" t="s">
        <v>148</v>
      </c>
      <c r="B9" s="167" t="s">
        <v>11</v>
      </c>
      <c r="C9" s="167"/>
      <c r="D9" s="167"/>
      <c r="E9" s="167"/>
      <c r="F9" s="167"/>
      <c r="G9" s="167"/>
      <c r="H9" s="167"/>
      <c r="I9" s="126"/>
      <c r="J9" s="1"/>
      <c r="K9" s="168" t="s">
        <v>149</v>
      </c>
      <c r="L9" s="153" t="s">
        <v>11</v>
      </c>
      <c r="M9" s="153"/>
      <c r="N9" s="153"/>
      <c r="O9" s="153"/>
      <c r="P9" s="153"/>
      <c r="Q9" s="153"/>
      <c r="R9" s="154"/>
      <c r="S9" s="126"/>
      <c r="T9" s="4"/>
      <c r="U9" s="1"/>
    </row>
    <row r="10" spans="1:29" x14ac:dyDescent="0.25">
      <c r="A10" s="166"/>
      <c r="B10" s="30" t="s">
        <v>8</v>
      </c>
      <c r="C10" s="30" t="s">
        <v>9</v>
      </c>
      <c r="D10" s="30" t="s">
        <v>10</v>
      </c>
      <c r="E10" s="30" t="s">
        <v>154</v>
      </c>
      <c r="F10" s="30" t="s">
        <v>155</v>
      </c>
      <c r="G10" s="30" t="s">
        <v>147</v>
      </c>
      <c r="H10" s="30" t="s">
        <v>11</v>
      </c>
      <c r="I10" s="126"/>
      <c r="J10" s="1"/>
      <c r="K10" s="169"/>
      <c r="L10" s="30" t="s">
        <v>8</v>
      </c>
      <c r="M10" s="30" t="s">
        <v>9</v>
      </c>
      <c r="N10" s="30" t="s">
        <v>10</v>
      </c>
      <c r="O10" s="30" t="s">
        <v>154</v>
      </c>
      <c r="P10" s="30" t="s">
        <v>155</v>
      </c>
      <c r="Q10" s="30" t="s">
        <v>147</v>
      </c>
      <c r="R10" s="54" t="s">
        <v>11</v>
      </c>
      <c r="S10" s="126"/>
      <c r="T10" s="4"/>
      <c r="U10" s="1"/>
      <c r="V10" s="30" t="s">
        <v>8</v>
      </c>
      <c r="W10" s="30" t="s">
        <v>9</v>
      </c>
      <c r="X10" s="30" t="s">
        <v>10</v>
      </c>
      <c r="Y10" s="30" t="s">
        <v>154</v>
      </c>
      <c r="Z10" s="30" t="s">
        <v>155</v>
      </c>
      <c r="AA10" s="30" t="s">
        <v>147</v>
      </c>
      <c r="AB10" s="127" t="s">
        <v>241</v>
      </c>
      <c r="AC10" s="127"/>
    </row>
    <row r="11" spans="1:29" x14ac:dyDescent="0.25">
      <c r="A11" s="15" t="s">
        <v>0</v>
      </c>
      <c r="B11" s="16" t="e">
        <f t="shared" ref="B11:G11" si="0">B12+B51+B69+B82+B95+L11+L28+L41</f>
        <v>#REF!</v>
      </c>
      <c r="C11" s="16" t="e">
        <f t="shared" si="0"/>
        <v>#REF!</v>
      </c>
      <c r="D11" s="16" t="e">
        <f t="shared" si="0"/>
        <v>#REF!</v>
      </c>
      <c r="E11" s="16" t="e">
        <f t="shared" si="0"/>
        <v>#REF!</v>
      </c>
      <c r="F11" s="16" t="e">
        <f t="shared" si="0"/>
        <v>#REF!</v>
      </c>
      <c r="G11" s="16" t="e">
        <f t="shared" si="0"/>
        <v>#REF!</v>
      </c>
      <c r="H11" s="14" t="e">
        <f>SUM(B11:G11)</f>
        <v>#REF!</v>
      </c>
      <c r="I11" s="128"/>
      <c r="J11" s="1"/>
      <c r="K11" s="79" t="s">
        <v>85</v>
      </c>
      <c r="L11" s="74" t="e">
        <f t="shared" ref="L11:Q11" si="1">SUM(L12:L23)</f>
        <v>#REF!</v>
      </c>
      <c r="M11" s="74" t="e">
        <f t="shared" si="1"/>
        <v>#REF!</v>
      </c>
      <c r="N11" s="74" t="e">
        <f t="shared" si="1"/>
        <v>#REF!</v>
      </c>
      <c r="O11" s="74" t="e">
        <f t="shared" si="1"/>
        <v>#REF!</v>
      </c>
      <c r="P11" s="74" t="e">
        <f t="shared" si="1"/>
        <v>#REF!</v>
      </c>
      <c r="Q11" s="74" t="e">
        <f t="shared" si="1"/>
        <v>#REF!</v>
      </c>
      <c r="R11" s="80" t="e">
        <f t="shared" ref="R11:R23" si="2">SUM(L11:Q11)</f>
        <v>#REF!</v>
      </c>
      <c r="S11" s="129" t="e">
        <f>R11*10</f>
        <v>#REF!</v>
      </c>
      <c r="T11" s="4"/>
      <c r="U11" s="1"/>
      <c r="V11" t="e">
        <f>B13*I13</f>
        <v>#REF!</v>
      </c>
      <c r="W11" t="e">
        <f>C13*I13</f>
        <v>#REF!</v>
      </c>
      <c r="X11" t="e">
        <f>D13*I13</f>
        <v>#REF!</v>
      </c>
      <c r="Y11" t="e">
        <f>E13*I13</f>
        <v>#REF!</v>
      </c>
      <c r="Z11" t="e">
        <f>F13*I13</f>
        <v>#REF!</v>
      </c>
      <c r="AA11" t="e">
        <f>G13*I13</f>
        <v>#REF!</v>
      </c>
      <c r="AB11" t="e">
        <f>V11+X11+Y11+Z11+AA11</f>
        <v>#REF!</v>
      </c>
    </row>
    <row r="12" spans="1:29" x14ac:dyDescent="0.25">
      <c r="A12" s="73" t="s">
        <v>1</v>
      </c>
      <c r="B12" s="74" t="e">
        <f>SUM(B13:B50)</f>
        <v>#REF!</v>
      </c>
      <c r="C12" s="74" t="e">
        <f t="shared" ref="C12:G12" si="3">SUM(C13:C50)</f>
        <v>#REF!</v>
      </c>
      <c r="D12" s="74" t="e">
        <f t="shared" si="3"/>
        <v>#REF!</v>
      </c>
      <c r="E12" s="74" t="e">
        <f t="shared" si="3"/>
        <v>#REF!</v>
      </c>
      <c r="F12" s="74" t="e">
        <f t="shared" si="3"/>
        <v>#REF!</v>
      </c>
      <c r="G12" s="74" t="e">
        <f t="shared" si="3"/>
        <v>#REF!</v>
      </c>
      <c r="H12" s="74" t="e">
        <f>SUM(B12:G12)</f>
        <v>#REF!</v>
      </c>
      <c r="I12" s="129" t="s">
        <v>240</v>
      </c>
      <c r="J12" s="1"/>
      <c r="K12" s="55" t="s">
        <v>4</v>
      </c>
      <c r="L12" s="68" t="e">
        <f>SUM(ENERO!K12+FEBRERO!K12+MARZO!K12+ABRIL!K12+MAYO!K12+#REF!+#REF!+#REF!+#REF!+#REF!+#REF!+#REF!)</f>
        <v>#REF!</v>
      </c>
      <c r="M12" s="68" t="e">
        <f>SUM(ENERO!L12+FEBRERO!L12+MARZO!L12+ABRIL!L12+MAYO!L12+#REF!+#REF!+#REF!+#REF!+#REF!+#REF!+#REF!)</f>
        <v>#REF!</v>
      </c>
      <c r="N12" s="68" t="e">
        <f>SUM(ENERO!M12+FEBRERO!M12+MARZO!M12+ABRIL!M12+MAYO!M12+#REF!+#REF!+#REF!+#REF!+#REF!+#REF!+#REF!)</f>
        <v>#REF!</v>
      </c>
      <c r="O12" s="68" t="e">
        <f>SUM(ENERO!N12+FEBRERO!N12+MARZO!N12+ABRIL!N12+MAYO!N12+#REF!+#REF!+#REF!+#REF!+#REF!+#REF!+#REF!)</f>
        <v>#REF!</v>
      </c>
      <c r="P12" s="68" t="e">
        <f>SUM(ENERO!O12+FEBRERO!O12+MARZO!O12+ABRIL!O12+MAYO!O12+#REF!+#REF!+#REF!+#REF!+#REF!+#REF!+#REF!)</f>
        <v>#REF!</v>
      </c>
      <c r="Q12" s="68" t="e">
        <f>SUM(ENERO!P12+FEBRERO!P12+MARZO!P12+ABRIL!P12+MAYO!P12+#REF!+#REF!+#REF!+#REF!+#REF!+#REF!+#REF!)</f>
        <v>#REF!</v>
      </c>
      <c r="R12" s="40" t="e">
        <f t="shared" si="2"/>
        <v>#REF!</v>
      </c>
      <c r="S12" s="130"/>
      <c r="T12" s="4"/>
      <c r="U12" s="1"/>
      <c r="V12" t="e">
        <f t="shared" ref="V12:V50" si="4">B14*I14</f>
        <v>#REF!</v>
      </c>
      <c r="W12" t="e">
        <f t="shared" ref="W12:W50" si="5">C14*I14</f>
        <v>#REF!</v>
      </c>
      <c r="X12" t="e">
        <f t="shared" ref="X12:X50" si="6">D14*I14</f>
        <v>#REF!</v>
      </c>
      <c r="Y12" t="e">
        <f t="shared" ref="Y12:Y50" si="7">E14*I14</f>
        <v>#REF!</v>
      </c>
      <c r="Z12" t="e">
        <f t="shared" ref="Z12:Z50" si="8">F14*I14</f>
        <v>#REF!</v>
      </c>
      <c r="AA12" t="e">
        <f t="shared" ref="AA12:AA50" si="9">G14*I14</f>
        <v>#REF!</v>
      </c>
      <c r="AB12" t="e">
        <f t="shared" ref="AB12:AB50" si="10">V12+X12+Y12+Z12+AA12</f>
        <v>#REF!</v>
      </c>
    </row>
    <row r="13" spans="1:29" x14ac:dyDescent="0.25">
      <c r="A13" s="8" t="s">
        <v>17</v>
      </c>
      <c r="B13" s="17" t="e">
        <f>SUM(ENERO!B13+FEBRERO!B13+MARZO!B13+ABRIL!B13+MAYO!B13+#REF!+#REF!+#REF!+#REF!+#REF!+#REF!+#REF!)</f>
        <v>#REF!</v>
      </c>
      <c r="C13" s="17" t="e">
        <f>SUM(ENERO!C13+FEBRERO!C13+MARZO!C13+ABRIL!C13+MAYO!C13+#REF!+#REF!+#REF!+#REF!+#REF!+#REF!+#REF!)</f>
        <v>#REF!</v>
      </c>
      <c r="D13" s="17" t="e">
        <f>SUM(ENERO!D13+FEBRERO!D13+MARZO!D13+ABRIL!D13+MAYO!D13+#REF!+#REF!+#REF!+#REF!+#REF!+#REF!+#REF!)</f>
        <v>#REF!</v>
      </c>
      <c r="E13" s="17" t="e">
        <f>SUM(ENERO!E13+FEBRERO!E13+MARZO!E13+ABRIL!E13+MAYO!E13+#REF!+#REF!+#REF!+#REF!+#REF!+#REF!+#REF!)</f>
        <v>#REF!</v>
      </c>
      <c r="F13" s="17" t="e">
        <f>SUM(ENERO!F13+FEBRERO!F13+MARZO!F13+ABRIL!F13+MAYO!F13+#REF!+#REF!+#REF!+#REF!+#REF!+#REF!+#REF!)</f>
        <v>#REF!</v>
      </c>
      <c r="G13" s="17" t="e">
        <f>SUM(ENERO!G13+FEBRERO!G13+MARZO!G13+ABRIL!G13+MAYO!G13+#REF!+#REF!+#REF!+#REF!+#REF!+#REF!+#REF!)</f>
        <v>#REF!</v>
      </c>
      <c r="H13" s="12" t="e">
        <f>SUM(B13:G13)</f>
        <v>#REF!</v>
      </c>
      <c r="I13" s="130">
        <v>3.28</v>
      </c>
      <c r="J13" s="1"/>
      <c r="K13" s="55" t="s">
        <v>81</v>
      </c>
      <c r="L13" s="68" t="e">
        <f>SUM(ENERO!K13+FEBRERO!K13+MARZO!K13+ABRIL!K13+MAYO!K13+#REF!+#REF!+#REF!+#REF!+#REF!+#REF!+#REF!)</f>
        <v>#REF!</v>
      </c>
      <c r="M13" s="68" t="e">
        <f>SUM(ENERO!L13+FEBRERO!L13+MARZO!L13+ABRIL!L13+MAYO!L13+#REF!+#REF!+#REF!+#REF!+#REF!+#REF!+#REF!)</f>
        <v>#REF!</v>
      </c>
      <c r="N13" s="68" t="e">
        <f>SUM(ENERO!M13+FEBRERO!M13+MARZO!M13+ABRIL!M13+MAYO!M13+#REF!+#REF!+#REF!+#REF!+#REF!+#REF!+#REF!)</f>
        <v>#REF!</v>
      </c>
      <c r="O13" s="68" t="e">
        <f>SUM(ENERO!N13+FEBRERO!N13+MARZO!N13+ABRIL!N13+MAYO!N13+#REF!+#REF!+#REF!+#REF!+#REF!+#REF!+#REF!)</f>
        <v>#REF!</v>
      </c>
      <c r="P13" s="68" t="e">
        <f>SUM(ENERO!O13+FEBRERO!O13+MARZO!O13+ABRIL!O13+MAYO!O13+#REF!+#REF!+#REF!+#REF!+#REF!+#REF!+#REF!)</f>
        <v>#REF!</v>
      </c>
      <c r="Q13" s="68" t="e">
        <f>SUM(ENERO!P13+FEBRERO!P13+MARZO!P13+ABRIL!P13+MAYO!P13+#REF!+#REF!+#REF!+#REF!+#REF!+#REF!+#REF!)</f>
        <v>#REF!</v>
      </c>
      <c r="R13" s="40" t="e">
        <f t="shared" si="2"/>
        <v>#REF!</v>
      </c>
      <c r="S13" s="130"/>
      <c r="T13" s="4"/>
      <c r="U13" s="1"/>
      <c r="V13" t="e">
        <f t="shared" si="4"/>
        <v>#REF!</v>
      </c>
      <c r="W13" t="e">
        <f t="shared" si="5"/>
        <v>#REF!</v>
      </c>
      <c r="X13" t="e">
        <f t="shared" si="6"/>
        <v>#REF!</v>
      </c>
      <c r="Y13" t="e">
        <f t="shared" si="7"/>
        <v>#REF!</v>
      </c>
      <c r="Z13" t="e">
        <f t="shared" si="8"/>
        <v>#REF!</v>
      </c>
      <c r="AA13" t="e">
        <f t="shared" si="9"/>
        <v>#REF!</v>
      </c>
      <c r="AB13" t="e">
        <f t="shared" si="10"/>
        <v>#REF!</v>
      </c>
    </row>
    <row r="14" spans="1:29" x14ac:dyDescent="0.25">
      <c r="A14" s="7" t="s">
        <v>18</v>
      </c>
      <c r="B14" s="17" t="e">
        <f>SUM(ENERO!B14+FEBRERO!B14+MARZO!B14+ABRIL!B14+MAYO!B14+#REF!+#REF!+#REF!+#REF!+#REF!+#REF!+#REF!)</f>
        <v>#REF!</v>
      </c>
      <c r="C14" s="17" t="e">
        <f>SUM(ENERO!C14+FEBRERO!C14+MARZO!C14+ABRIL!C14+MAYO!C14+#REF!+#REF!+#REF!+#REF!+#REF!+#REF!+#REF!)</f>
        <v>#REF!</v>
      </c>
      <c r="D14" s="17" t="e">
        <f>SUM(ENERO!D14+FEBRERO!D14+MARZO!D14+ABRIL!D14+MAYO!D14+#REF!+#REF!+#REF!+#REF!+#REF!+#REF!+#REF!)</f>
        <v>#REF!</v>
      </c>
      <c r="E14" s="17" t="e">
        <f>SUM(ENERO!E14+FEBRERO!E14+MARZO!E14+ABRIL!E14+MAYO!E14+#REF!+#REF!+#REF!+#REF!+#REF!+#REF!+#REF!)</f>
        <v>#REF!</v>
      </c>
      <c r="F14" s="17" t="e">
        <f>SUM(ENERO!F14+FEBRERO!F14+MARZO!F14+ABRIL!F14+MAYO!F14+#REF!+#REF!+#REF!+#REF!+#REF!+#REF!+#REF!)</f>
        <v>#REF!</v>
      </c>
      <c r="G14" s="17" t="e">
        <f>SUM(ENERO!G14+FEBRERO!G14+MARZO!G14+ABRIL!G14+MAYO!G14+#REF!+#REF!+#REF!+#REF!+#REF!+#REF!+#REF!)</f>
        <v>#REF!</v>
      </c>
      <c r="H14" s="12" t="e">
        <f t="shared" ref="H14:H48" si="11">SUM(B14:G14)</f>
        <v>#REF!</v>
      </c>
      <c r="I14" s="130">
        <v>3.21</v>
      </c>
      <c r="J14" s="1"/>
      <c r="K14" s="56" t="s">
        <v>5</v>
      </c>
      <c r="L14" s="68" t="e">
        <f>SUM(ENERO!K14+FEBRERO!K14+MARZO!K14+ABRIL!K14+MAYO!K14+#REF!+#REF!+#REF!+#REF!+#REF!+#REF!+#REF!)</f>
        <v>#REF!</v>
      </c>
      <c r="M14" s="68" t="e">
        <f>SUM(ENERO!L14+FEBRERO!L14+MARZO!L14+ABRIL!L14+MAYO!L14+#REF!+#REF!+#REF!+#REF!+#REF!+#REF!+#REF!)</f>
        <v>#REF!</v>
      </c>
      <c r="N14" s="68" t="e">
        <f>SUM(ENERO!M14+FEBRERO!M14+MARZO!M14+ABRIL!M14+MAYO!M14+#REF!+#REF!+#REF!+#REF!+#REF!+#REF!+#REF!)</f>
        <v>#REF!</v>
      </c>
      <c r="O14" s="68" t="e">
        <f>SUM(ENERO!N14+FEBRERO!N14+MARZO!N14+ABRIL!N14+MAYO!N14+#REF!+#REF!+#REF!+#REF!+#REF!+#REF!+#REF!)</f>
        <v>#REF!</v>
      </c>
      <c r="P14" s="68" t="e">
        <f>SUM(ENERO!O14+FEBRERO!O14+MARZO!O14+ABRIL!O14+MAYO!O14+#REF!+#REF!+#REF!+#REF!+#REF!+#REF!+#REF!)</f>
        <v>#REF!</v>
      </c>
      <c r="Q14" s="68" t="e">
        <f>SUM(ENERO!P14+FEBRERO!P14+MARZO!P14+ABRIL!P14+MAYO!P14+#REF!+#REF!+#REF!+#REF!+#REF!+#REF!+#REF!)</f>
        <v>#REF!</v>
      </c>
      <c r="R14" s="40" t="e">
        <f>SUM(L14:Q14)</f>
        <v>#REF!</v>
      </c>
      <c r="S14" s="130"/>
      <c r="T14" s="4"/>
      <c r="U14" s="1"/>
      <c r="V14" t="e">
        <f t="shared" si="4"/>
        <v>#REF!</v>
      </c>
      <c r="W14" t="e">
        <f t="shared" si="5"/>
        <v>#REF!</v>
      </c>
      <c r="X14" t="e">
        <f t="shared" si="6"/>
        <v>#REF!</v>
      </c>
      <c r="Y14" t="e">
        <f t="shared" si="7"/>
        <v>#REF!</v>
      </c>
      <c r="Z14" t="e">
        <f t="shared" si="8"/>
        <v>#REF!</v>
      </c>
      <c r="AA14" t="e">
        <f t="shared" si="9"/>
        <v>#REF!</v>
      </c>
      <c r="AB14" t="e">
        <f t="shared" si="10"/>
        <v>#REF!</v>
      </c>
    </row>
    <row r="15" spans="1:29" x14ac:dyDescent="0.25">
      <c r="A15" s="7" t="s">
        <v>19</v>
      </c>
      <c r="B15" s="17" t="e">
        <f>SUM(ENERO!B15+FEBRERO!B15+MARZO!B15+ABRIL!B15+MAYO!B15+#REF!+#REF!+#REF!+#REF!+#REF!+#REF!+#REF!)</f>
        <v>#REF!</v>
      </c>
      <c r="C15" s="17" t="e">
        <f>SUM(ENERO!C15+FEBRERO!C15+MARZO!C15+ABRIL!C15+MAYO!C15+#REF!+#REF!+#REF!+#REF!+#REF!+#REF!+#REF!)</f>
        <v>#REF!</v>
      </c>
      <c r="D15" s="17" t="e">
        <f>SUM(ENERO!D15+FEBRERO!D15+MARZO!D15+ABRIL!D15+MAYO!D15+#REF!+#REF!+#REF!+#REF!+#REF!+#REF!+#REF!)</f>
        <v>#REF!</v>
      </c>
      <c r="E15" s="17" t="e">
        <f>SUM(ENERO!E15+FEBRERO!E15+MARZO!E15+ABRIL!E15+MAYO!E15+#REF!+#REF!+#REF!+#REF!+#REF!+#REF!+#REF!)</f>
        <v>#REF!</v>
      </c>
      <c r="F15" s="17" t="e">
        <f>SUM(ENERO!F15+FEBRERO!F15+MARZO!F15+ABRIL!F15+MAYO!F15+#REF!+#REF!+#REF!+#REF!+#REF!+#REF!+#REF!)</f>
        <v>#REF!</v>
      </c>
      <c r="G15" s="17" t="e">
        <f>SUM(ENERO!G15+FEBRERO!G15+MARZO!G15+ABRIL!G15+MAYO!G15+#REF!+#REF!+#REF!+#REF!+#REF!+#REF!+#REF!)</f>
        <v>#REF!</v>
      </c>
      <c r="H15" s="12" t="e">
        <f>SUM(B15:G15)</f>
        <v>#REF!</v>
      </c>
      <c r="I15" s="130">
        <v>4.88</v>
      </c>
      <c r="J15" s="1"/>
      <c r="K15" s="56" t="s">
        <v>80</v>
      </c>
      <c r="L15" s="68" t="e">
        <f>SUM(ENERO!K15+FEBRERO!K15+MARZO!K15+ABRIL!K15+MAYO!K15+#REF!+#REF!+#REF!+#REF!+#REF!+#REF!+#REF!)</f>
        <v>#REF!</v>
      </c>
      <c r="M15" s="68" t="e">
        <f>SUM(ENERO!L15+FEBRERO!L15+MARZO!L15+ABRIL!L15+MAYO!L15+#REF!+#REF!+#REF!+#REF!+#REF!+#REF!+#REF!)</f>
        <v>#REF!</v>
      </c>
      <c r="N15" s="68" t="e">
        <f>SUM(ENERO!M15+FEBRERO!M15+MARZO!M15+ABRIL!M15+MAYO!M15+#REF!+#REF!+#REF!+#REF!+#REF!+#REF!+#REF!)</f>
        <v>#REF!</v>
      </c>
      <c r="O15" s="68" t="e">
        <f>SUM(ENERO!N15+FEBRERO!N15+MARZO!N15+ABRIL!N15+MAYO!N15+#REF!+#REF!+#REF!+#REF!+#REF!+#REF!+#REF!)</f>
        <v>#REF!</v>
      </c>
      <c r="P15" s="68" t="e">
        <f>SUM(ENERO!O15+FEBRERO!O15+MARZO!O15+ABRIL!O15+MAYO!O15+#REF!+#REF!+#REF!+#REF!+#REF!+#REF!+#REF!)</f>
        <v>#REF!</v>
      </c>
      <c r="Q15" s="68" t="e">
        <f>SUM(ENERO!P15+FEBRERO!P15+MARZO!P15+ABRIL!P15+MAYO!P15+#REF!+#REF!+#REF!+#REF!+#REF!+#REF!+#REF!)</f>
        <v>#REF!</v>
      </c>
      <c r="R15" s="40" t="e">
        <f t="shared" si="2"/>
        <v>#REF!</v>
      </c>
      <c r="S15" s="130"/>
      <c r="T15" s="4"/>
      <c r="U15" s="1"/>
      <c r="V15" t="e">
        <f t="shared" si="4"/>
        <v>#REF!</v>
      </c>
      <c r="W15" t="e">
        <f t="shared" si="5"/>
        <v>#REF!</v>
      </c>
      <c r="X15" t="e">
        <f t="shared" si="6"/>
        <v>#REF!</v>
      </c>
      <c r="Y15" t="e">
        <f t="shared" si="7"/>
        <v>#REF!</v>
      </c>
      <c r="Z15" t="e">
        <f t="shared" si="8"/>
        <v>#REF!</v>
      </c>
      <c r="AA15" t="e">
        <f t="shared" si="9"/>
        <v>#REF!</v>
      </c>
      <c r="AB15" t="e">
        <f t="shared" si="10"/>
        <v>#REF!</v>
      </c>
    </row>
    <row r="16" spans="1:29" x14ac:dyDescent="0.25">
      <c r="A16" s="7" t="s">
        <v>27</v>
      </c>
      <c r="B16" s="17" t="e">
        <f>SUM(ENERO!B16+FEBRERO!B16+MARZO!B16+ABRIL!B16+MAYO!B16+#REF!+#REF!+#REF!+#REF!+#REF!+#REF!+#REF!)</f>
        <v>#REF!</v>
      </c>
      <c r="C16" s="17" t="e">
        <f>SUM(ENERO!C16+FEBRERO!C16+MARZO!C16+ABRIL!C16+MAYO!C16+#REF!+#REF!+#REF!+#REF!+#REF!+#REF!+#REF!)</f>
        <v>#REF!</v>
      </c>
      <c r="D16" s="17" t="e">
        <f>SUM(ENERO!D16+FEBRERO!D16+MARZO!D16+ABRIL!D16+MAYO!D16+#REF!+#REF!+#REF!+#REF!+#REF!+#REF!+#REF!)</f>
        <v>#REF!</v>
      </c>
      <c r="E16" s="17" t="e">
        <f>SUM(ENERO!E16+FEBRERO!E16+MARZO!E16+ABRIL!E16+MAYO!E16+#REF!+#REF!+#REF!+#REF!+#REF!+#REF!+#REF!)</f>
        <v>#REF!</v>
      </c>
      <c r="F16" s="17" t="e">
        <f>SUM(ENERO!F16+FEBRERO!F16+MARZO!F16+ABRIL!F16+MAYO!F16+#REF!+#REF!+#REF!+#REF!+#REF!+#REF!+#REF!)</f>
        <v>#REF!</v>
      </c>
      <c r="G16" s="17" t="e">
        <f>SUM(ENERO!G16+FEBRERO!G16+MARZO!G16+ABRIL!G16+MAYO!G16+#REF!+#REF!+#REF!+#REF!+#REF!+#REF!+#REF!)</f>
        <v>#REF!</v>
      </c>
      <c r="H16" s="12" t="e">
        <f t="shared" si="11"/>
        <v>#REF!</v>
      </c>
      <c r="I16" s="130">
        <v>1.37</v>
      </c>
      <c r="J16" s="1"/>
      <c r="K16" s="57" t="s">
        <v>83</v>
      </c>
      <c r="L16" s="68" t="e">
        <f>SUM(ENERO!K16+FEBRERO!K16+MARZO!K16+ABRIL!K16+MAYO!K16+#REF!+#REF!+#REF!+#REF!+#REF!+#REF!+#REF!)</f>
        <v>#REF!</v>
      </c>
      <c r="M16" s="68" t="e">
        <f>SUM(ENERO!L16+FEBRERO!L16+MARZO!L16+ABRIL!L16+MAYO!L16+#REF!+#REF!+#REF!+#REF!+#REF!+#REF!+#REF!)</f>
        <v>#REF!</v>
      </c>
      <c r="N16" s="68" t="e">
        <f>SUM(ENERO!M16+FEBRERO!M16+MARZO!M16+ABRIL!M16+MAYO!M16+#REF!+#REF!+#REF!+#REF!+#REF!+#REF!+#REF!)</f>
        <v>#REF!</v>
      </c>
      <c r="O16" s="68" t="e">
        <f>SUM(ENERO!N16+FEBRERO!N16+MARZO!N16+ABRIL!N16+MAYO!N16+#REF!+#REF!+#REF!+#REF!+#REF!+#REF!+#REF!)</f>
        <v>#REF!</v>
      </c>
      <c r="P16" s="68" t="e">
        <f>SUM(ENERO!O16+FEBRERO!O16+MARZO!O16+ABRIL!O16+MAYO!O16+#REF!+#REF!+#REF!+#REF!+#REF!+#REF!+#REF!)</f>
        <v>#REF!</v>
      </c>
      <c r="Q16" s="68" t="e">
        <f>SUM(ENERO!P16+FEBRERO!P16+MARZO!P16+ABRIL!P16+MAYO!P16+#REF!+#REF!+#REF!+#REF!+#REF!+#REF!+#REF!)</f>
        <v>#REF!</v>
      </c>
      <c r="R16" s="40" t="e">
        <f t="shared" si="2"/>
        <v>#REF!</v>
      </c>
      <c r="S16" s="130"/>
      <c r="T16" s="4"/>
      <c r="U16" s="1"/>
      <c r="V16" t="e">
        <f t="shared" si="4"/>
        <v>#REF!</v>
      </c>
      <c r="W16" t="e">
        <f t="shared" si="5"/>
        <v>#REF!</v>
      </c>
      <c r="X16" t="e">
        <f t="shared" si="6"/>
        <v>#REF!</v>
      </c>
      <c r="Y16" t="e">
        <f t="shared" si="7"/>
        <v>#REF!</v>
      </c>
      <c r="Z16" t="e">
        <f t="shared" si="8"/>
        <v>#REF!</v>
      </c>
      <c r="AA16" t="e">
        <f t="shared" si="9"/>
        <v>#REF!</v>
      </c>
      <c r="AB16" t="e">
        <f t="shared" si="10"/>
        <v>#REF!</v>
      </c>
    </row>
    <row r="17" spans="1:28" x14ac:dyDescent="0.25">
      <c r="A17" s="7" t="s">
        <v>186</v>
      </c>
      <c r="B17" s="17" t="e">
        <f>SUM(ENERO!B17+FEBRERO!B17+MARZO!B17+ABRIL!B17+MAYO!B17+#REF!+#REF!+#REF!+#REF!+#REF!+#REF!+#REF!)</f>
        <v>#REF!</v>
      </c>
      <c r="C17" s="17" t="e">
        <f>SUM(ENERO!C17+FEBRERO!C17+MARZO!C17+ABRIL!C17+MAYO!C17+#REF!+#REF!+#REF!+#REF!+#REF!+#REF!+#REF!)</f>
        <v>#REF!</v>
      </c>
      <c r="D17" s="17" t="e">
        <f>SUM(ENERO!D17+FEBRERO!D17+MARZO!D17+ABRIL!D17+MAYO!D17+#REF!+#REF!+#REF!+#REF!+#REF!+#REF!+#REF!)</f>
        <v>#REF!</v>
      </c>
      <c r="E17" s="17" t="e">
        <f>SUM(ENERO!E17+FEBRERO!E17+MARZO!E17+ABRIL!E17+MAYO!E17+#REF!+#REF!+#REF!+#REF!+#REF!+#REF!+#REF!)</f>
        <v>#REF!</v>
      </c>
      <c r="F17" s="17" t="e">
        <f>SUM(ENERO!F17+FEBRERO!F17+MARZO!F17+ABRIL!F17+MAYO!F17+#REF!+#REF!+#REF!+#REF!+#REF!+#REF!+#REF!)</f>
        <v>#REF!</v>
      </c>
      <c r="G17" s="17" t="e">
        <f>SUM(ENERO!G17+FEBRERO!G17+MARZO!G17+ABRIL!G17+MAYO!G17+#REF!+#REF!+#REF!+#REF!+#REF!+#REF!+#REF!)</f>
        <v>#REF!</v>
      </c>
      <c r="H17" s="12" t="e">
        <f t="shared" si="11"/>
        <v>#REF!</v>
      </c>
      <c r="I17" s="130">
        <v>2.74</v>
      </c>
      <c r="J17" s="1"/>
      <c r="K17" s="50" t="s">
        <v>162</v>
      </c>
      <c r="L17" s="68" t="e">
        <f>SUM(ENERO!K17+FEBRERO!K17+MARZO!K17+ABRIL!K17+MAYO!K17+#REF!+#REF!+#REF!+#REF!+#REF!+#REF!+#REF!)</f>
        <v>#REF!</v>
      </c>
      <c r="M17" s="68" t="e">
        <f>SUM(ENERO!L17+FEBRERO!L17+MARZO!L17+ABRIL!L17+MAYO!L17+#REF!+#REF!+#REF!+#REF!+#REF!+#REF!+#REF!)</f>
        <v>#REF!</v>
      </c>
      <c r="N17" s="68" t="e">
        <f>SUM(ENERO!M17+FEBRERO!M17+MARZO!M17+ABRIL!M17+MAYO!M17+#REF!+#REF!+#REF!+#REF!+#REF!+#REF!+#REF!)</f>
        <v>#REF!</v>
      </c>
      <c r="O17" s="68" t="e">
        <f>SUM(ENERO!N17+FEBRERO!N17+MARZO!N17+ABRIL!N17+MAYO!N17+#REF!+#REF!+#REF!+#REF!+#REF!+#REF!+#REF!)</f>
        <v>#REF!</v>
      </c>
      <c r="P17" s="68" t="e">
        <f>SUM(ENERO!O17+FEBRERO!O17+MARZO!O17+ABRIL!O17+MAYO!O17+#REF!+#REF!+#REF!+#REF!+#REF!+#REF!+#REF!)</f>
        <v>#REF!</v>
      </c>
      <c r="Q17" s="68" t="e">
        <f>SUM(ENERO!P17+FEBRERO!P17+MARZO!P17+ABRIL!P17+MAYO!P17+#REF!+#REF!+#REF!+#REF!+#REF!+#REF!+#REF!)</f>
        <v>#REF!</v>
      </c>
      <c r="R17" s="40" t="e">
        <f t="shared" si="2"/>
        <v>#REF!</v>
      </c>
      <c r="S17" s="130"/>
      <c r="T17" s="4"/>
      <c r="U17" s="1"/>
      <c r="V17" t="e">
        <f t="shared" si="4"/>
        <v>#REF!</v>
      </c>
      <c r="W17" t="e">
        <f t="shared" si="5"/>
        <v>#REF!</v>
      </c>
      <c r="X17" t="e">
        <f t="shared" si="6"/>
        <v>#REF!</v>
      </c>
      <c r="Y17" t="e">
        <f t="shared" si="7"/>
        <v>#REF!</v>
      </c>
      <c r="Z17" t="e">
        <f t="shared" si="8"/>
        <v>#REF!</v>
      </c>
      <c r="AA17" t="e">
        <f t="shared" si="9"/>
        <v>#REF!</v>
      </c>
      <c r="AB17" t="e">
        <f t="shared" si="10"/>
        <v>#REF!</v>
      </c>
    </row>
    <row r="18" spans="1:28" x14ac:dyDescent="0.25">
      <c r="A18" s="7" t="s">
        <v>188</v>
      </c>
      <c r="B18" s="17" t="e">
        <f>SUM(ENERO!B18+FEBRERO!B18+MARZO!B18+ABRIL!B18+MAYO!B18+#REF!+#REF!+#REF!+#REF!+#REF!+#REF!+#REF!)</f>
        <v>#REF!</v>
      </c>
      <c r="C18" s="17" t="e">
        <f>SUM(ENERO!C18+FEBRERO!C18+MARZO!C18+ABRIL!C18+MAYO!C18+#REF!+#REF!+#REF!+#REF!+#REF!+#REF!+#REF!)</f>
        <v>#REF!</v>
      </c>
      <c r="D18" s="17" t="e">
        <f>SUM(ENERO!D18+FEBRERO!D18+MARZO!D18+ABRIL!D18+MAYO!D18+#REF!+#REF!+#REF!+#REF!+#REF!+#REF!+#REF!)</f>
        <v>#REF!</v>
      </c>
      <c r="E18" s="17" t="e">
        <f>SUM(ENERO!E18+FEBRERO!E18+MARZO!E18+ABRIL!E18+MAYO!E18+#REF!+#REF!+#REF!+#REF!+#REF!+#REF!+#REF!)</f>
        <v>#REF!</v>
      </c>
      <c r="F18" s="17" t="e">
        <f>SUM(ENERO!F18+FEBRERO!F18+MARZO!F18+ABRIL!F18+MAYO!F18+#REF!+#REF!+#REF!+#REF!+#REF!+#REF!+#REF!)</f>
        <v>#REF!</v>
      </c>
      <c r="G18" s="17" t="e">
        <f>SUM(ENERO!G18+FEBRERO!G18+MARZO!G18+ABRIL!G18+MAYO!G18+#REF!+#REF!+#REF!+#REF!+#REF!+#REF!+#REF!)</f>
        <v>#REF!</v>
      </c>
      <c r="H18" s="12" t="e">
        <f t="shared" si="11"/>
        <v>#REF!</v>
      </c>
      <c r="I18" s="130">
        <v>3.27</v>
      </c>
      <c r="J18" s="1"/>
      <c r="K18" s="50" t="s">
        <v>163</v>
      </c>
      <c r="L18" s="68" t="e">
        <f>SUM(ENERO!K18+FEBRERO!K18+MARZO!K18+ABRIL!K18+MAYO!K18+#REF!+#REF!+#REF!+#REF!+#REF!+#REF!+#REF!)</f>
        <v>#REF!</v>
      </c>
      <c r="M18" s="68" t="e">
        <f>SUM(ENERO!L18+FEBRERO!L18+MARZO!L18+ABRIL!L18+MAYO!L18+#REF!+#REF!+#REF!+#REF!+#REF!+#REF!+#REF!)</f>
        <v>#REF!</v>
      </c>
      <c r="N18" s="68" t="e">
        <f>SUM(ENERO!M18+FEBRERO!M18+MARZO!M18+ABRIL!M18+MAYO!M18+#REF!+#REF!+#REF!+#REF!+#REF!+#REF!+#REF!)</f>
        <v>#REF!</v>
      </c>
      <c r="O18" s="68" t="e">
        <f>SUM(ENERO!N18+FEBRERO!N18+MARZO!N18+ABRIL!N18+MAYO!N18+#REF!+#REF!+#REF!+#REF!+#REF!+#REF!+#REF!)</f>
        <v>#REF!</v>
      </c>
      <c r="P18" s="68" t="e">
        <f>SUM(ENERO!O18+FEBRERO!O18+MARZO!O18+ABRIL!O18+MAYO!O18+#REF!+#REF!+#REF!+#REF!+#REF!+#REF!+#REF!)</f>
        <v>#REF!</v>
      </c>
      <c r="Q18" s="68" t="e">
        <f>SUM(ENERO!P18+FEBRERO!P18+MARZO!P18+ABRIL!P18+MAYO!P18+#REF!+#REF!+#REF!+#REF!+#REF!+#REF!+#REF!)</f>
        <v>#REF!</v>
      </c>
      <c r="R18" s="40" t="e">
        <f t="shared" si="2"/>
        <v>#REF!</v>
      </c>
      <c r="S18" s="130"/>
      <c r="T18" s="4"/>
      <c r="U18" s="1"/>
      <c r="V18" t="e">
        <f t="shared" si="4"/>
        <v>#REF!</v>
      </c>
      <c r="W18" t="e">
        <f t="shared" si="5"/>
        <v>#REF!</v>
      </c>
      <c r="X18" t="e">
        <f t="shared" si="6"/>
        <v>#REF!</v>
      </c>
      <c r="Y18" t="e">
        <f t="shared" si="7"/>
        <v>#REF!</v>
      </c>
      <c r="Z18" t="e">
        <f t="shared" si="8"/>
        <v>#REF!</v>
      </c>
      <c r="AA18" t="e">
        <f t="shared" si="9"/>
        <v>#REF!</v>
      </c>
      <c r="AB18" t="e">
        <f t="shared" si="10"/>
        <v>#REF!</v>
      </c>
    </row>
    <row r="19" spans="1:28" x14ac:dyDescent="0.25">
      <c r="A19" s="7" t="s">
        <v>28</v>
      </c>
      <c r="B19" s="17" t="e">
        <f>SUM(ENERO!B19+FEBRERO!B19+MARZO!B19+ABRIL!B19+MAYO!B19+#REF!+#REF!+#REF!+#REF!+#REF!+#REF!+#REF!)</f>
        <v>#REF!</v>
      </c>
      <c r="C19" s="17" t="e">
        <f>SUM(ENERO!C19+FEBRERO!C19+MARZO!C19+ABRIL!C19+MAYO!C19+#REF!+#REF!+#REF!+#REF!+#REF!+#REF!+#REF!)</f>
        <v>#REF!</v>
      </c>
      <c r="D19" s="17" t="e">
        <f>SUM(ENERO!D19+FEBRERO!D19+MARZO!D19+ABRIL!D19+MAYO!D19+#REF!+#REF!+#REF!+#REF!+#REF!+#REF!+#REF!)</f>
        <v>#REF!</v>
      </c>
      <c r="E19" s="17" t="e">
        <f>SUM(ENERO!E19+FEBRERO!E19+MARZO!E19+ABRIL!E19+MAYO!E19+#REF!+#REF!+#REF!+#REF!+#REF!+#REF!+#REF!)</f>
        <v>#REF!</v>
      </c>
      <c r="F19" s="17" t="e">
        <f>SUM(ENERO!F19+FEBRERO!F19+MARZO!F19+ABRIL!F19+MAYO!F19+#REF!+#REF!+#REF!+#REF!+#REF!+#REF!+#REF!)</f>
        <v>#REF!</v>
      </c>
      <c r="G19" s="17" t="e">
        <f>SUM(ENERO!G19+FEBRERO!G19+MARZO!G19+ABRIL!G19+MAYO!G19+#REF!+#REF!+#REF!+#REF!+#REF!+#REF!+#REF!)</f>
        <v>#REF!</v>
      </c>
      <c r="H19" s="12" t="e">
        <f t="shared" si="11"/>
        <v>#REF!</v>
      </c>
      <c r="I19" s="130">
        <v>14.93</v>
      </c>
      <c r="J19" s="1"/>
      <c r="K19" s="50" t="s">
        <v>164</v>
      </c>
      <c r="L19" s="68" t="e">
        <f>SUM(ENERO!K19+FEBRERO!K19+MARZO!K19+ABRIL!K19+MAYO!K19+#REF!+#REF!+#REF!+#REF!+#REF!+#REF!+#REF!)</f>
        <v>#REF!</v>
      </c>
      <c r="M19" s="68" t="e">
        <f>SUM(ENERO!L19+FEBRERO!L19+MARZO!L19+ABRIL!L19+MAYO!L19+#REF!+#REF!+#REF!+#REF!+#REF!+#REF!+#REF!)</f>
        <v>#REF!</v>
      </c>
      <c r="N19" s="68" t="e">
        <f>SUM(ENERO!M19+FEBRERO!M19+MARZO!M19+ABRIL!M19+MAYO!M19+#REF!+#REF!+#REF!+#REF!+#REF!+#REF!+#REF!)</f>
        <v>#REF!</v>
      </c>
      <c r="O19" s="68" t="e">
        <f>SUM(ENERO!N19+FEBRERO!N19+MARZO!N19+ABRIL!N19+MAYO!N19+#REF!+#REF!+#REF!+#REF!+#REF!+#REF!+#REF!)</f>
        <v>#REF!</v>
      </c>
      <c r="P19" s="68" t="e">
        <f>SUM(ENERO!O19+FEBRERO!O19+MARZO!O19+ABRIL!O19+MAYO!O19+#REF!+#REF!+#REF!+#REF!+#REF!+#REF!+#REF!)</f>
        <v>#REF!</v>
      </c>
      <c r="Q19" s="68" t="e">
        <f>SUM(ENERO!P19+FEBRERO!P19+MARZO!P19+ABRIL!P19+MAYO!P19+#REF!+#REF!+#REF!+#REF!+#REF!+#REF!+#REF!)</f>
        <v>#REF!</v>
      </c>
      <c r="R19" s="40" t="e">
        <f t="shared" si="2"/>
        <v>#REF!</v>
      </c>
      <c r="S19" s="130"/>
      <c r="T19" s="4"/>
      <c r="U19" s="1"/>
      <c r="V19" t="e">
        <f t="shared" si="4"/>
        <v>#REF!</v>
      </c>
      <c r="W19" t="e">
        <f t="shared" si="5"/>
        <v>#REF!</v>
      </c>
      <c r="X19" t="e">
        <f t="shared" si="6"/>
        <v>#REF!</v>
      </c>
      <c r="Y19" t="e">
        <f t="shared" si="7"/>
        <v>#REF!</v>
      </c>
      <c r="Z19" t="e">
        <f t="shared" si="8"/>
        <v>#REF!</v>
      </c>
      <c r="AA19" t="e">
        <f t="shared" si="9"/>
        <v>#REF!</v>
      </c>
      <c r="AB19" t="e">
        <f t="shared" si="10"/>
        <v>#REF!</v>
      </c>
    </row>
    <row r="20" spans="1:28" x14ac:dyDescent="0.25">
      <c r="A20" s="7" t="s">
        <v>29</v>
      </c>
      <c r="B20" s="17" t="e">
        <f>SUM(ENERO!B20+FEBRERO!B20+MARZO!B20+ABRIL!B20+MAYO!B20+#REF!+#REF!+#REF!+#REF!+#REF!+#REF!+#REF!)</f>
        <v>#REF!</v>
      </c>
      <c r="C20" s="17" t="e">
        <f>SUM(ENERO!C20+FEBRERO!C20+MARZO!C20+ABRIL!C20+MAYO!C20+#REF!+#REF!+#REF!+#REF!+#REF!+#REF!+#REF!)</f>
        <v>#REF!</v>
      </c>
      <c r="D20" s="17" t="e">
        <f>SUM(ENERO!D20+FEBRERO!D20+MARZO!D20+ABRIL!D20+MAYO!D20+#REF!+#REF!+#REF!+#REF!+#REF!+#REF!+#REF!)</f>
        <v>#REF!</v>
      </c>
      <c r="E20" s="17" t="e">
        <f>SUM(ENERO!E20+FEBRERO!E20+MARZO!E20+ABRIL!E20+MAYO!E20+#REF!+#REF!+#REF!+#REF!+#REF!+#REF!+#REF!)</f>
        <v>#REF!</v>
      </c>
      <c r="F20" s="17" t="e">
        <f>SUM(ENERO!F20+FEBRERO!F20+MARZO!F20+ABRIL!F20+MAYO!F20+#REF!+#REF!+#REF!+#REF!+#REF!+#REF!+#REF!)</f>
        <v>#REF!</v>
      </c>
      <c r="G20" s="17" t="e">
        <f>SUM(ENERO!G20+FEBRERO!G20+MARZO!G20+ABRIL!G20+MAYO!G20+#REF!+#REF!+#REF!+#REF!+#REF!+#REF!+#REF!)</f>
        <v>#REF!</v>
      </c>
      <c r="H20" s="12" t="e">
        <f t="shared" si="11"/>
        <v>#REF!</v>
      </c>
      <c r="I20" s="130">
        <v>4.1100000000000003</v>
      </c>
      <c r="J20" s="1"/>
      <c r="K20" s="50" t="s">
        <v>194</v>
      </c>
      <c r="L20" s="68" t="e">
        <f>SUM(ENERO!K20+FEBRERO!K20+MARZO!K20+ABRIL!K20+MAYO!K20+#REF!+#REF!+#REF!+#REF!+#REF!+#REF!+#REF!)</f>
        <v>#REF!</v>
      </c>
      <c r="M20" s="68" t="e">
        <f>SUM(ENERO!L20+FEBRERO!L20+MARZO!L20+ABRIL!L20+MAYO!L20+#REF!+#REF!+#REF!+#REF!+#REF!+#REF!+#REF!)</f>
        <v>#REF!</v>
      </c>
      <c r="N20" s="68" t="e">
        <f>SUM(ENERO!M20+FEBRERO!M20+MARZO!M20+ABRIL!M20+MAYO!M20+#REF!+#REF!+#REF!+#REF!+#REF!+#REF!+#REF!)</f>
        <v>#REF!</v>
      </c>
      <c r="O20" s="68" t="e">
        <f>SUM(ENERO!N20+FEBRERO!N20+MARZO!N20+ABRIL!N20+MAYO!N20+#REF!+#REF!+#REF!+#REF!+#REF!+#REF!+#REF!)</f>
        <v>#REF!</v>
      </c>
      <c r="P20" s="68" t="e">
        <f>SUM(ENERO!O20+FEBRERO!O20+MARZO!O20+ABRIL!O20+MAYO!O20+#REF!+#REF!+#REF!+#REF!+#REF!+#REF!+#REF!)</f>
        <v>#REF!</v>
      </c>
      <c r="Q20" s="68" t="e">
        <f>SUM(ENERO!P20+FEBRERO!P20+MARZO!P20+ABRIL!P20+MAYO!P20+#REF!+#REF!+#REF!+#REF!+#REF!+#REF!+#REF!)</f>
        <v>#REF!</v>
      </c>
      <c r="R20" s="40" t="e">
        <f t="shared" si="2"/>
        <v>#REF!</v>
      </c>
      <c r="S20" s="130"/>
      <c r="T20" s="4"/>
      <c r="U20" s="1"/>
      <c r="V20" t="e">
        <f t="shared" si="4"/>
        <v>#REF!</v>
      </c>
      <c r="W20" t="e">
        <f t="shared" si="5"/>
        <v>#REF!</v>
      </c>
      <c r="X20" t="e">
        <f t="shared" si="6"/>
        <v>#REF!</v>
      </c>
      <c r="Y20" t="e">
        <f t="shared" si="7"/>
        <v>#REF!</v>
      </c>
      <c r="Z20" t="e">
        <f t="shared" si="8"/>
        <v>#REF!</v>
      </c>
      <c r="AA20" t="e">
        <f t="shared" si="9"/>
        <v>#REF!</v>
      </c>
      <c r="AB20" t="e">
        <f t="shared" si="10"/>
        <v>#REF!</v>
      </c>
    </row>
    <row r="21" spans="1:28" x14ac:dyDescent="0.25">
      <c r="A21" s="7" t="s">
        <v>20</v>
      </c>
      <c r="B21" s="17" t="e">
        <f>SUM(ENERO!B21+FEBRERO!B21+MARZO!B21+ABRIL!B21+MAYO!B21+#REF!+#REF!+#REF!+#REF!+#REF!+#REF!+#REF!)</f>
        <v>#REF!</v>
      </c>
      <c r="C21" s="17" t="e">
        <f>SUM(ENERO!C21+FEBRERO!C21+MARZO!C21+ABRIL!C21+MAYO!C21+#REF!+#REF!+#REF!+#REF!+#REF!+#REF!+#REF!)</f>
        <v>#REF!</v>
      </c>
      <c r="D21" s="17" t="e">
        <f>SUM(ENERO!D21+FEBRERO!D21+MARZO!D21+ABRIL!D21+MAYO!D21+#REF!+#REF!+#REF!+#REF!+#REF!+#REF!+#REF!)</f>
        <v>#REF!</v>
      </c>
      <c r="E21" s="17" t="e">
        <f>SUM(ENERO!E21+FEBRERO!E21+MARZO!E21+ABRIL!E21+MAYO!E21+#REF!+#REF!+#REF!+#REF!+#REF!+#REF!+#REF!)</f>
        <v>#REF!</v>
      </c>
      <c r="F21" s="17" t="e">
        <f>SUM(ENERO!F21+FEBRERO!F21+MARZO!F21+ABRIL!F21+MAYO!F21+#REF!+#REF!+#REF!+#REF!+#REF!+#REF!+#REF!)</f>
        <v>#REF!</v>
      </c>
      <c r="G21" s="17" t="e">
        <f>SUM(ENERO!G21+FEBRERO!G21+MARZO!G21+ABRIL!G21+MAYO!G21+#REF!+#REF!+#REF!+#REF!+#REF!+#REF!+#REF!)</f>
        <v>#REF!</v>
      </c>
      <c r="H21" s="12" t="e">
        <f t="shared" si="11"/>
        <v>#REF!</v>
      </c>
      <c r="I21" s="130">
        <v>2.57</v>
      </c>
      <c r="J21" s="1"/>
      <c r="K21" s="50" t="s">
        <v>221</v>
      </c>
      <c r="L21" s="68" t="e">
        <f>SUM(ENERO!K21+FEBRERO!K21+MARZO!K21+ABRIL!K21+MAYO!K21+#REF!+#REF!+#REF!+#REF!+#REF!+#REF!+#REF!)</f>
        <v>#REF!</v>
      </c>
      <c r="M21" s="68" t="e">
        <f>SUM(ENERO!L21+FEBRERO!L21+MARZO!L21+ABRIL!L21+MAYO!L21+#REF!+#REF!+#REF!+#REF!+#REF!+#REF!+#REF!)</f>
        <v>#REF!</v>
      </c>
      <c r="N21" s="68" t="e">
        <f>SUM(ENERO!M21+FEBRERO!M21+MARZO!M21+ABRIL!M21+MAYO!M21+#REF!+#REF!+#REF!+#REF!+#REF!+#REF!+#REF!)</f>
        <v>#REF!</v>
      </c>
      <c r="O21" s="68" t="e">
        <f>SUM(ENERO!N21+FEBRERO!N21+MARZO!N21+ABRIL!N21+MAYO!N21+#REF!+#REF!+#REF!+#REF!+#REF!+#REF!+#REF!)</f>
        <v>#REF!</v>
      </c>
      <c r="P21" s="68" t="e">
        <f>SUM(ENERO!O21+FEBRERO!O21+MARZO!O21+ABRIL!O21+MAYO!O21+#REF!+#REF!+#REF!+#REF!+#REF!+#REF!+#REF!)</f>
        <v>#REF!</v>
      </c>
      <c r="Q21" s="68" t="e">
        <f>SUM(ENERO!P21+FEBRERO!P21+MARZO!P21+ABRIL!P21+MAYO!P21+#REF!+#REF!+#REF!+#REF!+#REF!+#REF!+#REF!)</f>
        <v>#REF!</v>
      </c>
      <c r="R21" s="40" t="e">
        <f t="shared" si="2"/>
        <v>#REF!</v>
      </c>
      <c r="S21" s="130"/>
      <c r="T21" s="4"/>
      <c r="U21" s="1"/>
      <c r="V21" t="e">
        <f t="shared" si="4"/>
        <v>#REF!</v>
      </c>
      <c r="W21" t="e">
        <f t="shared" si="5"/>
        <v>#REF!</v>
      </c>
      <c r="X21" t="e">
        <f t="shared" si="6"/>
        <v>#REF!</v>
      </c>
      <c r="Y21" t="e">
        <f t="shared" si="7"/>
        <v>#REF!</v>
      </c>
      <c r="Z21" t="e">
        <f t="shared" si="8"/>
        <v>#REF!</v>
      </c>
      <c r="AA21" t="e">
        <f t="shared" si="9"/>
        <v>#REF!</v>
      </c>
      <c r="AB21" t="e">
        <f t="shared" si="10"/>
        <v>#REF!</v>
      </c>
    </row>
    <row r="22" spans="1:28" x14ac:dyDescent="0.25">
      <c r="A22" s="7" t="s">
        <v>25</v>
      </c>
      <c r="B22" s="17" t="e">
        <f>SUM(ENERO!B22+FEBRERO!B22+MARZO!B22+ABRIL!B22+MAYO!B22+#REF!+#REF!+#REF!+#REF!+#REF!+#REF!+#REF!)</f>
        <v>#REF!</v>
      </c>
      <c r="C22" s="17" t="e">
        <f>SUM(ENERO!C22+FEBRERO!C22+MARZO!C22+ABRIL!C22+MAYO!C22+#REF!+#REF!+#REF!+#REF!+#REF!+#REF!+#REF!)</f>
        <v>#REF!</v>
      </c>
      <c r="D22" s="17" t="e">
        <f>SUM(ENERO!D22+FEBRERO!D22+MARZO!D22+ABRIL!D22+MAYO!D22+#REF!+#REF!+#REF!+#REF!+#REF!+#REF!+#REF!)</f>
        <v>#REF!</v>
      </c>
      <c r="E22" s="17" t="e">
        <f>SUM(ENERO!E22+FEBRERO!E22+MARZO!E22+ABRIL!E22+MAYO!E22+#REF!+#REF!+#REF!+#REF!+#REF!+#REF!+#REF!)</f>
        <v>#REF!</v>
      </c>
      <c r="F22" s="17" t="e">
        <f>SUM(ENERO!F22+FEBRERO!F22+MARZO!F22+ABRIL!F22+MAYO!F22+#REF!+#REF!+#REF!+#REF!+#REF!+#REF!+#REF!)</f>
        <v>#REF!</v>
      </c>
      <c r="G22" s="17" t="e">
        <f>SUM(ENERO!G22+FEBRERO!G22+MARZO!G22+ABRIL!G22+MAYO!G22+#REF!+#REF!+#REF!+#REF!+#REF!+#REF!+#REF!)</f>
        <v>#REF!</v>
      </c>
      <c r="H22" s="12" t="e">
        <f t="shared" si="11"/>
        <v>#REF!</v>
      </c>
      <c r="I22" s="130">
        <v>5.14</v>
      </c>
      <c r="J22" s="1"/>
      <c r="K22" s="58" t="s">
        <v>6</v>
      </c>
      <c r="L22" s="68" t="e">
        <f>SUM(ENERO!K22+FEBRERO!K22+MARZO!K22+ABRIL!K22+MAYO!K22+#REF!+#REF!+#REF!+#REF!+#REF!+#REF!+#REF!)</f>
        <v>#REF!</v>
      </c>
      <c r="M22" s="68" t="e">
        <f>SUM(ENERO!L22+FEBRERO!L22+MARZO!L22+ABRIL!L22+MAYO!L22+#REF!+#REF!+#REF!+#REF!+#REF!+#REF!+#REF!)</f>
        <v>#REF!</v>
      </c>
      <c r="N22" s="68" t="e">
        <f>SUM(ENERO!M22+FEBRERO!M22+MARZO!M22+ABRIL!M22+MAYO!M22+#REF!+#REF!+#REF!+#REF!+#REF!+#REF!+#REF!)</f>
        <v>#REF!</v>
      </c>
      <c r="O22" s="68" t="e">
        <f>SUM(ENERO!N22+FEBRERO!N22+MARZO!N22+ABRIL!N22+MAYO!N22+#REF!+#REF!+#REF!+#REF!+#REF!+#REF!+#REF!)</f>
        <v>#REF!</v>
      </c>
      <c r="P22" s="68" t="e">
        <f>SUM(ENERO!O22+FEBRERO!O22+MARZO!O22+ABRIL!O22+MAYO!O22+#REF!+#REF!+#REF!+#REF!+#REF!+#REF!+#REF!)</f>
        <v>#REF!</v>
      </c>
      <c r="Q22" s="68" t="e">
        <f>SUM(ENERO!P22+FEBRERO!P22+MARZO!P22+ABRIL!P22+MAYO!P22+#REF!+#REF!+#REF!+#REF!+#REF!+#REF!+#REF!)</f>
        <v>#REF!</v>
      </c>
      <c r="R22" s="40" t="e">
        <f t="shared" si="2"/>
        <v>#REF!</v>
      </c>
      <c r="S22" s="130"/>
      <c r="T22" s="4"/>
      <c r="U22" s="1"/>
      <c r="V22" t="e">
        <f t="shared" si="4"/>
        <v>#REF!</v>
      </c>
      <c r="W22" t="e">
        <f t="shared" si="5"/>
        <v>#REF!</v>
      </c>
      <c r="X22" t="e">
        <f t="shared" si="6"/>
        <v>#REF!</v>
      </c>
      <c r="Y22" t="e">
        <f t="shared" si="7"/>
        <v>#REF!</v>
      </c>
      <c r="Z22" t="e">
        <f t="shared" si="8"/>
        <v>#REF!</v>
      </c>
      <c r="AA22" t="e">
        <f t="shared" si="9"/>
        <v>#REF!</v>
      </c>
      <c r="AB22" t="e">
        <f t="shared" si="10"/>
        <v>#REF!</v>
      </c>
    </row>
    <row r="23" spans="1:28" ht="15.75" thickBot="1" x14ac:dyDescent="0.3">
      <c r="A23" s="7" t="s">
        <v>218</v>
      </c>
      <c r="B23" s="17" t="e">
        <f>SUM(ENERO!B23+FEBRERO!B23+MARZO!B23+ABRIL!B23+MAYO!B23+#REF!+#REF!+#REF!+#REF!+#REF!+#REF!+#REF!)</f>
        <v>#REF!</v>
      </c>
      <c r="C23" s="17" t="e">
        <f>SUM(ENERO!C23+FEBRERO!C23+MARZO!C23+ABRIL!C23+MAYO!C23+#REF!+#REF!+#REF!+#REF!+#REF!+#REF!+#REF!)</f>
        <v>#REF!</v>
      </c>
      <c r="D23" s="17" t="e">
        <f>SUM(ENERO!D23+FEBRERO!D23+MARZO!D23+ABRIL!D23+MAYO!D23+#REF!+#REF!+#REF!+#REF!+#REF!+#REF!+#REF!)</f>
        <v>#REF!</v>
      </c>
      <c r="E23" s="17" t="e">
        <f>SUM(ENERO!E23+FEBRERO!E23+MARZO!E23+ABRIL!E23+MAYO!E23+#REF!+#REF!+#REF!+#REF!+#REF!+#REF!+#REF!)</f>
        <v>#REF!</v>
      </c>
      <c r="F23" s="17" t="e">
        <f>SUM(ENERO!F23+FEBRERO!F23+MARZO!F23+ABRIL!F23+MAYO!F23+#REF!+#REF!+#REF!+#REF!+#REF!+#REF!+#REF!)</f>
        <v>#REF!</v>
      </c>
      <c r="G23" s="17" t="e">
        <f>SUM(ENERO!G23+FEBRERO!G23+MARZO!G23+ABRIL!G23+MAYO!G23+#REF!+#REF!+#REF!+#REF!+#REF!+#REF!+#REF!)</f>
        <v>#REF!</v>
      </c>
      <c r="H23" s="12" t="e">
        <f t="shared" si="11"/>
        <v>#REF!</v>
      </c>
      <c r="I23" s="134">
        <v>6</v>
      </c>
      <c r="J23" s="1"/>
      <c r="K23" s="59" t="s">
        <v>7</v>
      </c>
      <c r="L23" s="94" t="e">
        <f>SUM(ENERO!K23+FEBRERO!K23+MARZO!K23+ABRIL!K23+MAYO!K23+#REF!+#REF!+#REF!+#REF!+#REF!+#REF!+#REF!)</f>
        <v>#REF!</v>
      </c>
      <c r="M23" s="94" t="e">
        <f>SUM(ENERO!L23+FEBRERO!L23+MARZO!L23+ABRIL!L23+MAYO!L23+#REF!+#REF!+#REF!+#REF!+#REF!+#REF!+#REF!)</f>
        <v>#REF!</v>
      </c>
      <c r="N23" s="94" t="e">
        <f>SUM(ENERO!M23+FEBRERO!M23+MARZO!M23+ABRIL!M23+MAYO!M23+#REF!+#REF!+#REF!+#REF!+#REF!+#REF!+#REF!)</f>
        <v>#REF!</v>
      </c>
      <c r="O23" s="94" t="e">
        <f>SUM(ENERO!N23+FEBRERO!N23+MARZO!N23+ABRIL!N23+MAYO!N23+#REF!+#REF!+#REF!+#REF!+#REF!+#REF!+#REF!)</f>
        <v>#REF!</v>
      </c>
      <c r="P23" s="94" t="e">
        <f>SUM(ENERO!O23+FEBRERO!O23+MARZO!O23+ABRIL!O23+MAYO!O23+#REF!+#REF!+#REF!+#REF!+#REF!+#REF!+#REF!)</f>
        <v>#REF!</v>
      </c>
      <c r="Q23" s="94" t="e">
        <f>SUM(ENERO!P23+FEBRERO!P23+MARZO!P23+ABRIL!P23+MAYO!P23+#REF!+#REF!+#REF!+#REF!+#REF!+#REF!+#REF!)</f>
        <v>#REF!</v>
      </c>
      <c r="R23" s="46" t="e">
        <f t="shared" si="2"/>
        <v>#REF!</v>
      </c>
      <c r="S23" s="130"/>
      <c r="T23" s="4"/>
      <c r="U23" s="1"/>
      <c r="V23" t="e">
        <f t="shared" si="4"/>
        <v>#REF!</v>
      </c>
      <c r="W23" t="e">
        <f t="shared" si="5"/>
        <v>#REF!</v>
      </c>
      <c r="X23" t="e">
        <f t="shared" si="6"/>
        <v>#REF!</v>
      </c>
      <c r="Y23" t="e">
        <f t="shared" si="7"/>
        <v>#REF!</v>
      </c>
      <c r="Z23" t="e">
        <f t="shared" si="8"/>
        <v>#REF!</v>
      </c>
      <c r="AA23" t="e">
        <f t="shared" si="9"/>
        <v>#REF!</v>
      </c>
      <c r="AB23" t="e">
        <f t="shared" si="10"/>
        <v>#REF!</v>
      </c>
    </row>
    <row r="24" spans="1:28" x14ac:dyDescent="0.25">
      <c r="A24" s="7" t="s">
        <v>21</v>
      </c>
      <c r="B24" s="17" t="e">
        <f>SUM(ENERO!B24+FEBRERO!B24+MARZO!B24+ABRIL!B24+MAYO!B24+#REF!+#REF!+#REF!+#REF!+#REF!+#REF!+#REF!)</f>
        <v>#REF!</v>
      </c>
      <c r="C24" s="17" t="e">
        <f>SUM(ENERO!C24+FEBRERO!C24+MARZO!C24+ABRIL!C24+MAYO!C24+#REF!+#REF!+#REF!+#REF!+#REF!+#REF!+#REF!)</f>
        <v>#REF!</v>
      </c>
      <c r="D24" s="17" t="e">
        <f>SUM(ENERO!D24+FEBRERO!D24+MARZO!D24+ABRIL!D24+MAYO!D24+#REF!+#REF!+#REF!+#REF!+#REF!+#REF!+#REF!)</f>
        <v>#REF!</v>
      </c>
      <c r="E24" s="17" t="e">
        <f>SUM(ENERO!E24+FEBRERO!E24+MARZO!E24+ABRIL!E24+MAYO!E24+#REF!+#REF!+#REF!+#REF!+#REF!+#REF!+#REF!)</f>
        <v>#REF!</v>
      </c>
      <c r="F24" s="17" t="e">
        <f>SUM(ENERO!F24+FEBRERO!F24+MARZO!F24+ABRIL!F24+MAYO!F24+#REF!+#REF!+#REF!+#REF!+#REF!+#REF!+#REF!)</f>
        <v>#REF!</v>
      </c>
      <c r="G24" s="17" t="e">
        <f>SUM(ENERO!G24+FEBRERO!G24+MARZO!G24+ABRIL!G24+MAYO!G24+#REF!+#REF!+#REF!+#REF!+#REF!+#REF!+#REF!)</f>
        <v>#REF!</v>
      </c>
      <c r="H24" s="12" t="e">
        <f t="shared" si="11"/>
        <v>#REF!</v>
      </c>
      <c r="I24" s="130">
        <v>2.91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4"/>
      <c r="U24" s="1"/>
      <c r="V24" t="e">
        <f t="shared" si="4"/>
        <v>#REF!</v>
      </c>
      <c r="W24" t="e">
        <f t="shared" si="5"/>
        <v>#REF!</v>
      </c>
      <c r="X24" t="e">
        <f t="shared" si="6"/>
        <v>#REF!</v>
      </c>
      <c r="Y24" t="e">
        <f t="shared" si="7"/>
        <v>#REF!</v>
      </c>
      <c r="Z24" t="e">
        <f t="shared" si="8"/>
        <v>#REF!</v>
      </c>
      <c r="AA24" t="e">
        <f t="shared" si="9"/>
        <v>#REF!</v>
      </c>
      <c r="AB24" t="e">
        <f t="shared" si="10"/>
        <v>#REF!</v>
      </c>
    </row>
    <row r="25" spans="1:28" ht="15.75" thickBot="1" x14ac:dyDescent="0.3">
      <c r="A25" s="7" t="s">
        <v>24</v>
      </c>
      <c r="B25" s="17" t="e">
        <f>SUM(ENERO!B25+FEBRERO!B25+MARZO!B25+ABRIL!B25+MAYO!B25+#REF!+#REF!+#REF!+#REF!+#REF!+#REF!+#REF!)</f>
        <v>#REF!</v>
      </c>
      <c r="C25" s="17" t="e">
        <f>SUM(ENERO!C25+FEBRERO!C25+MARZO!C25+ABRIL!C25+MAYO!C25+#REF!+#REF!+#REF!+#REF!+#REF!+#REF!+#REF!)</f>
        <v>#REF!</v>
      </c>
      <c r="D25" s="17" t="e">
        <f>SUM(ENERO!D25+FEBRERO!D25+MARZO!D25+ABRIL!D25+MAYO!D25+#REF!+#REF!+#REF!+#REF!+#REF!+#REF!+#REF!)</f>
        <v>#REF!</v>
      </c>
      <c r="E25" s="17" t="e">
        <f>SUM(ENERO!E25+FEBRERO!E25+MARZO!E25+ABRIL!E25+MAYO!E25+#REF!+#REF!+#REF!+#REF!+#REF!+#REF!+#REF!)</f>
        <v>#REF!</v>
      </c>
      <c r="F25" s="17" t="e">
        <f>SUM(ENERO!F25+FEBRERO!F25+MARZO!F25+ABRIL!F25+MAYO!F25+#REF!+#REF!+#REF!+#REF!+#REF!+#REF!+#REF!)</f>
        <v>#REF!</v>
      </c>
      <c r="G25" s="17" t="e">
        <f>SUM(ENERO!G25+FEBRERO!G25+MARZO!G25+ABRIL!G25+MAYO!G25+#REF!+#REF!+#REF!+#REF!+#REF!+#REF!+#REF!)</f>
        <v>#REF!</v>
      </c>
      <c r="H25" s="12" t="e">
        <f t="shared" si="11"/>
        <v>#REF!</v>
      </c>
      <c r="I25" s="130">
        <v>3.32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4"/>
      <c r="U25" s="1"/>
      <c r="V25" t="e">
        <f t="shared" si="4"/>
        <v>#REF!</v>
      </c>
      <c r="W25" t="e">
        <f t="shared" si="5"/>
        <v>#REF!</v>
      </c>
      <c r="X25" t="e">
        <f t="shared" si="6"/>
        <v>#REF!</v>
      </c>
      <c r="Y25" t="e">
        <f t="shared" si="7"/>
        <v>#REF!</v>
      </c>
      <c r="Z25" t="e">
        <f t="shared" si="8"/>
        <v>#REF!</v>
      </c>
      <c r="AA25" t="e">
        <f t="shared" si="9"/>
        <v>#REF!</v>
      </c>
      <c r="AB25" t="e">
        <f t="shared" si="10"/>
        <v>#REF!</v>
      </c>
    </row>
    <row r="26" spans="1:28" x14ac:dyDescent="0.25">
      <c r="A26" s="7" t="s">
        <v>79</v>
      </c>
      <c r="B26" s="17" t="e">
        <f>SUM(ENERO!B26+FEBRERO!B26+MARZO!B26+ABRIL!B26+MAYO!B26+#REF!+#REF!+#REF!+#REF!+#REF!+#REF!+#REF!)</f>
        <v>#REF!</v>
      </c>
      <c r="C26" s="17" t="e">
        <f>SUM(ENERO!C26+FEBRERO!C26+MARZO!C26+ABRIL!C26+MAYO!C26+#REF!+#REF!+#REF!+#REF!+#REF!+#REF!+#REF!)</f>
        <v>#REF!</v>
      </c>
      <c r="D26" s="17" t="e">
        <f>SUM(ENERO!D26+FEBRERO!D26+MARZO!D26+ABRIL!D26+MAYO!D26+#REF!+#REF!+#REF!+#REF!+#REF!+#REF!+#REF!)</f>
        <v>#REF!</v>
      </c>
      <c r="E26" s="17" t="e">
        <f>SUM(ENERO!E26+FEBRERO!E26+MARZO!E26+ABRIL!E26+MAYO!E26+#REF!+#REF!+#REF!+#REF!+#REF!+#REF!+#REF!)</f>
        <v>#REF!</v>
      </c>
      <c r="F26" s="17" t="e">
        <f>SUM(ENERO!F26+FEBRERO!F26+MARZO!F26+ABRIL!F26+MAYO!F26+#REF!+#REF!+#REF!+#REF!+#REF!+#REF!+#REF!)</f>
        <v>#REF!</v>
      </c>
      <c r="G26" s="17" t="e">
        <f>SUM(ENERO!G26+FEBRERO!G26+MARZO!G26+ABRIL!G26+MAYO!G26+#REF!+#REF!+#REF!+#REF!+#REF!+#REF!+#REF!)</f>
        <v>#REF!</v>
      </c>
      <c r="H26" s="12" t="e">
        <f t="shared" si="11"/>
        <v>#REF!</v>
      </c>
      <c r="I26" s="130">
        <v>1.85</v>
      </c>
      <c r="J26" s="1"/>
      <c r="K26" s="151" t="s">
        <v>169</v>
      </c>
      <c r="L26" s="153" t="s">
        <v>11</v>
      </c>
      <c r="M26" s="153"/>
      <c r="N26" s="153"/>
      <c r="O26" s="153"/>
      <c r="P26" s="153"/>
      <c r="Q26" s="153"/>
      <c r="R26" s="154"/>
      <c r="S26" s="126"/>
      <c r="T26" s="4"/>
      <c r="U26" s="1"/>
      <c r="V26" t="e">
        <f t="shared" si="4"/>
        <v>#REF!</v>
      </c>
      <c r="W26" t="e">
        <f t="shared" si="5"/>
        <v>#REF!</v>
      </c>
      <c r="X26" t="e">
        <f t="shared" si="6"/>
        <v>#REF!</v>
      </c>
      <c r="Y26" t="e">
        <f t="shared" si="7"/>
        <v>#REF!</v>
      </c>
      <c r="Z26" t="e">
        <f t="shared" si="8"/>
        <v>#REF!</v>
      </c>
      <c r="AA26" t="e">
        <f t="shared" si="9"/>
        <v>#REF!</v>
      </c>
      <c r="AB26" t="e">
        <f t="shared" si="10"/>
        <v>#REF!</v>
      </c>
    </row>
    <row r="27" spans="1:28" x14ac:dyDescent="0.25">
      <c r="A27" s="7" t="s">
        <v>75</v>
      </c>
      <c r="B27" s="17" t="e">
        <f>SUM(ENERO!B27+FEBRERO!B27+MARZO!B27+ABRIL!B27+MAYO!B27+#REF!+#REF!+#REF!+#REF!+#REF!+#REF!+#REF!)</f>
        <v>#REF!</v>
      </c>
      <c r="C27" s="17" t="e">
        <f>SUM(ENERO!C27+FEBRERO!C27+MARZO!C27+ABRIL!C27+MAYO!C27+#REF!+#REF!+#REF!+#REF!+#REF!+#REF!+#REF!)</f>
        <v>#REF!</v>
      </c>
      <c r="D27" s="17" t="e">
        <f>SUM(ENERO!D27+FEBRERO!D27+MARZO!D27+ABRIL!D27+MAYO!D27+#REF!+#REF!+#REF!+#REF!+#REF!+#REF!+#REF!)</f>
        <v>#REF!</v>
      </c>
      <c r="E27" s="17" t="e">
        <f>SUM(ENERO!E27+FEBRERO!E27+MARZO!E27+ABRIL!E27+MAYO!E27+#REF!+#REF!+#REF!+#REF!+#REF!+#REF!+#REF!)</f>
        <v>#REF!</v>
      </c>
      <c r="F27" s="17" t="e">
        <f>SUM(ENERO!F27+FEBRERO!F27+MARZO!F27+ABRIL!F27+MAYO!F27+#REF!+#REF!+#REF!+#REF!+#REF!+#REF!+#REF!)</f>
        <v>#REF!</v>
      </c>
      <c r="G27" s="17" t="e">
        <f>SUM(ENERO!G27+FEBRERO!G27+MARZO!G27+ABRIL!G27+MAYO!G27+#REF!+#REF!+#REF!+#REF!+#REF!+#REF!+#REF!)</f>
        <v>#REF!</v>
      </c>
      <c r="H27" s="12" t="e">
        <f t="shared" si="11"/>
        <v>#REF!</v>
      </c>
      <c r="I27" s="130">
        <v>1.85</v>
      </c>
      <c r="J27" s="1"/>
      <c r="K27" s="152"/>
      <c r="L27" s="30" t="s">
        <v>8</v>
      </c>
      <c r="M27" s="30" t="s">
        <v>9</v>
      </c>
      <c r="N27" s="30" t="s">
        <v>176</v>
      </c>
      <c r="O27" s="30" t="s">
        <v>154</v>
      </c>
      <c r="P27" s="30" t="s">
        <v>155</v>
      </c>
      <c r="Q27" s="60" t="s">
        <v>147</v>
      </c>
      <c r="R27" s="54" t="s">
        <v>11</v>
      </c>
      <c r="S27" s="126"/>
      <c r="T27" s="4"/>
      <c r="U27" s="1"/>
      <c r="V27" t="e">
        <f t="shared" si="4"/>
        <v>#REF!</v>
      </c>
      <c r="W27" t="e">
        <f t="shared" si="5"/>
        <v>#REF!</v>
      </c>
      <c r="X27" t="e">
        <f t="shared" si="6"/>
        <v>#REF!</v>
      </c>
      <c r="Y27" t="e">
        <f t="shared" si="7"/>
        <v>#REF!</v>
      </c>
      <c r="Z27" t="e">
        <f t="shared" si="8"/>
        <v>#REF!</v>
      </c>
      <c r="AA27" t="e">
        <f t="shared" si="9"/>
        <v>#REF!</v>
      </c>
      <c r="AB27" t="e">
        <f t="shared" si="10"/>
        <v>#REF!</v>
      </c>
    </row>
    <row r="28" spans="1:28" x14ac:dyDescent="0.25">
      <c r="A28" s="7" t="s">
        <v>76</v>
      </c>
      <c r="B28" s="17" t="e">
        <f>SUM(ENERO!B28+FEBRERO!B28+MARZO!B28+ABRIL!B28+MAYO!B28+#REF!+#REF!+#REF!+#REF!+#REF!+#REF!+#REF!)</f>
        <v>#REF!</v>
      </c>
      <c r="C28" s="17" t="e">
        <f>SUM(ENERO!C28+FEBRERO!C28+MARZO!C28+ABRIL!C28+MAYO!C28+#REF!+#REF!+#REF!+#REF!+#REF!+#REF!+#REF!)</f>
        <v>#REF!</v>
      </c>
      <c r="D28" s="17" t="e">
        <f>SUM(ENERO!D28+FEBRERO!D28+MARZO!D28+ABRIL!D28+MAYO!D28+#REF!+#REF!+#REF!+#REF!+#REF!+#REF!+#REF!)</f>
        <v>#REF!</v>
      </c>
      <c r="E28" s="17" t="e">
        <f>SUM(ENERO!E28+FEBRERO!E28+MARZO!E28+ABRIL!E28+MAYO!E28+#REF!+#REF!+#REF!+#REF!+#REF!+#REF!+#REF!)</f>
        <v>#REF!</v>
      </c>
      <c r="F28" s="17" t="e">
        <f>SUM(ENERO!F28+FEBRERO!F28+MARZO!F28+ABRIL!F28+MAYO!F28+#REF!+#REF!+#REF!+#REF!+#REF!+#REF!+#REF!)</f>
        <v>#REF!</v>
      </c>
      <c r="G28" s="17" t="e">
        <f>SUM(ENERO!G28+FEBRERO!G28+MARZO!G28+ABRIL!G28+MAYO!G28+#REF!+#REF!+#REF!+#REF!+#REF!+#REF!+#REF!)</f>
        <v>#REF!</v>
      </c>
      <c r="H28" s="12" t="e">
        <f t="shared" si="11"/>
        <v>#REF!</v>
      </c>
      <c r="I28" s="130">
        <v>2.66</v>
      </c>
      <c r="J28" s="1"/>
      <c r="K28" s="79" t="s">
        <v>146</v>
      </c>
      <c r="L28" s="74" t="e">
        <f t="shared" ref="L28:Q28" si="12">SUM(L29:L37)</f>
        <v>#REF!</v>
      </c>
      <c r="M28" s="74" t="e">
        <f t="shared" si="12"/>
        <v>#REF!</v>
      </c>
      <c r="N28" s="74" t="e">
        <f t="shared" si="12"/>
        <v>#REF!</v>
      </c>
      <c r="O28" s="74" t="e">
        <f t="shared" si="12"/>
        <v>#REF!</v>
      </c>
      <c r="P28" s="74" t="e">
        <f t="shared" si="12"/>
        <v>#REF!</v>
      </c>
      <c r="Q28" s="74" t="e">
        <f t="shared" si="12"/>
        <v>#REF!</v>
      </c>
      <c r="R28" s="80" t="e">
        <f>SUM(L28:Q28)</f>
        <v>#REF!</v>
      </c>
      <c r="S28" s="129"/>
      <c r="T28" s="4"/>
      <c r="U28" s="1"/>
      <c r="V28" t="e">
        <f t="shared" si="4"/>
        <v>#REF!</v>
      </c>
      <c r="W28" t="e">
        <f t="shared" si="5"/>
        <v>#REF!</v>
      </c>
      <c r="X28" t="e">
        <f t="shared" si="6"/>
        <v>#REF!</v>
      </c>
      <c r="Y28" t="e">
        <f t="shared" si="7"/>
        <v>#REF!</v>
      </c>
      <c r="Z28" t="e">
        <f t="shared" si="8"/>
        <v>#REF!</v>
      </c>
      <c r="AA28" t="e">
        <f t="shared" si="9"/>
        <v>#REF!</v>
      </c>
      <c r="AB28" t="e">
        <f t="shared" si="10"/>
        <v>#REF!</v>
      </c>
    </row>
    <row r="29" spans="1:28" x14ac:dyDescent="0.25">
      <c r="A29" s="7" t="s">
        <v>74</v>
      </c>
      <c r="B29" s="17" t="e">
        <f>SUM(ENERO!B29+FEBRERO!B29+MARZO!B29+ABRIL!B29+MAYO!B29+#REF!+#REF!+#REF!+#REF!+#REF!+#REF!+#REF!)</f>
        <v>#REF!</v>
      </c>
      <c r="C29" s="17" t="e">
        <f>SUM(ENERO!C29+FEBRERO!C29+MARZO!C29+ABRIL!C29+MAYO!C29+#REF!+#REF!+#REF!+#REF!+#REF!+#REF!+#REF!)</f>
        <v>#REF!</v>
      </c>
      <c r="D29" s="17" t="e">
        <f>SUM(ENERO!D29+FEBRERO!D29+MARZO!D29+ABRIL!D29+MAYO!D29+#REF!+#REF!+#REF!+#REF!+#REF!+#REF!+#REF!)</f>
        <v>#REF!</v>
      </c>
      <c r="E29" s="17" t="e">
        <f>SUM(ENERO!E29+FEBRERO!E29+MARZO!E29+ABRIL!E29+MAYO!E29+#REF!+#REF!+#REF!+#REF!+#REF!+#REF!+#REF!)</f>
        <v>#REF!</v>
      </c>
      <c r="F29" s="17" t="e">
        <f>SUM(ENERO!F29+FEBRERO!F29+MARZO!F29+ABRIL!F29+MAYO!F29+#REF!+#REF!+#REF!+#REF!+#REF!+#REF!+#REF!)</f>
        <v>#REF!</v>
      </c>
      <c r="G29" s="17" t="e">
        <f>SUM(ENERO!G29+FEBRERO!G29+MARZO!G29+ABRIL!G29+MAYO!G29+#REF!+#REF!+#REF!+#REF!+#REF!+#REF!+#REF!)</f>
        <v>#REF!</v>
      </c>
      <c r="H29" s="12" t="e">
        <f t="shared" si="11"/>
        <v>#REF!</v>
      </c>
      <c r="I29" s="130">
        <v>3.23</v>
      </c>
      <c r="J29" s="1"/>
      <c r="K29" s="45" t="s">
        <v>64</v>
      </c>
      <c r="L29" s="68" t="e">
        <f>SUM(ENERO!K29+FEBRERO!K29+MARZO!K29+ABRIL!K29+MAYO!K29+#REF!+#REF!+#REF!+#REF!+#REF!+#REF!+#REF!)</f>
        <v>#REF!</v>
      </c>
      <c r="M29" s="68" t="e">
        <f>SUM(ENERO!L29+FEBRERO!L29+MARZO!L29+ABRIL!L29+MAYO!L29+#REF!+#REF!+#REF!+#REF!+#REF!+#REF!+#REF!)</f>
        <v>#REF!</v>
      </c>
      <c r="N29" s="68" t="e">
        <f>SUM(ENERO!M29+FEBRERO!M29+MARZO!M29+ABRIL!M29+MAYO!M29+#REF!+#REF!+#REF!+#REF!+#REF!+#REF!+#REF!)</f>
        <v>#REF!</v>
      </c>
      <c r="O29" s="68" t="e">
        <f>SUM(ENERO!N29+FEBRERO!N29+MARZO!N29+ABRIL!N29+MAYO!N29+#REF!+#REF!+#REF!+#REF!+#REF!+#REF!+#REF!)</f>
        <v>#REF!</v>
      </c>
      <c r="P29" s="68" t="e">
        <f>SUM(ENERO!O29+FEBRERO!O29+MARZO!O29+ABRIL!O29+MAYO!O29+#REF!+#REF!+#REF!+#REF!+#REF!+#REF!+#REF!)</f>
        <v>#REF!</v>
      </c>
      <c r="Q29" s="68" t="e">
        <f>SUM(ENERO!P29+FEBRERO!P29+MARZO!P29+ABRIL!P29+MAYO!P29+#REF!+#REF!+#REF!+#REF!+#REF!+#REF!+#REF!)</f>
        <v>#REF!</v>
      </c>
      <c r="R29" s="40" t="e">
        <f>SUM(L29:Q29)</f>
        <v>#REF!</v>
      </c>
      <c r="S29" s="130"/>
      <c r="T29" s="4"/>
      <c r="U29" s="1"/>
      <c r="V29" t="e">
        <f t="shared" si="4"/>
        <v>#REF!</v>
      </c>
      <c r="W29" t="e">
        <f t="shared" si="5"/>
        <v>#REF!</v>
      </c>
      <c r="X29" t="e">
        <f t="shared" si="6"/>
        <v>#REF!</v>
      </c>
      <c r="Y29" t="e">
        <f t="shared" si="7"/>
        <v>#REF!</v>
      </c>
      <c r="Z29" t="e">
        <f t="shared" si="8"/>
        <v>#REF!</v>
      </c>
      <c r="AA29" t="e">
        <f t="shared" si="9"/>
        <v>#REF!</v>
      </c>
      <c r="AB29" t="e">
        <f t="shared" si="10"/>
        <v>#REF!</v>
      </c>
    </row>
    <row r="30" spans="1:28" x14ac:dyDescent="0.25">
      <c r="A30" s="7" t="s">
        <v>22</v>
      </c>
      <c r="B30" s="17" t="e">
        <f>SUM(ENERO!B30+FEBRERO!B30+MARZO!B30+ABRIL!B30+MAYO!B30+#REF!+#REF!+#REF!+#REF!+#REF!+#REF!+#REF!)</f>
        <v>#REF!</v>
      </c>
      <c r="C30" s="17" t="e">
        <f>SUM(ENERO!C30+FEBRERO!C30+MARZO!C30+ABRIL!C30+MAYO!C30+#REF!+#REF!+#REF!+#REF!+#REF!+#REF!+#REF!)</f>
        <v>#REF!</v>
      </c>
      <c r="D30" s="17" t="e">
        <f>SUM(ENERO!D30+FEBRERO!D30+MARZO!D30+ABRIL!D30+MAYO!D30+#REF!+#REF!+#REF!+#REF!+#REF!+#REF!+#REF!)</f>
        <v>#REF!</v>
      </c>
      <c r="E30" s="17" t="e">
        <f>SUM(ENERO!E30+FEBRERO!E30+MARZO!E30+ABRIL!E30+MAYO!E30+#REF!+#REF!+#REF!+#REF!+#REF!+#REF!+#REF!)</f>
        <v>#REF!</v>
      </c>
      <c r="F30" s="17" t="e">
        <f>SUM(ENERO!F30+FEBRERO!F30+MARZO!F30+ABRIL!F30+MAYO!F30+#REF!+#REF!+#REF!+#REF!+#REF!+#REF!+#REF!)</f>
        <v>#REF!</v>
      </c>
      <c r="G30" s="17" t="e">
        <f>SUM(ENERO!G30+FEBRERO!G30+MARZO!G30+ABRIL!G30+MAYO!G30+#REF!+#REF!+#REF!+#REF!+#REF!+#REF!+#REF!)</f>
        <v>#REF!</v>
      </c>
      <c r="H30" s="12" t="e">
        <f t="shared" si="11"/>
        <v>#REF!</v>
      </c>
      <c r="I30" s="130">
        <v>1.83</v>
      </c>
      <c r="J30" s="1"/>
      <c r="K30" s="45" t="s">
        <v>170</v>
      </c>
      <c r="L30" s="68" t="e">
        <f>SUM(ENERO!K30+FEBRERO!K30+MARZO!K30+ABRIL!K30+MAYO!K30+#REF!+#REF!+#REF!+#REF!+#REF!+#REF!+#REF!)</f>
        <v>#REF!</v>
      </c>
      <c r="M30" s="68" t="e">
        <f>SUM(ENERO!L30+FEBRERO!L30+MARZO!L30+ABRIL!L30+MAYO!L30+#REF!+#REF!+#REF!+#REF!+#REF!+#REF!+#REF!)</f>
        <v>#REF!</v>
      </c>
      <c r="N30" s="68" t="e">
        <f>SUM(ENERO!M30+FEBRERO!M30+MARZO!M30+ABRIL!M30+MAYO!M30+#REF!+#REF!+#REF!+#REF!+#REF!+#REF!+#REF!)</f>
        <v>#REF!</v>
      </c>
      <c r="O30" s="68" t="e">
        <f>SUM(ENERO!N30+FEBRERO!N30+MARZO!N30+ABRIL!N30+MAYO!N30+#REF!+#REF!+#REF!+#REF!+#REF!+#REF!+#REF!)</f>
        <v>#REF!</v>
      </c>
      <c r="P30" s="68" t="e">
        <f>SUM(ENERO!O30+FEBRERO!O30+MARZO!O30+ABRIL!O30+MAYO!O30+#REF!+#REF!+#REF!+#REF!+#REF!+#REF!+#REF!)</f>
        <v>#REF!</v>
      </c>
      <c r="Q30" s="68" t="e">
        <f>SUM(ENERO!P30+FEBRERO!P30+MARZO!P30+ABRIL!P30+MAYO!P30+#REF!+#REF!+#REF!+#REF!+#REF!+#REF!+#REF!)</f>
        <v>#REF!</v>
      </c>
      <c r="R30" s="40" t="e">
        <f>SUM(L30:Q30)</f>
        <v>#REF!</v>
      </c>
      <c r="S30" s="130"/>
      <c r="T30" s="4"/>
      <c r="U30" s="1"/>
      <c r="V30" t="e">
        <f t="shared" si="4"/>
        <v>#REF!</v>
      </c>
      <c r="W30" t="e">
        <f t="shared" si="5"/>
        <v>#REF!</v>
      </c>
      <c r="X30" t="e">
        <f t="shared" si="6"/>
        <v>#REF!</v>
      </c>
      <c r="Y30" t="e">
        <f t="shared" si="7"/>
        <v>#REF!</v>
      </c>
      <c r="Z30" t="e">
        <f t="shared" si="8"/>
        <v>#REF!</v>
      </c>
      <c r="AA30" t="e">
        <f t="shared" si="9"/>
        <v>#REF!</v>
      </c>
      <c r="AB30" t="e">
        <f t="shared" si="10"/>
        <v>#REF!</v>
      </c>
    </row>
    <row r="31" spans="1:28" x14ac:dyDescent="0.25">
      <c r="A31" s="7" t="s">
        <v>23</v>
      </c>
      <c r="B31" s="17" t="e">
        <f>SUM(ENERO!B31+FEBRERO!B31+MARZO!B31+ABRIL!B31+MAYO!B31+#REF!+#REF!+#REF!+#REF!+#REF!+#REF!+#REF!)</f>
        <v>#REF!</v>
      </c>
      <c r="C31" s="17" t="e">
        <f>SUM(ENERO!C31+FEBRERO!C31+MARZO!C31+ABRIL!C31+MAYO!C31+#REF!+#REF!+#REF!+#REF!+#REF!+#REF!+#REF!)</f>
        <v>#REF!</v>
      </c>
      <c r="D31" s="17" t="e">
        <f>SUM(ENERO!D31+FEBRERO!D31+MARZO!D31+ABRIL!D31+MAYO!D31+#REF!+#REF!+#REF!+#REF!+#REF!+#REF!+#REF!)</f>
        <v>#REF!</v>
      </c>
      <c r="E31" s="17" t="e">
        <f>SUM(ENERO!E31+FEBRERO!E31+MARZO!E31+ABRIL!E31+MAYO!E31+#REF!+#REF!+#REF!+#REF!+#REF!+#REF!+#REF!)</f>
        <v>#REF!</v>
      </c>
      <c r="F31" s="17" t="e">
        <f>SUM(ENERO!F31+FEBRERO!F31+MARZO!F31+ABRIL!F31+MAYO!F31+#REF!+#REF!+#REF!+#REF!+#REF!+#REF!+#REF!)</f>
        <v>#REF!</v>
      </c>
      <c r="G31" s="17" t="e">
        <f>SUM(ENERO!G31+FEBRERO!G31+MARZO!G31+ABRIL!G31+MAYO!G31+#REF!+#REF!+#REF!+#REF!+#REF!+#REF!+#REF!)</f>
        <v>#REF!</v>
      </c>
      <c r="H31" s="12" t="e">
        <f t="shared" si="11"/>
        <v>#REF!</v>
      </c>
      <c r="I31" s="130">
        <v>1.84</v>
      </c>
      <c r="J31" s="1"/>
      <c r="K31" s="45" t="s">
        <v>171</v>
      </c>
      <c r="L31" s="68" t="e">
        <f>SUM(ENERO!K31+FEBRERO!K31+MARZO!K31+ABRIL!K31+MAYO!K31+#REF!+#REF!+#REF!+#REF!+#REF!+#REF!+#REF!)</f>
        <v>#REF!</v>
      </c>
      <c r="M31" s="68" t="e">
        <f>SUM(ENERO!L31+FEBRERO!L31+MARZO!L31+ABRIL!L31+MAYO!L31+#REF!+#REF!+#REF!+#REF!+#REF!+#REF!+#REF!)</f>
        <v>#REF!</v>
      </c>
      <c r="N31" s="68" t="e">
        <f>SUM(ENERO!M31+FEBRERO!M31+MARZO!M31+ABRIL!M31+MAYO!M31+#REF!+#REF!+#REF!+#REF!+#REF!+#REF!+#REF!)</f>
        <v>#REF!</v>
      </c>
      <c r="O31" s="68" t="e">
        <f>SUM(ENERO!N31+FEBRERO!N31+MARZO!N31+ABRIL!N31+MAYO!N31+#REF!+#REF!+#REF!+#REF!+#REF!+#REF!+#REF!)</f>
        <v>#REF!</v>
      </c>
      <c r="P31" s="68" t="e">
        <f>SUM(ENERO!O31+FEBRERO!O31+MARZO!O31+ABRIL!O31+MAYO!O31+#REF!+#REF!+#REF!+#REF!+#REF!+#REF!+#REF!)</f>
        <v>#REF!</v>
      </c>
      <c r="Q31" s="68" t="e">
        <f>SUM(ENERO!P31+FEBRERO!P31+MARZO!P31+ABRIL!P31+MAYO!P31+#REF!+#REF!+#REF!+#REF!+#REF!+#REF!+#REF!)</f>
        <v>#REF!</v>
      </c>
      <c r="R31" s="40" t="e">
        <f>SUM(L31:Q31)</f>
        <v>#REF!</v>
      </c>
      <c r="S31" s="130"/>
      <c r="T31" s="4"/>
      <c r="U31" s="1"/>
      <c r="V31" t="e">
        <f t="shared" si="4"/>
        <v>#REF!</v>
      </c>
      <c r="W31" t="e">
        <f t="shared" si="5"/>
        <v>#REF!</v>
      </c>
      <c r="X31" t="e">
        <f t="shared" si="6"/>
        <v>#REF!</v>
      </c>
      <c r="Y31" t="e">
        <f t="shared" si="7"/>
        <v>#REF!</v>
      </c>
      <c r="Z31" t="e">
        <f t="shared" si="8"/>
        <v>#REF!</v>
      </c>
      <c r="AA31" t="e">
        <f t="shared" si="9"/>
        <v>#REF!</v>
      </c>
      <c r="AB31" t="e">
        <f t="shared" si="10"/>
        <v>#REF!</v>
      </c>
    </row>
    <row r="32" spans="1:28" x14ac:dyDescent="0.25">
      <c r="A32" s="7" t="s">
        <v>202</v>
      </c>
      <c r="B32" s="17" t="e">
        <f>SUM(ENERO!B32+FEBRERO!B32+MARZO!B32+ABRIL!B32+MAYO!B32+#REF!+#REF!+#REF!+#REF!+#REF!+#REF!+#REF!)</f>
        <v>#REF!</v>
      </c>
      <c r="C32" s="17" t="e">
        <f>SUM(ENERO!C32+FEBRERO!C32+MARZO!C32+ABRIL!C32+MAYO!C32+#REF!+#REF!+#REF!+#REF!+#REF!+#REF!+#REF!)</f>
        <v>#REF!</v>
      </c>
      <c r="D32" s="17" t="e">
        <f>SUM(ENERO!D32+FEBRERO!D32+MARZO!D32+ABRIL!D32+MAYO!D32+#REF!+#REF!+#REF!+#REF!+#REF!+#REF!+#REF!)</f>
        <v>#REF!</v>
      </c>
      <c r="E32" s="17" t="e">
        <f>SUM(ENERO!E32+FEBRERO!E32+MARZO!E32+ABRIL!E32+MAYO!E32+#REF!+#REF!+#REF!+#REF!+#REF!+#REF!+#REF!)</f>
        <v>#REF!</v>
      </c>
      <c r="F32" s="17" t="e">
        <f>SUM(ENERO!F32+FEBRERO!F32+MARZO!F32+ABRIL!F32+MAYO!F32+#REF!+#REF!+#REF!+#REF!+#REF!+#REF!+#REF!)</f>
        <v>#REF!</v>
      </c>
      <c r="G32" s="17" t="e">
        <f>SUM(ENERO!G32+FEBRERO!G32+MARZO!G32+ABRIL!G32+MAYO!G32+#REF!+#REF!+#REF!+#REF!+#REF!+#REF!+#REF!)</f>
        <v>#REF!</v>
      </c>
      <c r="H32" s="12" t="e">
        <f t="shared" si="11"/>
        <v>#REF!</v>
      </c>
      <c r="I32" s="130">
        <v>4.55</v>
      </c>
      <c r="J32" s="1"/>
      <c r="K32" s="49" t="s">
        <v>65</v>
      </c>
      <c r="L32" s="68" t="e">
        <f>SUM(ENERO!K32+FEBRERO!K32+MARZO!K32+ABRIL!K32+MAYO!K32+#REF!+#REF!+#REF!+#REF!+#REF!+#REF!+#REF!)</f>
        <v>#REF!</v>
      </c>
      <c r="M32" s="68" t="e">
        <f>SUM(ENERO!L32+FEBRERO!L32+MARZO!L32+ABRIL!L32+MAYO!L32+#REF!+#REF!+#REF!+#REF!+#REF!+#REF!+#REF!)</f>
        <v>#REF!</v>
      </c>
      <c r="N32" s="68" t="e">
        <f>SUM(ENERO!M32+FEBRERO!M32+MARZO!M32+ABRIL!M32+MAYO!M32+#REF!+#REF!+#REF!+#REF!+#REF!+#REF!+#REF!)</f>
        <v>#REF!</v>
      </c>
      <c r="O32" s="68" t="e">
        <f>SUM(ENERO!N32+FEBRERO!N32+MARZO!N32+ABRIL!N32+MAYO!N32+#REF!+#REF!+#REF!+#REF!+#REF!+#REF!+#REF!)</f>
        <v>#REF!</v>
      </c>
      <c r="P32" s="68" t="e">
        <f>SUM(ENERO!O32+FEBRERO!O32+MARZO!O32+ABRIL!O32+MAYO!O32+#REF!+#REF!+#REF!+#REF!+#REF!+#REF!+#REF!)</f>
        <v>#REF!</v>
      </c>
      <c r="Q32" s="68" t="e">
        <f>SUM(ENERO!P32+FEBRERO!P32+MARZO!P32+ABRIL!P32+MAYO!P32+#REF!+#REF!+#REF!+#REF!+#REF!+#REF!+#REF!)</f>
        <v>#REF!</v>
      </c>
      <c r="R32" s="40" t="e">
        <f t="shared" ref="R32:R37" si="13">SUM(L32:Q32)</f>
        <v>#REF!</v>
      </c>
      <c r="S32" s="130"/>
      <c r="T32" s="4"/>
      <c r="U32" s="1"/>
      <c r="V32" t="e">
        <f t="shared" si="4"/>
        <v>#REF!</v>
      </c>
      <c r="W32" t="e">
        <f t="shared" si="5"/>
        <v>#REF!</v>
      </c>
      <c r="X32" t="e">
        <f t="shared" si="6"/>
        <v>#REF!</v>
      </c>
      <c r="Y32" t="e">
        <f t="shared" si="7"/>
        <v>#REF!</v>
      </c>
      <c r="Z32" t="e">
        <f t="shared" si="8"/>
        <v>#REF!</v>
      </c>
      <c r="AA32" t="e">
        <f t="shared" si="9"/>
        <v>#REF!</v>
      </c>
      <c r="AB32" t="e">
        <f t="shared" si="10"/>
        <v>#REF!</v>
      </c>
    </row>
    <row r="33" spans="1:28" x14ac:dyDescent="0.25">
      <c r="A33" s="7" t="s">
        <v>159</v>
      </c>
      <c r="B33" s="17" t="e">
        <f>SUM(ENERO!B33+FEBRERO!B33+MARZO!B33+ABRIL!B33+MAYO!B33+#REF!+#REF!+#REF!+#REF!+#REF!+#REF!+#REF!)</f>
        <v>#REF!</v>
      </c>
      <c r="C33" s="17" t="e">
        <f>SUM(ENERO!C33+FEBRERO!C33+MARZO!C33+ABRIL!C33+MAYO!C33+#REF!+#REF!+#REF!+#REF!+#REF!+#REF!+#REF!)</f>
        <v>#REF!</v>
      </c>
      <c r="D33" s="17" t="e">
        <f>SUM(ENERO!D33+FEBRERO!D33+MARZO!D33+ABRIL!D33+MAYO!D33+#REF!+#REF!+#REF!+#REF!+#REF!+#REF!+#REF!)</f>
        <v>#REF!</v>
      </c>
      <c r="E33" s="17" t="e">
        <f>SUM(ENERO!E33+FEBRERO!E33+MARZO!E33+ABRIL!E33+MAYO!E33+#REF!+#REF!+#REF!+#REF!+#REF!+#REF!+#REF!)</f>
        <v>#REF!</v>
      </c>
      <c r="F33" s="17" t="e">
        <f>SUM(ENERO!F33+FEBRERO!F33+MARZO!F33+ABRIL!F33+MAYO!F33+#REF!+#REF!+#REF!+#REF!+#REF!+#REF!+#REF!)</f>
        <v>#REF!</v>
      </c>
      <c r="G33" s="17" t="e">
        <f>SUM(ENERO!G33+FEBRERO!G33+MARZO!G33+ABRIL!G33+MAYO!G33+#REF!+#REF!+#REF!+#REF!+#REF!+#REF!+#REF!)</f>
        <v>#REF!</v>
      </c>
      <c r="H33" s="12" t="e">
        <f t="shared" si="11"/>
        <v>#REF!</v>
      </c>
      <c r="I33" s="130">
        <v>2.82</v>
      </c>
      <c r="J33" s="1"/>
      <c r="K33" s="50" t="s">
        <v>130</v>
      </c>
      <c r="L33" s="68" t="e">
        <f>SUM(ENERO!K33+FEBRERO!K33+MARZO!K33+ABRIL!K33+MAYO!K33+#REF!+#REF!+#REF!+#REF!+#REF!+#REF!+#REF!)</f>
        <v>#REF!</v>
      </c>
      <c r="M33" s="68" t="e">
        <f>SUM(ENERO!L33+FEBRERO!L33+MARZO!L33+ABRIL!L33+MAYO!L33+#REF!+#REF!+#REF!+#REF!+#REF!+#REF!+#REF!)</f>
        <v>#REF!</v>
      </c>
      <c r="N33" s="68" t="e">
        <f>SUM(ENERO!M33+FEBRERO!M33+MARZO!M33+ABRIL!M33+MAYO!M33+#REF!+#REF!+#REF!+#REF!+#REF!+#REF!+#REF!)</f>
        <v>#REF!</v>
      </c>
      <c r="O33" s="68" t="e">
        <f>SUM(ENERO!N33+FEBRERO!N33+MARZO!N33+ABRIL!N33+MAYO!N33+#REF!+#REF!+#REF!+#REF!+#REF!+#REF!+#REF!)</f>
        <v>#REF!</v>
      </c>
      <c r="P33" s="68" t="e">
        <f>SUM(ENERO!O33+FEBRERO!O33+MARZO!O33+ABRIL!O33+MAYO!O33+#REF!+#REF!+#REF!+#REF!+#REF!+#REF!+#REF!)</f>
        <v>#REF!</v>
      </c>
      <c r="Q33" s="68" t="e">
        <f>SUM(ENERO!P33+FEBRERO!P33+MARZO!P33+ABRIL!P33+MAYO!P33+#REF!+#REF!+#REF!+#REF!+#REF!+#REF!+#REF!)</f>
        <v>#REF!</v>
      </c>
      <c r="R33" s="40" t="e">
        <f t="shared" si="13"/>
        <v>#REF!</v>
      </c>
      <c r="S33" s="130"/>
      <c r="T33" s="4"/>
      <c r="U33" s="1"/>
      <c r="V33" t="e">
        <f t="shared" si="4"/>
        <v>#REF!</v>
      </c>
      <c r="W33" t="e">
        <f t="shared" si="5"/>
        <v>#REF!</v>
      </c>
      <c r="X33" t="e">
        <f t="shared" si="6"/>
        <v>#REF!</v>
      </c>
      <c r="Y33" t="e">
        <f t="shared" si="7"/>
        <v>#REF!</v>
      </c>
      <c r="Z33" t="e">
        <f t="shared" si="8"/>
        <v>#REF!</v>
      </c>
      <c r="AA33" t="e">
        <f t="shared" si="9"/>
        <v>#REF!</v>
      </c>
      <c r="AB33" t="e">
        <f t="shared" si="10"/>
        <v>#REF!</v>
      </c>
    </row>
    <row r="34" spans="1:28" x14ac:dyDescent="0.25">
      <c r="A34" s="7" t="s">
        <v>26</v>
      </c>
      <c r="B34" s="17" t="e">
        <f>SUM(ENERO!B34+FEBRERO!B34+MARZO!B34+ABRIL!B34+MAYO!B34+#REF!+#REF!+#REF!+#REF!+#REF!+#REF!+#REF!)</f>
        <v>#REF!</v>
      </c>
      <c r="C34" s="17" t="e">
        <f>SUM(ENERO!C34+FEBRERO!C34+MARZO!C34+ABRIL!C34+MAYO!C34+#REF!+#REF!+#REF!+#REF!+#REF!+#REF!+#REF!)</f>
        <v>#REF!</v>
      </c>
      <c r="D34" s="17" t="e">
        <f>SUM(ENERO!D34+FEBRERO!D34+MARZO!D34+ABRIL!D34+MAYO!D34+#REF!+#REF!+#REF!+#REF!+#REF!+#REF!+#REF!)</f>
        <v>#REF!</v>
      </c>
      <c r="E34" s="17" t="e">
        <f>SUM(ENERO!E34+FEBRERO!E34+MARZO!E34+ABRIL!E34+MAYO!E34+#REF!+#REF!+#REF!+#REF!+#REF!+#REF!+#REF!)</f>
        <v>#REF!</v>
      </c>
      <c r="F34" s="17" t="e">
        <f>SUM(ENERO!F34+FEBRERO!F34+MARZO!F34+ABRIL!F34+MAYO!F34+#REF!+#REF!+#REF!+#REF!+#REF!+#REF!+#REF!)</f>
        <v>#REF!</v>
      </c>
      <c r="G34" s="17" t="e">
        <f>SUM(ENERO!G34+FEBRERO!G34+MARZO!G34+ABRIL!G34+MAYO!G34+#REF!+#REF!+#REF!+#REF!+#REF!+#REF!+#REF!)</f>
        <v>#REF!</v>
      </c>
      <c r="H34" s="12" t="e">
        <f t="shared" si="11"/>
        <v>#REF!</v>
      </c>
      <c r="I34" s="130">
        <v>9.33</v>
      </c>
      <c r="J34" s="1"/>
      <c r="K34" s="67" t="s">
        <v>131</v>
      </c>
      <c r="L34" s="68" t="e">
        <f>SUM(ENERO!K34+FEBRERO!K34+MARZO!K34+ABRIL!K34+MAYO!K34+#REF!+#REF!+#REF!+#REF!+#REF!+#REF!+#REF!)</f>
        <v>#REF!</v>
      </c>
      <c r="M34" s="68" t="e">
        <f>SUM(ENERO!L34+FEBRERO!L34+MARZO!L34+ABRIL!L34+MAYO!L34+#REF!+#REF!+#REF!+#REF!+#REF!+#REF!+#REF!)</f>
        <v>#REF!</v>
      </c>
      <c r="N34" s="68" t="e">
        <f>SUM(ENERO!M34+FEBRERO!M34+MARZO!M34+ABRIL!M34+MAYO!M34+#REF!+#REF!+#REF!+#REF!+#REF!+#REF!+#REF!)</f>
        <v>#REF!</v>
      </c>
      <c r="O34" s="68" t="e">
        <f>SUM(ENERO!N34+FEBRERO!N34+MARZO!N34+ABRIL!N34+MAYO!N34+#REF!+#REF!+#REF!+#REF!+#REF!+#REF!+#REF!)</f>
        <v>#REF!</v>
      </c>
      <c r="P34" s="68" t="e">
        <f>SUM(ENERO!O34+FEBRERO!O34+MARZO!O34+ABRIL!O34+MAYO!O34+#REF!+#REF!+#REF!+#REF!+#REF!+#REF!+#REF!)</f>
        <v>#REF!</v>
      </c>
      <c r="Q34" s="68" t="e">
        <f>SUM(ENERO!P34+FEBRERO!P34+MARZO!P34+ABRIL!P34+MAYO!P34+#REF!+#REF!+#REF!+#REF!+#REF!+#REF!+#REF!)</f>
        <v>#REF!</v>
      </c>
      <c r="R34" s="40" t="e">
        <f t="shared" si="13"/>
        <v>#REF!</v>
      </c>
      <c r="S34" s="130"/>
      <c r="T34" s="4"/>
      <c r="U34" s="1"/>
      <c r="V34" t="e">
        <f t="shared" si="4"/>
        <v>#REF!</v>
      </c>
      <c r="W34" t="e">
        <f t="shared" si="5"/>
        <v>#REF!</v>
      </c>
      <c r="X34" t="e">
        <f t="shared" si="6"/>
        <v>#REF!</v>
      </c>
      <c r="Y34" t="e">
        <f t="shared" si="7"/>
        <v>#REF!</v>
      </c>
      <c r="Z34" t="e">
        <f t="shared" si="8"/>
        <v>#REF!</v>
      </c>
      <c r="AA34" t="e">
        <f t="shared" si="9"/>
        <v>#REF!</v>
      </c>
      <c r="AB34" t="e">
        <f t="shared" si="10"/>
        <v>#REF!</v>
      </c>
    </row>
    <row r="35" spans="1:28" x14ac:dyDescent="0.25">
      <c r="A35" s="7" t="s">
        <v>82</v>
      </c>
      <c r="B35" s="17" t="e">
        <f>SUM(ENERO!B35+FEBRERO!B35+MARZO!B35+ABRIL!B35+MAYO!B35+#REF!+#REF!+#REF!+#REF!+#REF!+#REF!+#REF!)</f>
        <v>#REF!</v>
      </c>
      <c r="C35" s="17" t="e">
        <f>SUM(ENERO!C35+FEBRERO!C35+MARZO!C35+ABRIL!C35+MAYO!C35+#REF!+#REF!+#REF!+#REF!+#REF!+#REF!+#REF!)</f>
        <v>#REF!</v>
      </c>
      <c r="D35" s="17" t="e">
        <f>SUM(ENERO!D35+FEBRERO!D35+MARZO!D35+ABRIL!D35+MAYO!D35+#REF!+#REF!+#REF!+#REF!+#REF!+#REF!+#REF!)</f>
        <v>#REF!</v>
      </c>
      <c r="E35" s="17" t="e">
        <f>SUM(ENERO!E35+FEBRERO!E35+MARZO!E35+ABRIL!E35+MAYO!E35+#REF!+#REF!+#REF!+#REF!+#REF!+#REF!+#REF!)</f>
        <v>#REF!</v>
      </c>
      <c r="F35" s="17" t="e">
        <f>SUM(ENERO!F35+FEBRERO!F35+MARZO!F35+ABRIL!F35+MAYO!F35+#REF!+#REF!+#REF!+#REF!+#REF!+#REF!+#REF!)</f>
        <v>#REF!</v>
      </c>
      <c r="G35" s="17" t="e">
        <f>SUM(ENERO!G35+FEBRERO!G35+MARZO!G35+ABRIL!G35+MAYO!G35+#REF!+#REF!+#REF!+#REF!+#REF!+#REF!+#REF!)</f>
        <v>#REF!</v>
      </c>
      <c r="H35" s="12" t="e">
        <f t="shared" si="11"/>
        <v>#REF!</v>
      </c>
      <c r="I35" s="130">
        <v>3.49</v>
      </c>
      <c r="J35" s="1"/>
      <c r="K35" s="67" t="s">
        <v>160</v>
      </c>
      <c r="L35" s="68" t="e">
        <f>SUM(ENERO!K35+FEBRERO!K35+MARZO!K35+ABRIL!K35+MAYO!K35+#REF!+#REF!+#REF!+#REF!+#REF!+#REF!+#REF!)</f>
        <v>#REF!</v>
      </c>
      <c r="M35" s="68" t="e">
        <f>SUM(ENERO!L35+FEBRERO!L35+MARZO!L35+ABRIL!L35+MAYO!L35+#REF!+#REF!+#REF!+#REF!+#REF!+#REF!+#REF!)</f>
        <v>#REF!</v>
      </c>
      <c r="N35" s="68" t="e">
        <f>SUM(ENERO!M35+FEBRERO!M35+MARZO!M35+ABRIL!M35+MAYO!M35+#REF!+#REF!+#REF!+#REF!+#REF!+#REF!+#REF!)</f>
        <v>#REF!</v>
      </c>
      <c r="O35" s="68" t="e">
        <f>SUM(ENERO!N35+FEBRERO!N35+MARZO!N35+ABRIL!N35+MAYO!N35+#REF!+#REF!+#REF!+#REF!+#REF!+#REF!+#REF!)</f>
        <v>#REF!</v>
      </c>
      <c r="P35" s="68" t="e">
        <f>SUM(ENERO!O35+FEBRERO!O35+MARZO!O35+ABRIL!O35+MAYO!O35+#REF!+#REF!+#REF!+#REF!+#REF!+#REF!+#REF!)</f>
        <v>#REF!</v>
      </c>
      <c r="Q35" s="68" t="e">
        <f>SUM(ENERO!P35+FEBRERO!P35+MARZO!P35+ABRIL!P35+MAYO!P35+#REF!+#REF!+#REF!+#REF!+#REF!+#REF!+#REF!)</f>
        <v>#REF!</v>
      </c>
      <c r="R35" s="40" t="e">
        <f t="shared" si="13"/>
        <v>#REF!</v>
      </c>
      <c r="S35" s="130"/>
      <c r="T35" s="4"/>
      <c r="U35" s="1"/>
      <c r="V35" t="e">
        <f t="shared" si="4"/>
        <v>#REF!</v>
      </c>
      <c r="W35" t="e">
        <f t="shared" si="5"/>
        <v>#REF!</v>
      </c>
      <c r="X35" t="e">
        <f t="shared" si="6"/>
        <v>#REF!</v>
      </c>
      <c r="Y35" t="e">
        <f t="shared" si="7"/>
        <v>#REF!</v>
      </c>
      <c r="Z35" t="e">
        <f t="shared" si="8"/>
        <v>#REF!</v>
      </c>
      <c r="AA35" t="e">
        <f t="shared" si="9"/>
        <v>#REF!</v>
      </c>
      <c r="AB35" t="e">
        <f t="shared" si="10"/>
        <v>#REF!</v>
      </c>
    </row>
    <row r="36" spans="1:28" x14ac:dyDescent="0.25">
      <c r="A36" s="7" t="s">
        <v>30</v>
      </c>
      <c r="B36" s="17" t="e">
        <f>SUM(ENERO!B36+FEBRERO!B36+MARZO!B36+ABRIL!B36+MAYO!B36+#REF!+#REF!+#REF!+#REF!+#REF!+#REF!+#REF!)</f>
        <v>#REF!</v>
      </c>
      <c r="C36" s="17" t="e">
        <f>SUM(ENERO!C36+FEBRERO!C36+MARZO!C36+ABRIL!C36+MAYO!C36+#REF!+#REF!+#REF!+#REF!+#REF!+#REF!+#REF!)</f>
        <v>#REF!</v>
      </c>
      <c r="D36" s="17" t="e">
        <f>SUM(ENERO!D36+FEBRERO!D36+MARZO!D36+ABRIL!D36+MAYO!D36+#REF!+#REF!+#REF!+#REF!+#REF!+#REF!+#REF!)</f>
        <v>#REF!</v>
      </c>
      <c r="E36" s="17" t="e">
        <f>SUM(ENERO!E36+FEBRERO!E36+MARZO!E36+ABRIL!E36+MAYO!E36+#REF!+#REF!+#REF!+#REF!+#REF!+#REF!+#REF!)</f>
        <v>#REF!</v>
      </c>
      <c r="F36" s="17" t="e">
        <f>SUM(ENERO!F36+FEBRERO!F36+MARZO!F36+ABRIL!F36+MAYO!F36+#REF!+#REF!+#REF!+#REF!+#REF!+#REF!+#REF!)</f>
        <v>#REF!</v>
      </c>
      <c r="G36" s="17" t="e">
        <f>SUM(ENERO!G36+FEBRERO!G36+MARZO!G36+ABRIL!G36+MAYO!G36+#REF!+#REF!+#REF!+#REF!+#REF!+#REF!+#REF!)</f>
        <v>#REF!</v>
      </c>
      <c r="H36" s="12" t="e">
        <f t="shared" si="11"/>
        <v>#REF!</v>
      </c>
      <c r="I36" s="134">
        <v>8</v>
      </c>
      <c r="J36" s="1"/>
      <c r="K36" s="67" t="s">
        <v>209</v>
      </c>
      <c r="L36" s="68" t="e">
        <f>SUM(ENERO!K36+FEBRERO!K37+MARZO!K37+ABRIL!K37+MAYO!K37+#REF!+#REF!+#REF!+#REF!+#REF!+#REF!+#REF!)</f>
        <v>#REF!</v>
      </c>
      <c r="M36" s="68" t="e">
        <f>SUM(ENERO!L36+FEBRERO!L37+MARZO!L37+ABRIL!L37+MAYO!L37+#REF!+#REF!+#REF!+#REF!+#REF!+#REF!+#REF!)</f>
        <v>#REF!</v>
      </c>
      <c r="N36" s="68" t="e">
        <f>SUM(ENERO!M36+FEBRERO!M37+MARZO!M37+ABRIL!M37+MAYO!M37+#REF!+#REF!+#REF!+#REF!+#REF!+#REF!+#REF!)</f>
        <v>#REF!</v>
      </c>
      <c r="O36" s="68" t="e">
        <f>SUM(ENERO!N36+FEBRERO!N37+MARZO!N37+ABRIL!N37+MAYO!N37+#REF!+#REF!+#REF!+#REF!+#REF!+#REF!+#REF!)</f>
        <v>#REF!</v>
      </c>
      <c r="P36" s="68" t="e">
        <f>SUM(ENERO!O36+FEBRERO!O37+MARZO!O37+ABRIL!O37+MAYO!O37+#REF!+#REF!+#REF!+#REF!+#REF!+#REF!+#REF!)</f>
        <v>#REF!</v>
      </c>
      <c r="Q36" s="68" t="e">
        <f>SUM(ENERO!P36+FEBRERO!P37+MARZO!P37+ABRIL!P37+MAYO!P37+#REF!+#REF!+#REF!+#REF!+#REF!+#REF!+#REF!)</f>
        <v>#REF!</v>
      </c>
      <c r="R36" s="40" t="e">
        <f t="shared" si="13"/>
        <v>#REF!</v>
      </c>
      <c r="S36" s="130"/>
      <c r="T36" s="4"/>
      <c r="U36" s="1"/>
      <c r="V36" t="e">
        <f t="shared" si="4"/>
        <v>#REF!</v>
      </c>
      <c r="W36" t="e">
        <f t="shared" si="5"/>
        <v>#REF!</v>
      </c>
      <c r="X36" t="e">
        <f t="shared" si="6"/>
        <v>#REF!</v>
      </c>
      <c r="Y36" t="e">
        <f t="shared" si="7"/>
        <v>#REF!</v>
      </c>
      <c r="Z36" t="e">
        <f t="shared" si="8"/>
        <v>#REF!</v>
      </c>
      <c r="AA36" t="e">
        <f t="shared" si="9"/>
        <v>#REF!</v>
      </c>
      <c r="AB36" t="e">
        <f t="shared" si="10"/>
        <v>#REF!</v>
      </c>
    </row>
    <row r="37" spans="1:28" ht="15.75" thickBot="1" x14ac:dyDescent="0.3">
      <c r="A37" s="7" t="s">
        <v>31</v>
      </c>
      <c r="B37" s="17" t="e">
        <f>SUM(ENERO!B37+FEBRERO!B37+MARZO!B37+ABRIL!B37+MAYO!B37+#REF!+#REF!+#REF!+#REF!+#REF!+#REF!+#REF!)</f>
        <v>#REF!</v>
      </c>
      <c r="C37" s="17" t="e">
        <f>SUM(ENERO!C37+FEBRERO!C37+MARZO!C37+ABRIL!C37+MAYO!C37+#REF!+#REF!+#REF!+#REF!+#REF!+#REF!+#REF!)</f>
        <v>#REF!</v>
      </c>
      <c r="D37" s="17" t="e">
        <f>SUM(ENERO!D37+FEBRERO!D37+MARZO!D37+ABRIL!D37+MAYO!D37+#REF!+#REF!+#REF!+#REF!+#REF!+#REF!+#REF!)</f>
        <v>#REF!</v>
      </c>
      <c r="E37" s="17" t="e">
        <f>SUM(ENERO!E37+FEBRERO!E37+MARZO!E37+ABRIL!E37+MAYO!E37+#REF!+#REF!+#REF!+#REF!+#REF!+#REF!+#REF!)</f>
        <v>#REF!</v>
      </c>
      <c r="F37" s="17" t="e">
        <f>SUM(ENERO!F37+FEBRERO!F37+MARZO!F37+ABRIL!F37+MAYO!F37+#REF!+#REF!+#REF!+#REF!+#REF!+#REF!+#REF!)</f>
        <v>#REF!</v>
      </c>
      <c r="G37" s="17" t="e">
        <f>SUM(ENERO!G37+FEBRERO!G37+MARZO!G37+ABRIL!G37+MAYO!G37+#REF!+#REF!+#REF!+#REF!+#REF!+#REF!+#REF!)</f>
        <v>#REF!</v>
      </c>
      <c r="H37" s="12" t="e">
        <f t="shared" si="11"/>
        <v>#REF!</v>
      </c>
      <c r="I37" s="130">
        <v>7.74</v>
      </c>
      <c r="J37" s="1"/>
      <c r="K37" s="51" t="s">
        <v>161</v>
      </c>
      <c r="L37" s="94" t="e">
        <f>SUM(ENERO!K37+FEBRERO!K37+MARZO!K37+ABRIL!K37+MAYO!K37+#REF!+#REF!+#REF!+#REF!+#REF!+#REF!+#REF!)</f>
        <v>#REF!</v>
      </c>
      <c r="M37" s="94" t="e">
        <f>SUM(ENERO!L37+FEBRERO!L37+MARZO!L37+ABRIL!L37+MAYO!L37+#REF!+#REF!+#REF!+#REF!+#REF!+#REF!+#REF!)</f>
        <v>#REF!</v>
      </c>
      <c r="N37" s="94" t="e">
        <f>SUM(ENERO!M37+FEBRERO!M37+MARZO!M37+ABRIL!M37+MAYO!M37+#REF!+#REF!+#REF!+#REF!+#REF!+#REF!+#REF!)</f>
        <v>#REF!</v>
      </c>
      <c r="O37" s="94" t="e">
        <f>SUM(ENERO!N37+FEBRERO!N37+MARZO!N37+ABRIL!N37+MAYO!N37+#REF!+#REF!+#REF!+#REF!+#REF!+#REF!+#REF!)</f>
        <v>#REF!</v>
      </c>
      <c r="P37" s="94" t="e">
        <f>SUM(ENERO!O37+FEBRERO!O37+MARZO!O37+ABRIL!O37+MAYO!O37+#REF!+#REF!+#REF!+#REF!+#REF!+#REF!+#REF!)</f>
        <v>#REF!</v>
      </c>
      <c r="Q37" s="94" t="e">
        <f>SUM(ENERO!P37+FEBRERO!P37+MARZO!P37+ABRIL!P37+MAYO!P37+#REF!+#REF!+#REF!+#REF!+#REF!+#REF!+#REF!)</f>
        <v>#REF!</v>
      </c>
      <c r="R37" s="46" t="e">
        <f t="shared" si="13"/>
        <v>#REF!</v>
      </c>
      <c r="S37" s="130"/>
      <c r="T37" s="4"/>
      <c r="U37" s="1"/>
      <c r="V37" t="e">
        <f t="shared" si="4"/>
        <v>#REF!</v>
      </c>
      <c r="W37" t="e">
        <f t="shared" si="5"/>
        <v>#REF!</v>
      </c>
      <c r="X37" t="e">
        <f t="shared" si="6"/>
        <v>#REF!</v>
      </c>
      <c r="Y37" t="e">
        <f t="shared" si="7"/>
        <v>#REF!</v>
      </c>
      <c r="Z37" t="e">
        <f t="shared" si="8"/>
        <v>#REF!</v>
      </c>
      <c r="AA37" t="e">
        <f t="shared" si="9"/>
        <v>#REF!</v>
      </c>
      <c r="AB37" t="e">
        <f t="shared" si="10"/>
        <v>#REF!</v>
      </c>
    </row>
    <row r="38" spans="1:28" ht="15.75" thickBot="1" x14ac:dyDescent="0.3">
      <c r="A38" s="7" t="s">
        <v>66</v>
      </c>
      <c r="B38" s="17" t="e">
        <f>SUM(ENERO!B38+FEBRERO!B38+MARZO!B38+ABRIL!B38+MAYO!B38+#REF!+#REF!+#REF!+#REF!+#REF!+#REF!+#REF!)</f>
        <v>#REF!</v>
      </c>
      <c r="C38" s="17" t="e">
        <f>SUM(ENERO!C38+FEBRERO!C38+MARZO!C38+ABRIL!C38+MAYO!C38+#REF!+#REF!+#REF!+#REF!+#REF!+#REF!+#REF!)</f>
        <v>#REF!</v>
      </c>
      <c r="D38" s="17" t="e">
        <f>SUM(ENERO!D38+FEBRERO!D38+MARZO!D38+ABRIL!D38+MAYO!D38+#REF!+#REF!+#REF!+#REF!+#REF!+#REF!+#REF!)</f>
        <v>#REF!</v>
      </c>
      <c r="E38" s="17" t="e">
        <f>SUM(ENERO!E38+FEBRERO!E38+MARZO!E38+ABRIL!E38+MAYO!E38+#REF!+#REF!+#REF!+#REF!+#REF!+#REF!+#REF!)</f>
        <v>#REF!</v>
      </c>
      <c r="F38" s="17" t="e">
        <f>SUM(ENERO!F38+FEBRERO!F38+MARZO!F38+ABRIL!F38+MAYO!F38+#REF!+#REF!+#REF!+#REF!+#REF!+#REF!+#REF!)</f>
        <v>#REF!</v>
      </c>
      <c r="G38" s="17" t="e">
        <f>SUM(ENERO!G38+FEBRERO!G38+MARZO!G38+ABRIL!G38+MAYO!G38+#REF!+#REF!+#REF!+#REF!+#REF!+#REF!+#REF!)</f>
        <v>#REF!</v>
      </c>
      <c r="H38" s="12" t="e">
        <f t="shared" si="11"/>
        <v>#REF!</v>
      </c>
      <c r="I38" s="130">
        <v>2.58</v>
      </c>
      <c r="J38" s="1"/>
      <c r="K38" s="34"/>
      <c r="L38" s="34"/>
      <c r="M38" s="34"/>
      <c r="N38" s="34"/>
      <c r="O38" s="34"/>
      <c r="P38" s="34"/>
      <c r="Q38" s="34"/>
      <c r="T38" s="4"/>
      <c r="U38" s="1"/>
      <c r="V38" t="e">
        <f t="shared" si="4"/>
        <v>#REF!</v>
      </c>
      <c r="W38" t="e">
        <f t="shared" si="5"/>
        <v>#REF!</v>
      </c>
      <c r="X38" t="e">
        <f t="shared" si="6"/>
        <v>#REF!</v>
      </c>
      <c r="Y38" t="e">
        <f t="shared" si="7"/>
        <v>#REF!</v>
      </c>
      <c r="Z38" t="e">
        <f t="shared" si="8"/>
        <v>#REF!</v>
      </c>
      <c r="AA38" t="e">
        <f t="shared" si="9"/>
        <v>#REF!</v>
      </c>
      <c r="AB38" t="e">
        <f t="shared" si="10"/>
        <v>#REF!</v>
      </c>
    </row>
    <row r="39" spans="1:28" x14ac:dyDescent="0.25">
      <c r="A39" s="7" t="s">
        <v>67</v>
      </c>
      <c r="B39" s="17" t="e">
        <f>SUM(ENERO!B39+FEBRERO!B39+MARZO!B39+ABRIL!B39+MAYO!B39+#REF!+#REF!+#REF!+#REF!+#REF!+#REF!+#REF!)</f>
        <v>#REF!</v>
      </c>
      <c r="C39" s="17" t="e">
        <f>SUM(ENERO!C39+FEBRERO!C39+MARZO!C39+ABRIL!C39+MAYO!C39+#REF!+#REF!+#REF!+#REF!+#REF!+#REF!+#REF!)</f>
        <v>#REF!</v>
      </c>
      <c r="D39" s="17" t="e">
        <f>SUM(ENERO!D39+FEBRERO!D39+MARZO!D39+ABRIL!D39+MAYO!D39+#REF!+#REF!+#REF!+#REF!+#REF!+#REF!+#REF!)</f>
        <v>#REF!</v>
      </c>
      <c r="E39" s="17" t="e">
        <f>SUM(ENERO!E39+FEBRERO!E39+MARZO!E39+ABRIL!E39+MAYO!E39+#REF!+#REF!+#REF!+#REF!+#REF!+#REF!+#REF!)</f>
        <v>#REF!</v>
      </c>
      <c r="F39" s="17" t="e">
        <f>SUM(ENERO!F39+FEBRERO!F39+MARZO!F39+ABRIL!F39+MAYO!F39+#REF!+#REF!+#REF!+#REF!+#REF!+#REF!+#REF!)</f>
        <v>#REF!</v>
      </c>
      <c r="G39" s="17" t="e">
        <f>SUM(ENERO!G39+FEBRERO!G39+MARZO!G39+ABRIL!G39+MAYO!G39+#REF!+#REF!+#REF!+#REF!+#REF!+#REF!+#REF!)</f>
        <v>#REF!</v>
      </c>
      <c r="H39" s="12" t="e">
        <f t="shared" si="11"/>
        <v>#REF!</v>
      </c>
      <c r="I39" s="134">
        <v>2.6</v>
      </c>
      <c r="J39" s="1"/>
      <c r="K39" s="151" t="s">
        <v>136</v>
      </c>
      <c r="L39" s="153" t="s">
        <v>11</v>
      </c>
      <c r="M39" s="153"/>
      <c r="N39" s="153"/>
      <c r="O39" s="153"/>
      <c r="P39" s="153"/>
      <c r="Q39" s="153"/>
      <c r="R39" s="154"/>
      <c r="S39" s="126"/>
      <c r="T39" s="4"/>
      <c r="U39" s="1"/>
      <c r="V39" t="e">
        <f t="shared" si="4"/>
        <v>#REF!</v>
      </c>
      <c r="W39" t="e">
        <f t="shared" si="5"/>
        <v>#REF!</v>
      </c>
      <c r="X39" t="e">
        <f t="shared" si="6"/>
        <v>#REF!</v>
      </c>
      <c r="Y39" t="e">
        <f t="shared" si="7"/>
        <v>#REF!</v>
      </c>
      <c r="Z39" t="e">
        <f t="shared" si="8"/>
        <v>#REF!</v>
      </c>
      <c r="AA39" t="e">
        <f t="shared" si="9"/>
        <v>#REF!</v>
      </c>
      <c r="AB39" t="e">
        <f t="shared" si="10"/>
        <v>#REF!</v>
      </c>
    </row>
    <row r="40" spans="1:28" x14ac:dyDescent="0.25">
      <c r="A40" s="7" t="s">
        <v>77</v>
      </c>
      <c r="B40" s="17" t="e">
        <f>SUM(ENERO!B40+FEBRERO!B40+MARZO!B40+ABRIL!B40+MAYO!B40+#REF!+#REF!+#REF!+#REF!+#REF!+#REF!+#REF!)</f>
        <v>#REF!</v>
      </c>
      <c r="C40" s="17" t="e">
        <f>SUM(ENERO!C40+FEBRERO!C40+MARZO!C40+ABRIL!C40+MAYO!C40+#REF!+#REF!+#REF!+#REF!+#REF!+#REF!+#REF!)</f>
        <v>#REF!</v>
      </c>
      <c r="D40" s="17" t="e">
        <f>SUM(ENERO!D40+FEBRERO!D40+MARZO!D40+ABRIL!D40+MAYO!D40+#REF!+#REF!+#REF!+#REF!+#REF!+#REF!+#REF!)</f>
        <v>#REF!</v>
      </c>
      <c r="E40" s="17" t="e">
        <f>SUM(ENERO!E40+FEBRERO!E40+MARZO!E40+ABRIL!E40+MAYO!E40+#REF!+#REF!+#REF!+#REF!+#REF!+#REF!+#REF!)</f>
        <v>#REF!</v>
      </c>
      <c r="F40" s="17" t="e">
        <f>SUM(ENERO!F40+FEBRERO!F40+MARZO!F40+ABRIL!F40+MAYO!F40+#REF!+#REF!+#REF!+#REF!+#REF!+#REF!+#REF!)</f>
        <v>#REF!</v>
      </c>
      <c r="G40" s="17" t="e">
        <f>SUM(ENERO!G40+FEBRERO!G40+MARZO!G40+ABRIL!G40+MAYO!G40+#REF!+#REF!+#REF!+#REF!+#REF!+#REF!+#REF!)</f>
        <v>#REF!</v>
      </c>
      <c r="H40" s="12" t="e">
        <f t="shared" si="11"/>
        <v>#REF!</v>
      </c>
      <c r="I40" s="130">
        <v>7.13</v>
      </c>
      <c r="J40" s="1"/>
      <c r="K40" s="152"/>
      <c r="L40" s="30" t="s">
        <v>8</v>
      </c>
      <c r="M40" s="30" t="s">
        <v>9</v>
      </c>
      <c r="N40" s="30" t="s">
        <v>10</v>
      </c>
      <c r="O40" s="30" t="s">
        <v>154</v>
      </c>
      <c r="P40" s="30" t="s">
        <v>155</v>
      </c>
      <c r="Q40" s="30" t="s">
        <v>147</v>
      </c>
      <c r="R40" s="54" t="s">
        <v>11</v>
      </c>
      <c r="S40" s="126"/>
      <c r="T40" s="4"/>
      <c r="U40" s="1"/>
      <c r="V40" t="e">
        <f t="shared" si="4"/>
        <v>#REF!</v>
      </c>
      <c r="W40" t="e">
        <f t="shared" si="5"/>
        <v>#REF!</v>
      </c>
      <c r="X40" t="e">
        <f t="shared" si="6"/>
        <v>#REF!</v>
      </c>
      <c r="Y40" t="e">
        <f t="shared" si="7"/>
        <v>#REF!</v>
      </c>
      <c r="Z40" t="e">
        <f t="shared" si="8"/>
        <v>#REF!</v>
      </c>
      <c r="AA40" t="e">
        <f t="shared" si="9"/>
        <v>#REF!</v>
      </c>
      <c r="AB40" t="e">
        <f t="shared" si="10"/>
        <v>#REF!</v>
      </c>
    </row>
    <row r="41" spans="1:28" ht="15.75" thickBot="1" x14ac:dyDescent="0.3">
      <c r="A41" s="7" t="s">
        <v>78</v>
      </c>
      <c r="B41" s="17" t="e">
        <f>SUM(ENERO!B41+FEBRERO!B41+MARZO!B41+ABRIL!B41+MAYO!B41+#REF!+#REF!+#REF!+#REF!+#REF!+#REF!+#REF!)</f>
        <v>#REF!</v>
      </c>
      <c r="C41" s="17" t="e">
        <f>SUM(ENERO!C41+FEBRERO!C41+MARZO!C41+ABRIL!C41+MAYO!C41+#REF!+#REF!+#REF!+#REF!+#REF!+#REF!+#REF!)</f>
        <v>#REF!</v>
      </c>
      <c r="D41" s="17" t="e">
        <f>SUM(ENERO!D41+FEBRERO!D41+MARZO!D41+ABRIL!D41+MAYO!D41+#REF!+#REF!+#REF!+#REF!+#REF!+#REF!+#REF!)</f>
        <v>#REF!</v>
      </c>
      <c r="E41" s="17" t="e">
        <f>SUM(ENERO!E41+FEBRERO!E41+MARZO!E41+ABRIL!E41+MAYO!E41+#REF!+#REF!+#REF!+#REF!+#REF!+#REF!+#REF!)</f>
        <v>#REF!</v>
      </c>
      <c r="F41" s="17" t="e">
        <f>SUM(ENERO!F41+FEBRERO!F41+MARZO!F41+ABRIL!F41+MAYO!F41+#REF!+#REF!+#REF!+#REF!+#REF!+#REF!+#REF!)</f>
        <v>#REF!</v>
      </c>
      <c r="G41" s="17" t="e">
        <f>SUM(ENERO!G41+FEBRERO!G41+MARZO!G41+ABRIL!G41+MAYO!G41+#REF!+#REF!+#REF!+#REF!+#REF!+#REF!+#REF!)</f>
        <v>#REF!</v>
      </c>
      <c r="H41" s="12" t="e">
        <f t="shared" si="11"/>
        <v>#REF!</v>
      </c>
      <c r="I41" s="130">
        <v>7.16</v>
      </c>
      <c r="J41" s="1"/>
      <c r="K41" s="95" t="s">
        <v>150</v>
      </c>
      <c r="L41" s="29" t="e">
        <f t="shared" ref="L41:Q41" si="14">SUM(L42:L49)</f>
        <v>#REF!</v>
      </c>
      <c r="M41" s="29" t="e">
        <f t="shared" si="14"/>
        <v>#REF!</v>
      </c>
      <c r="N41" s="29" t="e">
        <f t="shared" si="14"/>
        <v>#REF!</v>
      </c>
      <c r="O41" s="29" t="e">
        <f t="shared" si="14"/>
        <v>#REF!</v>
      </c>
      <c r="P41" s="29" t="e">
        <f t="shared" si="14"/>
        <v>#REF!</v>
      </c>
      <c r="Q41" s="29" t="e">
        <f t="shared" si="14"/>
        <v>#REF!</v>
      </c>
      <c r="R41" s="96" t="e">
        <f>SUM(L41:Q41)</f>
        <v>#REF!</v>
      </c>
      <c r="S41" s="129"/>
      <c r="T41" s="4"/>
      <c r="U41" s="1"/>
      <c r="V41" t="e">
        <f t="shared" si="4"/>
        <v>#REF!</v>
      </c>
      <c r="W41" t="e">
        <f t="shared" si="5"/>
        <v>#REF!</v>
      </c>
      <c r="X41" t="e">
        <f t="shared" si="6"/>
        <v>#REF!</v>
      </c>
      <c r="Y41" t="e">
        <f t="shared" si="7"/>
        <v>#REF!</v>
      </c>
      <c r="Z41" t="e">
        <f t="shared" si="8"/>
        <v>#REF!</v>
      </c>
      <c r="AA41" t="e">
        <f t="shared" si="9"/>
        <v>#REF!</v>
      </c>
      <c r="AB41" t="e">
        <f t="shared" si="10"/>
        <v>#REF!</v>
      </c>
    </row>
    <row r="42" spans="1:28" ht="15.75" thickBot="1" x14ac:dyDescent="0.3">
      <c r="A42" s="7" t="s">
        <v>42</v>
      </c>
      <c r="B42" s="17" t="e">
        <f>SUM(ENERO!B42+FEBRERO!B42+MARZO!B42+ABRIL!B42+MAYO!B42+#REF!+#REF!+#REF!+#REF!+#REF!+#REF!+#REF!)</f>
        <v>#REF!</v>
      </c>
      <c r="C42" s="17" t="e">
        <f>SUM(ENERO!C42+FEBRERO!C42+MARZO!C42+ABRIL!C42+MAYO!C42+#REF!+#REF!+#REF!+#REF!+#REF!+#REF!+#REF!)</f>
        <v>#REF!</v>
      </c>
      <c r="D42" s="17" t="e">
        <f>SUM(ENERO!D42+FEBRERO!D42+MARZO!D42+ABRIL!D42+MAYO!D42+#REF!+#REF!+#REF!+#REF!+#REF!+#REF!+#REF!)</f>
        <v>#REF!</v>
      </c>
      <c r="E42" s="17" t="e">
        <f>SUM(ENERO!E42+FEBRERO!E42+MARZO!E42+ABRIL!E42+MAYO!E42+#REF!+#REF!+#REF!+#REF!+#REF!+#REF!+#REF!)</f>
        <v>#REF!</v>
      </c>
      <c r="F42" s="17" t="e">
        <f>SUM(ENERO!F42+FEBRERO!F42+MARZO!F42+ABRIL!F42+MAYO!F42+#REF!+#REF!+#REF!+#REF!+#REF!+#REF!+#REF!)</f>
        <v>#REF!</v>
      </c>
      <c r="G42" s="17" t="e">
        <f>SUM(ENERO!G42+FEBRERO!G42+MARZO!G42+ABRIL!G42+MAYO!G42+#REF!+#REF!+#REF!+#REF!+#REF!+#REF!+#REF!)</f>
        <v>#REF!</v>
      </c>
      <c r="H42" s="12" t="e">
        <f t="shared" si="11"/>
        <v>#REF!</v>
      </c>
      <c r="I42" s="130">
        <v>11.62</v>
      </c>
      <c r="J42" s="1"/>
      <c r="K42" s="97" t="s">
        <v>165</v>
      </c>
      <c r="L42" s="98" t="e">
        <f>SUM(ENERO!K42+FEBRERO!K42+MARZO!K42+ABRIL!K42+MAYO!K42+#REF!+#REF!+#REF!+#REF!+#REF!+#REF!+#REF!)</f>
        <v>#REF!</v>
      </c>
      <c r="M42" s="98" t="e">
        <f>SUM(ENERO!L42+FEBRERO!L42+MARZO!L42+ABRIL!L42+MAYO!L42+#REF!+#REF!+#REF!+#REF!+#REF!+#REF!+#REF!)</f>
        <v>#REF!</v>
      </c>
      <c r="N42" s="98" t="e">
        <f>SUM(ENERO!M42+FEBRERO!M42+MARZO!M42+ABRIL!M42+MAYO!M42+#REF!+#REF!+#REF!+#REF!+#REF!+#REF!+#REF!)</f>
        <v>#REF!</v>
      </c>
      <c r="O42" s="98" t="e">
        <f>SUM(ENERO!N42+FEBRERO!N42+MARZO!N42+ABRIL!N42+MAYO!N42+#REF!+#REF!+#REF!+#REF!+#REF!+#REF!+#REF!)</f>
        <v>#REF!</v>
      </c>
      <c r="P42" s="98" t="e">
        <f>SUM(ENERO!O42+FEBRERO!O42+MARZO!O42+ABRIL!O42+MAYO!O42+#REF!+#REF!+#REF!+#REF!+#REF!+#REF!+#REF!)</f>
        <v>#REF!</v>
      </c>
      <c r="Q42" s="98" t="e">
        <f>SUM(ENERO!P42+FEBRERO!P42+MARZO!P42+ABRIL!P42+MAYO!P42+#REF!+#REF!+#REF!+#REF!+#REF!+#REF!+#REF!)</f>
        <v>#REF!</v>
      </c>
      <c r="R42" s="99" t="e">
        <f t="shared" ref="R42:R49" si="15">SUM(L42:Q42)</f>
        <v>#REF!</v>
      </c>
      <c r="S42" s="130">
        <v>80</v>
      </c>
      <c r="T42" s="4"/>
      <c r="U42" s="1"/>
      <c r="V42" t="e">
        <f t="shared" si="4"/>
        <v>#REF!</v>
      </c>
      <c r="W42" t="e">
        <f t="shared" si="5"/>
        <v>#REF!</v>
      </c>
      <c r="X42" t="e">
        <f t="shared" si="6"/>
        <v>#REF!</v>
      </c>
      <c r="Y42" t="e">
        <f t="shared" si="7"/>
        <v>#REF!</v>
      </c>
      <c r="Z42" t="e">
        <f t="shared" si="8"/>
        <v>#REF!</v>
      </c>
      <c r="AA42" t="e">
        <f t="shared" si="9"/>
        <v>#REF!</v>
      </c>
      <c r="AB42" t="e">
        <f t="shared" si="10"/>
        <v>#REF!</v>
      </c>
    </row>
    <row r="43" spans="1:28" ht="15.75" thickBot="1" x14ac:dyDescent="0.3">
      <c r="A43" s="7" t="s">
        <v>43</v>
      </c>
      <c r="B43" s="17" t="e">
        <f>SUM(ENERO!B43+FEBRERO!B43+MARZO!B43+ABRIL!B43+MAYO!B43+#REF!+#REF!+#REF!+#REF!+#REF!+#REF!+#REF!)</f>
        <v>#REF!</v>
      </c>
      <c r="C43" s="17" t="e">
        <f>SUM(ENERO!C43+FEBRERO!C43+MARZO!C43+ABRIL!C43+MAYO!C43+#REF!+#REF!+#REF!+#REF!+#REF!+#REF!+#REF!)</f>
        <v>#REF!</v>
      </c>
      <c r="D43" s="17" t="e">
        <f>SUM(ENERO!D43+FEBRERO!D43+MARZO!D43+ABRIL!D43+MAYO!D43+#REF!+#REF!+#REF!+#REF!+#REF!+#REF!+#REF!)</f>
        <v>#REF!</v>
      </c>
      <c r="E43" s="17" t="e">
        <f>SUM(ENERO!E43+FEBRERO!E43+MARZO!E43+ABRIL!E43+MAYO!E43+#REF!+#REF!+#REF!+#REF!+#REF!+#REF!+#REF!)</f>
        <v>#REF!</v>
      </c>
      <c r="F43" s="17" t="e">
        <f>SUM(ENERO!F43+FEBRERO!F43+MARZO!F43+ABRIL!F43+MAYO!F43+#REF!+#REF!+#REF!+#REF!+#REF!+#REF!+#REF!)</f>
        <v>#REF!</v>
      </c>
      <c r="G43" s="17" t="e">
        <f>SUM(ENERO!G43+FEBRERO!G43+MARZO!G43+ABRIL!G43+MAYO!G43+#REF!+#REF!+#REF!+#REF!+#REF!+#REF!+#REF!)</f>
        <v>#REF!</v>
      </c>
      <c r="H43" s="12" t="e">
        <f t="shared" si="11"/>
        <v>#REF!</v>
      </c>
      <c r="I43" s="130">
        <v>8.66</v>
      </c>
      <c r="J43" s="1"/>
      <c r="K43" s="86" t="s">
        <v>166</v>
      </c>
      <c r="L43" s="98" t="e">
        <f>SUM(ENERO!K43+FEBRERO!K43+MARZO!K43+ABRIL!K43+MAYO!K43+#REF!+#REF!+#REF!+#REF!+#REF!+#REF!+#REF!)</f>
        <v>#REF!</v>
      </c>
      <c r="M43" s="98" t="e">
        <f>SUM(ENERO!L43+FEBRERO!L43+MARZO!L43+ABRIL!L43+MAYO!L43+#REF!+#REF!+#REF!+#REF!+#REF!+#REF!+#REF!)</f>
        <v>#REF!</v>
      </c>
      <c r="N43" s="98" t="e">
        <f>SUM(ENERO!M43+FEBRERO!M43+MARZO!M43+ABRIL!M43+MAYO!M43+#REF!+#REF!+#REF!+#REF!+#REF!+#REF!+#REF!)</f>
        <v>#REF!</v>
      </c>
      <c r="O43" s="98" t="e">
        <f>SUM(ENERO!N43+FEBRERO!N43+MARZO!N43+ABRIL!N43+MAYO!N43+#REF!+#REF!+#REF!+#REF!+#REF!+#REF!+#REF!)</f>
        <v>#REF!</v>
      </c>
      <c r="P43" s="98" t="e">
        <f>SUM(ENERO!O43+FEBRERO!O43+MARZO!O43+ABRIL!O43+MAYO!O43+#REF!+#REF!+#REF!+#REF!+#REF!+#REF!+#REF!)</f>
        <v>#REF!</v>
      </c>
      <c r="Q43" s="98" t="e">
        <f>SUM(ENERO!P43+FEBRERO!P43+MARZO!P43+ABRIL!P43+MAYO!P43+#REF!+#REF!+#REF!+#REF!+#REF!+#REF!+#REF!)</f>
        <v>#REF!</v>
      </c>
      <c r="R43" s="40" t="e">
        <f t="shared" si="15"/>
        <v>#REF!</v>
      </c>
      <c r="S43" s="130">
        <v>80</v>
      </c>
      <c r="T43" s="4"/>
      <c r="U43" s="1"/>
      <c r="V43" t="e">
        <f t="shared" si="4"/>
        <v>#REF!</v>
      </c>
      <c r="W43" t="e">
        <f t="shared" si="5"/>
        <v>#REF!</v>
      </c>
      <c r="X43" t="e">
        <f t="shared" si="6"/>
        <v>#REF!</v>
      </c>
      <c r="Y43" t="e">
        <f t="shared" si="7"/>
        <v>#REF!</v>
      </c>
      <c r="Z43" t="e">
        <f t="shared" si="8"/>
        <v>#REF!</v>
      </c>
      <c r="AA43" t="e">
        <f t="shared" si="9"/>
        <v>#REF!</v>
      </c>
      <c r="AB43" t="e">
        <f t="shared" si="10"/>
        <v>#REF!</v>
      </c>
    </row>
    <row r="44" spans="1:28" ht="15.75" thickBot="1" x14ac:dyDescent="0.3">
      <c r="A44" s="7" t="s">
        <v>101</v>
      </c>
      <c r="B44" s="17" t="e">
        <f>SUM(ENERO!B44+FEBRERO!B44+MARZO!B44+ABRIL!B44+MAYO!B44+#REF!+#REF!+#REF!+#REF!+#REF!+#REF!+#REF!)</f>
        <v>#REF!</v>
      </c>
      <c r="C44" s="17" t="e">
        <f>SUM(ENERO!C44+FEBRERO!C44+MARZO!C44+ABRIL!C44+MAYO!C44+#REF!+#REF!+#REF!+#REF!+#REF!+#REF!+#REF!)</f>
        <v>#REF!</v>
      </c>
      <c r="D44" s="17" t="e">
        <f>SUM(ENERO!D44+FEBRERO!D44+MARZO!D44+ABRIL!D44+MAYO!D44+#REF!+#REF!+#REF!+#REF!+#REF!+#REF!+#REF!)</f>
        <v>#REF!</v>
      </c>
      <c r="E44" s="17" t="e">
        <f>SUM(ENERO!E44+FEBRERO!E44+MARZO!E44+ABRIL!E44+MAYO!E44+#REF!+#REF!+#REF!+#REF!+#REF!+#REF!+#REF!)</f>
        <v>#REF!</v>
      </c>
      <c r="F44" s="17" t="e">
        <f>SUM(ENERO!F44+FEBRERO!F44+MARZO!F44+ABRIL!F44+MAYO!F44+#REF!+#REF!+#REF!+#REF!+#REF!+#REF!+#REF!)</f>
        <v>#REF!</v>
      </c>
      <c r="G44" s="17" t="e">
        <f>SUM(ENERO!G44+FEBRERO!G44+MARZO!G44+ABRIL!G44+MAYO!G44+#REF!+#REF!+#REF!+#REF!+#REF!+#REF!+#REF!)</f>
        <v>#REF!</v>
      </c>
      <c r="H44" s="12" t="e">
        <f t="shared" si="11"/>
        <v>#REF!</v>
      </c>
      <c r="I44" s="130">
        <v>6.07</v>
      </c>
      <c r="J44" s="1"/>
      <c r="K44" s="86" t="s">
        <v>167</v>
      </c>
      <c r="L44" s="98" t="e">
        <f>SUM(ENERO!K44+FEBRERO!K44+MARZO!K44+ABRIL!K44+MAYO!K44+#REF!+#REF!+#REF!+#REF!+#REF!+#REF!+#REF!)</f>
        <v>#REF!</v>
      </c>
      <c r="M44" s="98" t="e">
        <f>SUM(ENERO!L44+FEBRERO!L44+MARZO!L44+ABRIL!L44+MAYO!L44+#REF!+#REF!+#REF!+#REF!+#REF!+#REF!+#REF!)</f>
        <v>#REF!</v>
      </c>
      <c r="N44" s="98" t="e">
        <f>SUM(ENERO!M44+FEBRERO!M44+MARZO!M44+ABRIL!M44+MAYO!M44+#REF!+#REF!+#REF!+#REF!+#REF!+#REF!+#REF!)</f>
        <v>#REF!</v>
      </c>
      <c r="O44" s="98" t="e">
        <f>SUM(ENERO!N44+FEBRERO!N44+MARZO!N44+ABRIL!N44+MAYO!N44+#REF!+#REF!+#REF!+#REF!+#REF!+#REF!+#REF!)</f>
        <v>#REF!</v>
      </c>
      <c r="P44" s="98" t="e">
        <f>SUM(ENERO!O44+FEBRERO!O44+MARZO!O44+ABRIL!O44+MAYO!O44+#REF!+#REF!+#REF!+#REF!+#REF!+#REF!+#REF!)</f>
        <v>#REF!</v>
      </c>
      <c r="Q44" s="98" t="e">
        <f>SUM(ENERO!P44+FEBRERO!P44+MARZO!P44+ABRIL!P44+MAYO!P44+#REF!+#REF!+#REF!+#REF!+#REF!+#REF!+#REF!)</f>
        <v>#REF!</v>
      </c>
      <c r="R44" s="40" t="e">
        <f t="shared" si="15"/>
        <v>#REF!</v>
      </c>
      <c r="S44" s="130">
        <v>80</v>
      </c>
      <c r="T44" s="4"/>
      <c r="U44" s="1"/>
      <c r="V44" t="e">
        <f t="shared" si="4"/>
        <v>#REF!</v>
      </c>
      <c r="W44" t="e">
        <f t="shared" si="5"/>
        <v>#REF!</v>
      </c>
      <c r="X44" t="e">
        <f t="shared" si="6"/>
        <v>#REF!</v>
      </c>
      <c r="Y44" t="e">
        <f t="shared" si="7"/>
        <v>#REF!</v>
      </c>
      <c r="Z44" t="e">
        <f t="shared" si="8"/>
        <v>#REF!</v>
      </c>
      <c r="AA44" t="e">
        <f t="shared" si="9"/>
        <v>#REF!</v>
      </c>
      <c r="AB44" t="e">
        <f t="shared" si="10"/>
        <v>#REF!</v>
      </c>
    </row>
    <row r="45" spans="1:28" ht="15.75" thickBot="1" x14ac:dyDescent="0.3">
      <c r="A45" s="7" t="s">
        <v>95</v>
      </c>
      <c r="B45" s="17" t="e">
        <f>SUM(ENERO!B45+FEBRERO!B45+MARZO!B45+ABRIL!B45+MAYO!B45+#REF!+#REF!+#REF!+#REF!+#REF!+#REF!+#REF!)</f>
        <v>#REF!</v>
      </c>
      <c r="C45" s="17" t="e">
        <f>SUM(ENERO!C45+FEBRERO!C45+MARZO!C45+ABRIL!C45+MAYO!C45+#REF!+#REF!+#REF!+#REF!+#REF!+#REF!+#REF!)</f>
        <v>#REF!</v>
      </c>
      <c r="D45" s="17" t="e">
        <f>SUM(ENERO!D45+FEBRERO!D45+MARZO!D45+ABRIL!D45+MAYO!D45+#REF!+#REF!+#REF!+#REF!+#REF!+#REF!+#REF!)</f>
        <v>#REF!</v>
      </c>
      <c r="E45" s="17" t="e">
        <f>SUM(ENERO!E45+FEBRERO!E45+MARZO!E45+ABRIL!E45+MAYO!E45+#REF!+#REF!+#REF!+#REF!+#REF!+#REF!+#REF!)</f>
        <v>#REF!</v>
      </c>
      <c r="F45" s="17" t="e">
        <f>SUM(ENERO!F45+FEBRERO!F45+MARZO!F45+ABRIL!F45+MAYO!F45+#REF!+#REF!+#REF!+#REF!+#REF!+#REF!+#REF!)</f>
        <v>#REF!</v>
      </c>
      <c r="G45" s="17" t="e">
        <f>SUM(ENERO!G45+FEBRERO!G45+MARZO!G45+ABRIL!G45+MAYO!G45+#REF!+#REF!+#REF!+#REF!+#REF!+#REF!+#REF!)</f>
        <v>#REF!</v>
      </c>
      <c r="H45" s="12" t="e">
        <f t="shared" si="11"/>
        <v>#REF!</v>
      </c>
      <c r="I45" s="130">
        <v>10.15</v>
      </c>
      <c r="J45" s="1"/>
      <c r="K45" s="86" t="s">
        <v>168</v>
      </c>
      <c r="L45" s="98" t="e">
        <f>SUM(ENERO!K45+FEBRERO!K45+MARZO!K45+ABRIL!K45+MAYO!K45+#REF!+#REF!+#REF!+#REF!+#REF!+#REF!+#REF!)</f>
        <v>#REF!</v>
      </c>
      <c r="M45" s="98" t="e">
        <f>SUM(ENERO!L45+FEBRERO!L45+MARZO!L45+ABRIL!L45+MAYO!L45+#REF!+#REF!+#REF!+#REF!+#REF!+#REF!+#REF!)</f>
        <v>#REF!</v>
      </c>
      <c r="N45" s="98" t="e">
        <f>SUM(ENERO!M45+FEBRERO!M45+MARZO!M45+ABRIL!M45+MAYO!M45+#REF!+#REF!+#REF!+#REF!+#REF!+#REF!+#REF!)</f>
        <v>#REF!</v>
      </c>
      <c r="O45" s="98" t="e">
        <f>SUM(ENERO!N45+FEBRERO!N45+MARZO!N45+ABRIL!N45+MAYO!N45+#REF!+#REF!+#REF!+#REF!+#REF!+#REF!+#REF!)</f>
        <v>#REF!</v>
      </c>
      <c r="P45" s="98" t="e">
        <f>SUM(ENERO!O45+FEBRERO!O45+MARZO!O45+ABRIL!O45+MAYO!O45+#REF!+#REF!+#REF!+#REF!+#REF!+#REF!+#REF!)</f>
        <v>#REF!</v>
      </c>
      <c r="Q45" s="98" t="e">
        <f>SUM(ENERO!P45+FEBRERO!P45+MARZO!P45+ABRIL!P45+MAYO!P45+#REF!+#REF!+#REF!+#REF!+#REF!+#REF!+#REF!)</f>
        <v>#REF!</v>
      </c>
      <c r="R45" s="40" t="e">
        <f>SUM(L45:Q45)</f>
        <v>#REF!</v>
      </c>
      <c r="S45" s="130">
        <v>80</v>
      </c>
      <c r="T45" s="4"/>
      <c r="U45" s="1"/>
      <c r="V45" t="e">
        <f t="shared" si="4"/>
        <v>#REF!</v>
      </c>
      <c r="W45" t="e">
        <f t="shared" si="5"/>
        <v>#REF!</v>
      </c>
      <c r="X45" t="e">
        <f t="shared" si="6"/>
        <v>#REF!</v>
      </c>
      <c r="Y45" t="e">
        <f t="shared" si="7"/>
        <v>#REF!</v>
      </c>
      <c r="Z45" t="e">
        <f t="shared" si="8"/>
        <v>#REF!</v>
      </c>
      <c r="AA45" t="e">
        <f t="shared" si="9"/>
        <v>#REF!</v>
      </c>
      <c r="AB45" t="e">
        <f t="shared" si="10"/>
        <v>#REF!</v>
      </c>
    </row>
    <row r="46" spans="1:28" ht="15.75" thickBot="1" x14ac:dyDescent="0.3">
      <c r="A46" s="7" t="s">
        <v>96</v>
      </c>
      <c r="B46" s="17" t="e">
        <f>SUM(ENERO!B46+FEBRERO!B46+MARZO!B46+ABRIL!B46+MAYO!B46+#REF!+#REF!+#REF!+#REF!+#REF!+#REF!+#REF!)</f>
        <v>#REF!</v>
      </c>
      <c r="C46" s="17" t="e">
        <f>SUM(ENERO!C46+FEBRERO!C46+MARZO!C46+ABRIL!C46+MAYO!C46+#REF!+#REF!+#REF!+#REF!+#REF!+#REF!+#REF!)</f>
        <v>#REF!</v>
      </c>
      <c r="D46" s="17" t="e">
        <f>SUM(ENERO!D46+FEBRERO!D46+MARZO!D46+ABRIL!D46+MAYO!D46+#REF!+#REF!+#REF!+#REF!+#REF!+#REF!+#REF!)</f>
        <v>#REF!</v>
      </c>
      <c r="E46" s="17" t="e">
        <f>SUM(ENERO!E46+FEBRERO!E46+MARZO!E46+ABRIL!E46+MAYO!E46+#REF!+#REF!+#REF!+#REF!+#REF!+#REF!+#REF!)</f>
        <v>#REF!</v>
      </c>
      <c r="F46" s="17" t="e">
        <f>SUM(ENERO!F46+FEBRERO!F46+MARZO!F46+ABRIL!F46+MAYO!F46+#REF!+#REF!+#REF!+#REF!+#REF!+#REF!+#REF!)</f>
        <v>#REF!</v>
      </c>
      <c r="G46" s="17" t="e">
        <f>SUM(ENERO!G46+FEBRERO!G46+MARZO!G46+ABRIL!G46+MAYO!G46+#REF!+#REF!+#REF!+#REF!+#REF!+#REF!+#REF!)</f>
        <v>#REF!</v>
      </c>
      <c r="H46" s="12" t="e">
        <f t="shared" si="11"/>
        <v>#REF!</v>
      </c>
      <c r="I46" s="130">
        <v>8.41</v>
      </c>
      <c r="K46" s="86" t="s">
        <v>34</v>
      </c>
      <c r="L46" s="98" t="e">
        <f>SUM(ENERO!K46+FEBRERO!K46+MARZO!K46+ABRIL!K46+MAYO!K46+#REF!+#REF!+#REF!+#REF!+#REF!+#REF!+#REF!)</f>
        <v>#REF!</v>
      </c>
      <c r="M46" s="98" t="e">
        <f>SUM(ENERO!L46+FEBRERO!L46+MARZO!L46+ABRIL!L46+MAYO!L46+#REF!+#REF!+#REF!+#REF!+#REF!+#REF!+#REF!)</f>
        <v>#REF!</v>
      </c>
      <c r="N46" s="98" t="e">
        <f>SUM(ENERO!M46+FEBRERO!M46+MARZO!M46+ABRIL!M46+MAYO!M46+#REF!+#REF!+#REF!+#REF!+#REF!+#REF!+#REF!)</f>
        <v>#REF!</v>
      </c>
      <c r="O46" s="98" t="e">
        <f>SUM(ENERO!N46+FEBRERO!N46+MARZO!N46+ABRIL!N46+MAYO!N46+#REF!+#REF!+#REF!+#REF!+#REF!+#REF!+#REF!)</f>
        <v>#REF!</v>
      </c>
      <c r="P46" s="98" t="e">
        <f>SUM(ENERO!O46+FEBRERO!O46+MARZO!O46+ABRIL!O46+MAYO!O46+#REF!+#REF!+#REF!+#REF!+#REF!+#REF!+#REF!)</f>
        <v>#REF!</v>
      </c>
      <c r="Q46" s="98" t="e">
        <f>SUM(ENERO!P46+FEBRERO!P46+MARZO!P46+ABRIL!P46+MAYO!P46+#REF!+#REF!+#REF!+#REF!+#REF!+#REF!+#REF!)</f>
        <v>#REF!</v>
      </c>
      <c r="R46" s="40" t="e">
        <f t="shared" si="15"/>
        <v>#REF!</v>
      </c>
      <c r="S46" s="130">
        <v>80</v>
      </c>
      <c r="T46" s="4"/>
      <c r="U46" s="1"/>
      <c r="V46" t="e">
        <f t="shared" si="4"/>
        <v>#REF!</v>
      </c>
      <c r="W46" t="e">
        <f t="shared" si="5"/>
        <v>#REF!</v>
      </c>
      <c r="X46" t="e">
        <f t="shared" si="6"/>
        <v>#REF!</v>
      </c>
      <c r="Y46" t="e">
        <f t="shared" si="7"/>
        <v>#REF!</v>
      </c>
      <c r="Z46" t="e">
        <f t="shared" si="8"/>
        <v>#REF!</v>
      </c>
      <c r="AA46" t="e">
        <f t="shared" si="9"/>
        <v>#REF!</v>
      </c>
      <c r="AB46" t="e">
        <f t="shared" si="10"/>
        <v>#REF!</v>
      </c>
    </row>
    <row r="47" spans="1:28" ht="15.75" thickBot="1" x14ac:dyDescent="0.3">
      <c r="A47" s="7" t="s">
        <v>97</v>
      </c>
      <c r="B47" s="17" t="e">
        <f>SUM(ENERO!B47+FEBRERO!B47+MARZO!B47+ABRIL!B47+MAYO!B47+#REF!+#REF!+#REF!+#REF!+#REF!+#REF!+#REF!)</f>
        <v>#REF!</v>
      </c>
      <c r="C47" s="17" t="e">
        <f>SUM(ENERO!C47+FEBRERO!C47+MARZO!C47+ABRIL!C47+MAYO!C47+#REF!+#REF!+#REF!+#REF!+#REF!+#REF!+#REF!)</f>
        <v>#REF!</v>
      </c>
      <c r="D47" s="17" t="e">
        <f>SUM(ENERO!D47+FEBRERO!D47+MARZO!D47+ABRIL!D47+MAYO!D47+#REF!+#REF!+#REF!+#REF!+#REF!+#REF!+#REF!)</f>
        <v>#REF!</v>
      </c>
      <c r="E47" s="17" t="e">
        <f>SUM(ENERO!E47+FEBRERO!E47+MARZO!E47+ABRIL!E47+MAYO!E47+#REF!+#REF!+#REF!+#REF!+#REF!+#REF!+#REF!)</f>
        <v>#REF!</v>
      </c>
      <c r="F47" s="17" t="e">
        <f>SUM(ENERO!F47+FEBRERO!F47+MARZO!F47+ABRIL!F47+MAYO!F47+#REF!+#REF!+#REF!+#REF!+#REF!+#REF!+#REF!)</f>
        <v>#REF!</v>
      </c>
      <c r="G47" s="17" t="e">
        <f>SUM(ENERO!G47+FEBRERO!G47+MARZO!G47+ABRIL!G47+MAYO!G47+#REF!+#REF!+#REF!+#REF!+#REF!+#REF!+#REF!)</f>
        <v>#REF!</v>
      </c>
      <c r="H47" s="12" t="e">
        <f t="shared" si="11"/>
        <v>#REF!</v>
      </c>
      <c r="I47" s="130">
        <v>13.57</v>
      </c>
      <c r="J47" s="1"/>
      <c r="K47" s="86" t="s">
        <v>179</v>
      </c>
      <c r="L47" s="98" t="e">
        <f>SUM(ENERO!K47+FEBRERO!K47+MARZO!K47+ABRIL!K47+MAYO!K47+#REF!+#REF!+#REF!+#REF!+#REF!+#REF!+#REF!)</f>
        <v>#REF!</v>
      </c>
      <c r="M47" s="98" t="e">
        <f>SUM(ENERO!L47+FEBRERO!L47+MARZO!L47+ABRIL!L47+MAYO!L47+#REF!+#REF!+#REF!+#REF!+#REF!+#REF!+#REF!)</f>
        <v>#REF!</v>
      </c>
      <c r="N47" s="98" t="e">
        <f>SUM(ENERO!M47+FEBRERO!M47+MARZO!M47+ABRIL!M47+MAYO!M47+#REF!+#REF!+#REF!+#REF!+#REF!+#REF!+#REF!)</f>
        <v>#REF!</v>
      </c>
      <c r="O47" s="98" t="e">
        <f>SUM(ENERO!N47+FEBRERO!N47+MARZO!N47+ABRIL!N47+MAYO!N47+#REF!+#REF!+#REF!+#REF!+#REF!+#REF!+#REF!)</f>
        <v>#REF!</v>
      </c>
      <c r="P47" s="98" t="e">
        <f>SUM(ENERO!O47+FEBRERO!O47+MARZO!O47+ABRIL!O47+MAYO!O47+#REF!+#REF!+#REF!+#REF!+#REF!+#REF!+#REF!)</f>
        <v>#REF!</v>
      </c>
      <c r="Q47" s="98" t="e">
        <f>SUM(ENERO!P47+FEBRERO!P47+MARZO!P47+ABRIL!P47+MAYO!P47+#REF!+#REF!+#REF!+#REF!+#REF!+#REF!+#REF!)</f>
        <v>#REF!</v>
      </c>
      <c r="R47" s="40" t="e">
        <f t="shared" si="15"/>
        <v>#REF!</v>
      </c>
      <c r="S47" s="130">
        <v>28</v>
      </c>
      <c r="T47" s="4"/>
      <c r="U47" s="1"/>
      <c r="V47" t="e">
        <f t="shared" si="4"/>
        <v>#REF!</v>
      </c>
      <c r="W47" t="e">
        <f t="shared" si="5"/>
        <v>#REF!</v>
      </c>
      <c r="X47" t="e">
        <f t="shared" si="6"/>
        <v>#REF!</v>
      </c>
      <c r="Y47" t="e">
        <f t="shared" si="7"/>
        <v>#REF!</v>
      </c>
      <c r="Z47" t="e">
        <f t="shared" si="8"/>
        <v>#REF!</v>
      </c>
      <c r="AA47" t="e">
        <f t="shared" si="9"/>
        <v>#REF!</v>
      </c>
      <c r="AB47" t="e">
        <f t="shared" si="10"/>
        <v>#REF!</v>
      </c>
    </row>
    <row r="48" spans="1:28" ht="15.75" thickBot="1" x14ac:dyDescent="0.3">
      <c r="A48" s="36" t="s">
        <v>98</v>
      </c>
      <c r="B48" s="17" t="e">
        <f>SUM(ENERO!B48+FEBRERO!B48+MARZO!B48+ABRIL!B48+MAYO!B48+#REF!+#REF!+#REF!+#REF!+#REF!+#REF!+#REF!)</f>
        <v>#REF!</v>
      </c>
      <c r="C48" s="17" t="e">
        <f>SUM(ENERO!C48+FEBRERO!C48+MARZO!C48+ABRIL!C48+MAYO!C48+#REF!+#REF!+#REF!+#REF!+#REF!+#REF!+#REF!)</f>
        <v>#REF!</v>
      </c>
      <c r="D48" s="17" t="e">
        <f>SUM(ENERO!D48+FEBRERO!D48+MARZO!D48+ABRIL!D48+MAYO!D48+#REF!+#REF!+#REF!+#REF!+#REF!+#REF!+#REF!)</f>
        <v>#REF!</v>
      </c>
      <c r="E48" s="17" t="e">
        <f>SUM(ENERO!E48+FEBRERO!E48+MARZO!E48+ABRIL!E48+MAYO!E48+#REF!+#REF!+#REF!+#REF!+#REF!+#REF!+#REF!)</f>
        <v>#REF!</v>
      </c>
      <c r="F48" s="17" t="e">
        <f>SUM(ENERO!F48+FEBRERO!F48+MARZO!F48+ABRIL!F48+MAYO!F48+#REF!+#REF!+#REF!+#REF!+#REF!+#REF!+#REF!)</f>
        <v>#REF!</v>
      </c>
      <c r="G48" s="17" t="e">
        <f>SUM(ENERO!G48+FEBRERO!G48+MARZO!G48+ABRIL!G48+MAYO!G48+#REF!+#REF!+#REF!+#REF!+#REF!+#REF!+#REF!)</f>
        <v>#REF!</v>
      </c>
      <c r="H48" s="12" t="e">
        <f t="shared" si="11"/>
        <v>#REF!</v>
      </c>
      <c r="I48" s="130">
        <v>13.59</v>
      </c>
      <c r="J48" s="1"/>
      <c r="K48" s="86" t="s">
        <v>177</v>
      </c>
      <c r="L48" s="98" t="e">
        <f>SUM(ENERO!K48+FEBRERO!K48+MARZO!K48+ABRIL!K48+MAYO!K48+#REF!+#REF!+#REF!+#REF!+#REF!+#REF!+#REF!)</f>
        <v>#REF!</v>
      </c>
      <c r="M48" s="98" t="e">
        <f>SUM(ENERO!L48+FEBRERO!L48+MARZO!L48+ABRIL!L48+MAYO!L48+#REF!+#REF!+#REF!+#REF!+#REF!+#REF!+#REF!)</f>
        <v>#REF!</v>
      </c>
      <c r="N48" s="98" t="e">
        <f>SUM(ENERO!M48+FEBRERO!M48+MARZO!M48+ABRIL!M48+MAYO!M48+#REF!+#REF!+#REF!+#REF!+#REF!+#REF!+#REF!)</f>
        <v>#REF!</v>
      </c>
      <c r="O48" s="98" t="e">
        <f>SUM(ENERO!N48+FEBRERO!N48+MARZO!N48+ABRIL!N48+MAYO!N48+#REF!+#REF!+#REF!+#REF!+#REF!+#REF!+#REF!)</f>
        <v>#REF!</v>
      </c>
      <c r="P48" s="98" t="e">
        <f>SUM(ENERO!O48+FEBRERO!O48+MARZO!O48+ABRIL!O48+MAYO!O48+#REF!+#REF!+#REF!+#REF!+#REF!+#REF!+#REF!)</f>
        <v>#REF!</v>
      </c>
      <c r="Q48" s="98" t="e">
        <f>SUM(ENERO!P48+FEBRERO!P48+MARZO!P48+ABRIL!P48+MAYO!P48+#REF!+#REF!+#REF!+#REF!+#REF!+#REF!+#REF!)</f>
        <v>#REF!</v>
      </c>
      <c r="R48" s="40" t="e">
        <f t="shared" si="15"/>
        <v>#REF!</v>
      </c>
      <c r="S48" s="130">
        <v>12</v>
      </c>
      <c r="T48" s="4"/>
      <c r="U48" s="1"/>
      <c r="V48" t="e">
        <f t="shared" si="4"/>
        <v>#REF!</v>
      </c>
      <c r="W48" t="e">
        <f t="shared" si="5"/>
        <v>#REF!</v>
      </c>
      <c r="X48" t="e">
        <f t="shared" si="6"/>
        <v>#REF!</v>
      </c>
      <c r="Y48" t="e">
        <f t="shared" si="7"/>
        <v>#REF!</v>
      </c>
      <c r="Z48" t="e">
        <f t="shared" si="8"/>
        <v>#REF!</v>
      </c>
      <c r="AA48" t="e">
        <f t="shared" si="9"/>
        <v>#REF!</v>
      </c>
      <c r="AB48" t="e">
        <f t="shared" si="10"/>
        <v>#REF!</v>
      </c>
    </row>
    <row r="49" spans="1:28" ht="15.75" thickBot="1" x14ac:dyDescent="0.3">
      <c r="A49" s="7" t="s">
        <v>86</v>
      </c>
      <c r="B49" s="17" t="e">
        <f>SUM(ENERO!B49+FEBRERO!B49+MARZO!B49+ABRIL!B49+MAYO!B49+#REF!+#REF!+#REF!+#REF!+#REF!+#REF!+#REF!)</f>
        <v>#REF!</v>
      </c>
      <c r="C49" s="17" t="e">
        <f>SUM(ENERO!C49+FEBRERO!C49+MARZO!C49+ABRIL!C49+MAYO!C49+#REF!+#REF!+#REF!+#REF!+#REF!+#REF!+#REF!)</f>
        <v>#REF!</v>
      </c>
      <c r="D49" s="17" t="e">
        <f>SUM(ENERO!D49+FEBRERO!D49+MARZO!D49+ABRIL!D49+MAYO!D49+#REF!+#REF!+#REF!+#REF!+#REF!+#REF!+#REF!)</f>
        <v>#REF!</v>
      </c>
      <c r="E49" s="17" t="e">
        <f>SUM(ENERO!E49+FEBRERO!E49+MARZO!E49+ABRIL!E49+MAYO!E49+#REF!+#REF!+#REF!+#REF!+#REF!+#REF!+#REF!)</f>
        <v>#REF!</v>
      </c>
      <c r="F49" s="17" t="e">
        <f>SUM(ENERO!F49+FEBRERO!F49+MARZO!F49+ABRIL!F49+MAYO!F49+#REF!+#REF!+#REF!+#REF!+#REF!+#REF!+#REF!)</f>
        <v>#REF!</v>
      </c>
      <c r="G49" s="17" t="e">
        <f>SUM(ENERO!G49+FEBRERO!G49+MARZO!G49+ABRIL!G49+MAYO!G49+#REF!+#REF!+#REF!+#REF!+#REF!+#REF!+#REF!)</f>
        <v>#REF!</v>
      </c>
      <c r="H49" s="14" t="e">
        <f>SUM(B49:G49)</f>
        <v>#REF!</v>
      </c>
      <c r="I49" s="134">
        <v>15</v>
      </c>
      <c r="J49" s="1"/>
      <c r="K49" s="87" t="s">
        <v>178</v>
      </c>
      <c r="L49" s="115" t="e">
        <f>SUM(ENERO!K49+FEBRERO!K49+MARZO!K49+ABRIL!K49+MAYO!K49+#REF!+#REF!+#REF!+#REF!+#REF!+#REF!+#REF!)</f>
        <v>#REF!</v>
      </c>
      <c r="M49" s="115" t="e">
        <f>SUM(ENERO!L49+FEBRERO!L49+MARZO!L49+ABRIL!L49+MAYO!L49+#REF!+#REF!+#REF!+#REF!+#REF!+#REF!+#REF!)</f>
        <v>#REF!</v>
      </c>
      <c r="N49" s="115" t="e">
        <f>SUM(ENERO!M49+FEBRERO!M49+MARZO!M49+ABRIL!M49+MAYO!M49+#REF!+#REF!+#REF!+#REF!+#REF!+#REF!+#REF!)</f>
        <v>#REF!</v>
      </c>
      <c r="O49" s="115" t="e">
        <f>SUM(ENERO!N49+FEBRERO!N49+MARZO!N49+ABRIL!N49+MAYO!N49+#REF!+#REF!+#REF!+#REF!+#REF!+#REF!+#REF!)</f>
        <v>#REF!</v>
      </c>
      <c r="P49" s="115" t="e">
        <f>SUM(ENERO!O49+FEBRERO!O49+MARZO!O49+ABRIL!O49+MAYO!O49+#REF!+#REF!+#REF!+#REF!+#REF!+#REF!+#REF!)</f>
        <v>#REF!</v>
      </c>
      <c r="Q49" s="115" t="e">
        <f>SUM(ENERO!P49+FEBRERO!P49+MARZO!P49+ABRIL!P49+MAYO!P49+#REF!+#REF!+#REF!+#REF!+#REF!+#REF!+#REF!)</f>
        <v>#REF!</v>
      </c>
      <c r="R49" s="46" t="e">
        <f t="shared" si="15"/>
        <v>#REF!</v>
      </c>
      <c r="S49" s="130">
        <v>12</v>
      </c>
      <c r="T49" s="4"/>
      <c r="U49" s="1"/>
      <c r="V49" t="e">
        <f t="shared" si="4"/>
        <v>#REF!</v>
      </c>
      <c r="W49" t="e">
        <f t="shared" si="5"/>
        <v>#REF!</v>
      </c>
      <c r="X49" t="e">
        <f t="shared" si="6"/>
        <v>#REF!</v>
      </c>
      <c r="Y49" t="e">
        <f t="shared" si="7"/>
        <v>#REF!</v>
      </c>
      <c r="Z49" t="e">
        <f t="shared" si="8"/>
        <v>#REF!</v>
      </c>
      <c r="AA49" t="e">
        <f t="shared" si="9"/>
        <v>#REF!</v>
      </c>
      <c r="AB49" t="e">
        <f t="shared" si="10"/>
        <v>#REF!</v>
      </c>
    </row>
    <row r="50" spans="1:28" x14ac:dyDescent="0.25">
      <c r="A50" s="18" t="s">
        <v>87</v>
      </c>
      <c r="B50" s="17" t="e">
        <f>SUM(ENERO!B50+FEBRERO!B50+MARZO!B50+ABRIL!B50+MAYO!B50+#REF!+#REF!+#REF!+#REF!+#REF!+#REF!+#REF!)</f>
        <v>#REF!</v>
      </c>
      <c r="C50" s="17" t="e">
        <f>SUM(ENERO!C50+FEBRERO!C50+MARZO!C50+ABRIL!C50+MAYO!C50+#REF!+#REF!+#REF!+#REF!+#REF!+#REF!+#REF!)</f>
        <v>#REF!</v>
      </c>
      <c r="D50" s="17" t="e">
        <f>SUM(ENERO!D50+FEBRERO!D50+MARZO!D50+ABRIL!D50+MAYO!D50+#REF!+#REF!+#REF!+#REF!+#REF!+#REF!+#REF!)</f>
        <v>#REF!</v>
      </c>
      <c r="E50" s="17" t="e">
        <f>SUM(ENERO!E50+FEBRERO!E50+MARZO!E50+ABRIL!E50+MAYO!E50+#REF!+#REF!+#REF!+#REF!+#REF!+#REF!+#REF!)</f>
        <v>#REF!</v>
      </c>
      <c r="F50" s="17" t="e">
        <f>SUM(ENERO!F50+FEBRERO!F50+MARZO!F50+ABRIL!F50+MAYO!F50+#REF!+#REF!+#REF!+#REF!+#REF!+#REF!+#REF!)</f>
        <v>#REF!</v>
      </c>
      <c r="G50" s="17" t="e">
        <f>SUM(ENERO!G50+FEBRERO!G50+MARZO!G50+ABRIL!G50+MAYO!G50+#REF!+#REF!+#REF!+#REF!+#REF!+#REF!+#REF!)</f>
        <v>#REF!</v>
      </c>
      <c r="H50" s="14" t="e">
        <f>SUM(B50:G50)</f>
        <v>#REF!</v>
      </c>
      <c r="I50" s="134">
        <v>10.5</v>
      </c>
      <c r="J50" s="1"/>
      <c r="K50" s="155"/>
      <c r="L50" s="155"/>
      <c r="M50" s="155"/>
      <c r="N50" s="155"/>
      <c r="O50" s="34"/>
      <c r="P50" s="34"/>
      <c r="Q50" s="34"/>
      <c r="R50" s="35"/>
      <c r="S50" s="35"/>
      <c r="T50" s="4"/>
      <c r="U50" s="1"/>
      <c r="V50" t="e">
        <f t="shared" si="4"/>
        <v>#REF!</v>
      </c>
      <c r="W50" t="e">
        <f t="shared" si="5"/>
        <v>#REF!</v>
      </c>
      <c r="X50" t="e">
        <f t="shared" si="6"/>
        <v>#REF!</v>
      </c>
      <c r="Y50" t="e">
        <f t="shared" si="7"/>
        <v>#REF!</v>
      </c>
      <c r="Z50" t="e">
        <f t="shared" si="8"/>
        <v>#REF!</v>
      </c>
      <c r="AA50" t="e">
        <f t="shared" si="9"/>
        <v>#REF!</v>
      </c>
      <c r="AB50" t="e">
        <f t="shared" si="10"/>
        <v>#REF!</v>
      </c>
    </row>
    <row r="51" spans="1:28" ht="15.75" thickBot="1" x14ac:dyDescent="0.3">
      <c r="A51" s="113" t="s">
        <v>139</v>
      </c>
      <c r="B51" s="75" t="e">
        <f t="shared" ref="B51:G51" si="16">SUM(B52:B68)</f>
        <v>#REF!</v>
      </c>
      <c r="C51" s="75" t="e">
        <f t="shared" si="16"/>
        <v>#REF!</v>
      </c>
      <c r="D51" s="77" t="e">
        <f t="shared" si="16"/>
        <v>#REF!</v>
      </c>
      <c r="E51" s="75" t="e">
        <f t="shared" si="16"/>
        <v>#REF!</v>
      </c>
      <c r="F51" s="75" t="e">
        <f t="shared" si="16"/>
        <v>#REF!</v>
      </c>
      <c r="G51" s="112" t="e">
        <f t="shared" si="16"/>
        <v>#REF!</v>
      </c>
      <c r="H51" s="75" t="e">
        <f>SUM(B51:G51)</f>
        <v>#REF!</v>
      </c>
      <c r="I51" s="131"/>
      <c r="J51" s="1"/>
      <c r="L51" t="e">
        <f>R47*S47</f>
        <v>#REF!</v>
      </c>
      <c r="M51" t="e">
        <f>R48*S48</f>
        <v>#REF!</v>
      </c>
      <c r="N51" t="e">
        <f>R49*S49</f>
        <v>#REF!</v>
      </c>
      <c r="O51" t="e">
        <f>SUM(L51:N51)</f>
        <v>#REF!</v>
      </c>
      <c r="R51" s="24"/>
      <c r="S51" s="24"/>
      <c r="T51" s="4"/>
      <c r="U51" s="138"/>
      <c r="V51" s="139" t="s">
        <v>11</v>
      </c>
      <c r="W51" s="139" t="e">
        <f>SUM(W11:W50)</f>
        <v>#REF!</v>
      </c>
      <c r="X51" s="139"/>
      <c r="Y51" s="139"/>
      <c r="Z51" s="139"/>
      <c r="AA51" s="139" t="s">
        <v>11</v>
      </c>
      <c r="AB51" s="139" t="e">
        <f>SUM(AB11:AB50)</f>
        <v>#REF!</v>
      </c>
    </row>
    <row r="52" spans="1:28" x14ac:dyDescent="0.25">
      <c r="A52" s="8" t="s">
        <v>90</v>
      </c>
      <c r="B52" s="37" t="e">
        <f>SUM(ENERO!B52+FEBRERO!B52+MARZO!B52+ABRIL!B52+MAYO!B52+#REF!+#REF!+#REF!+#REF!+#REF!+#REF!+#REF!)</f>
        <v>#REF!</v>
      </c>
      <c r="C52" s="13" t="e">
        <f>SUM(ENERO!C52+FEBRERO!C52+MARZO!C52+ABRIL!C52+MAYO!C52+#REF!+#REF!+#REF!+#REF!+#REF!+#REF!+#REF!)</f>
        <v>#REF!</v>
      </c>
      <c r="D52" s="13" t="e">
        <f>SUM(ENERO!D52+FEBRERO!D52+MARZO!D52+ABRIL!D52+MAYO!D52+#REF!+#REF!+#REF!+#REF!+#REF!+#REF!+#REF!)</f>
        <v>#REF!</v>
      </c>
      <c r="E52" s="13" t="e">
        <f>SUM(ENERO!E52+FEBRERO!E52+MARZO!E52+ABRIL!E52+MAYO!E52+#REF!+#REF!+#REF!+#REF!+#REF!+#REF!+#REF!)</f>
        <v>#REF!</v>
      </c>
      <c r="F52" s="13" t="e">
        <f>SUM(ENERO!F52+FEBRERO!F52+MARZO!F52+ABRIL!F52+MAYO!F52+#REF!+#REF!+#REF!+#REF!+#REF!+#REF!+#REF!)</f>
        <v>#REF!</v>
      </c>
      <c r="G52" s="13" t="e">
        <f>SUM(ENERO!G52+FEBRERO!G52+MARZO!G52+ABRIL!G52+MAYO!G52+#REF!+#REF!+#REF!+#REF!+#REF!+#REF!+#REF!)</f>
        <v>#REF!</v>
      </c>
      <c r="H52" s="26" t="e">
        <f t="shared" ref="H52:H113" si="17">SUM(B52:G52)</f>
        <v>#REF!</v>
      </c>
      <c r="I52" s="134">
        <v>0.5</v>
      </c>
      <c r="J52" s="1"/>
      <c r="K52" s="158" t="s">
        <v>152</v>
      </c>
      <c r="L52" s="159"/>
      <c r="M52" s="159"/>
      <c r="N52" s="159"/>
      <c r="O52" s="159"/>
      <c r="P52" s="159"/>
      <c r="Q52" s="159"/>
      <c r="R52" s="160"/>
      <c r="S52" s="135"/>
      <c r="T52" s="4"/>
      <c r="U52" s="1"/>
      <c r="V52" t="e">
        <f>B52*I52</f>
        <v>#REF!</v>
      </c>
      <c r="W52" t="e">
        <f>C52*I52</f>
        <v>#REF!</v>
      </c>
      <c r="X52" t="e">
        <f>D52*I52</f>
        <v>#REF!</v>
      </c>
      <c r="Y52" t="e">
        <f>E52*I52</f>
        <v>#REF!</v>
      </c>
      <c r="Z52" t="e">
        <f>F52*I52</f>
        <v>#REF!</v>
      </c>
      <c r="AA52" t="e">
        <f>G52*I52</f>
        <v>#REF!</v>
      </c>
      <c r="AB52" t="e">
        <f>V52+X52+Y52+Z52+AA52</f>
        <v>#REF!</v>
      </c>
    </row>
    <row r="53" spans="1:28" x14ac:dyDescent="0.25">
      <c r="A53" s="7" t="s">
        <v>91</v>
      </c>
      <c r="B53" s="37" t="e">
        <f>SUM(ENERO!B53+FEBRERO!B53+MARZO!B53+ABRIL!B53+MAYO!B53+#REF!+#REF!+#REF!+#REF!+#REF!+#REF!+#REF!)</f>
        <v>#REF!</v>
      </c>
      <c r="C53" s="13" t="e">
        <f>SUM(ENERO!C53+FEBRERO!C53+MARZO!C53+ABRIL!C53+MAYO!C53+#REF!+#REF!+#REF!+#REF!+#REF!+#REF!+#REF!)</f>
        <v>#REF!</v>
      </c>
      <c r="D53" s="13" t="e">
        <f>SUM(ENERO!D53+FEBRERO!D53+MARZO!D53+ABRIL!D53+MAYO!D53+#REF!+#REF!+#REF!+#REF!+#REF!+#REF!+#REF!)</f>
        <v>#REF!</v>
      </c>
      <c r="E53" s="13" t="e">
        <f>SUM(ENERO!E53+FEBRERO!E53+MARZO!E53+ABRIL!E53+MAYO!E53+#REF!+#REF!+#REF!+#REF!+#REF!+#REF!+#REF!)</f>
        <v>#REF!</v>
      </c>
      <c r="F53" s="13" t="e">
        <f>SUM(ENERO!F53+FEBRERO!F53+MARZO!F53+ABRIL!F53+MAYO!F53+#REF!+#REF!+#REF!+#REF!+#REF!+#REF!+#REF!)</f>
        <v>#REF!</v>
      </c>
      <c r="G53" s="13" t="e">
        <f>SUM(ENERO!G53+FEBRERO!G53+MARZO!G53+ABRIL!G53+MAYO!G53+#REF!+#REF!+#REF!+#REF!+#REF!+#REF!+#REF!)</f>
        <v>#REF!</v>
      </c>
      <c r="H53" s="26" t="e">
        <f t="shared" si="17"/>
        <v>#REF!</v>
      </c>
      <c r="I53" s="134">
        <v>0.5</v>
      </c>
      <c r="J53" s="1"/>
      <c r="K53" s="156" t="s">
        <v>72</v>
      </c>
      <c r="L53" s="157"/>
      <c r="M53" s="157"/>
      <c r="N53" s="157"/>
      <c r="O53" s="157"/>
      <c r="P53" s="157"/>
      <c r="Q53" s="157"/>
      <c r="R53" s="62" t="s">
        <v>11</v>
      </c>
      <c r="S53" s="53"/>
      <c r="T53" s="4"/>
      <c r="U53" s="1"/>
      <c r="V53" t="e">
        <f t="shared" ref="V53:V64" si="18">B53*I53</f>
        <v>#REF!</v>
      </c>
      <c r="W53" t="e">
        <f t="shared" ref="W53:W64" si="19">C53*I53</f>
        <v>#REF!</v>
      </c>
      <c r="X53" t="e">
        <f t="shared" ref="X53:X64" si="20">D53*I53</f>
        <v>#REF!</v>
      </c>
      <c r="Y53" t="e">
        <f t="shared" ref="Y53:Y64" si="21">E53*I53</f>
        <v>#REF!</v>
      </c>
      <c r="Z53" t="e">
        <f t="shared" ref="Z53:Z64" si="22">F53*I53</f>
        <v>#REF!</v>
      </c>
      <c r="AA53" t="e">
        <f t="shared" ref="AA53:AA64" si="23">G53*I53</f>
        <v>#REF!</v>
      </c>
      <c r="AB53" t="e">
        <f t="shared" ref="AB53:AB68" si="24">V53+X53+Y53+Z53+AA53</f>
        <v>#REF!</v>
      </c>
    </row>
    <row r="54" spans="1:28" x14ac:dyDescent="0.25">
      <c r="A54" s="7" t="s">
        <v>32</v>
      </c>
      <c r="B54" s="37" t="e">
        <f>SUM(ENERO!B54+FEBRERO!B54+MARZO!B54+ABRIL!B54+MAYO!B54+#REF!+#REF!+#REF!+#REF!+#REF!+#REF!+#REF!)</f>
        <v>#REF!</v>
      </c>
      <c r="C54" s="13" t="e">
        <f>SUM(ENERO!C54+FEBRERO!C54+MARZO!C54+ABRIL!C54+MAYO!C54+#REF!+#REF!+#REF!+#REF!+#REF!+#REF!+#REF!)</f>
        <v>#REF!</v>
      </c>
      <c r="D54" s="13" t="e">
        <f>SUM(ENERO!D54+FEBRERO!D54+MARZO!D54+ABRIL!D54+MAYO!D54+#REF!+#REF!+#REF!+#REF!+#REF!+#REF!+#REF!)</f>
        <v>#REF!</v>
      </c>
      <c r="E54" s="13" t="e">
        <f>SUM(ENERO!E54+FEBRERO!E54+MARZO!E54+ABRIL!E54+MAYO!E54+#REF!+#REF!+#REF!+#REF!+#REF!+#REF!+#REF!)</f>
        <v>#REF!</v>
      </c>
      <c r="F54" s="13" t="e">
        <f>SUM(ENERO!F54+FEBRERO!F54+MARZO!F54+ABRIL!F54+MAYO!F54+#REF!+#REF!+#REF!+#REF!+#REF!+#REF!+#REF!)</f>
        <v>#REF!</v>
      </c>
      <c r="G54" s="13" t="e">
        <f>SUM(ENERO!G54+FEBRERO!G54+MARZO!G54+ABRIL!G54+MAYO!G54+#REF!+#REF!+#REF!+#REF!+#REF!+#REF!+#REF!)</f>
        <v>#REF!</v>
      </c>
      <c r="H54" s="26" t="e">
        <f t="shared" si="17"/>
        <v>#REF!</v>
      </c>
      <c r="I54" s="134">
        <v>4.9000000000000004</v>
      </c>
      <c r="J54" s="1"/>
      <c r="K54" s="156" t="s">
        <v>71</v>
      </c>
      <c r="L54" s="157"/>
      <c r="M54" s="157"/>
      <c r="N54" s="157"/>
      <c r="O54" s="157"/>
      <c r="P54" s="157"/>
      <c r="Q54" s="157"/>
      <c r="R54" s="47" t="e">
        <f>SUM(ENERO!Q54+FEBRERO!Q54+MARZO!Q54+ABRIL!Q54+MAYO!Q54+#REF!+#REF!+#REF!)</f>
        <v>#REF!</v>
      </c>
      <c r="S54" s="35"/>
      <c r="T54" s="4"/>
      <c r="U54" s="1"/>
      <c r="V54" t="e">
        <f t="shared" si="18"/>
        <v>#REF!</v>
      </c>
      <c r="W54" t="e">
        <f t="shared" si="19"/>
        <v>#REF!</v>
      </c>
      <c r="X54" t="e">
        <f t="shared" si="20"/>
        <v>#REF!</v>
      </c>
      <c r="Y54" t="e">
        <f t="shared" si="21"/>
        <v>#REF!</v>
      </c>
      <c r="Z54" t="e">
        <f t="shared" si="22"/>
        <v>#REF!</v>
      </c>
      <c r="AA54" t="e">
        <f t="shared" si="23"/>
        <v>#REF!</v>
      </c>
      <c r="AB54" t="e">
        <f t="shared" si="24"/>
        <v>#REF!</v>
      </c>
    </row>
    <row r="55" spans="1:28" x14ac:dyDescent="0.25">
      <c r="A55" s="7" t="s">
        <v>34</v>
      </c>
      <c r="B55" s="37" t="e">
        <f>SUM(ENERO!B55+FEBRERO!B55+MARZO!B55+ABRIL!B55+MAYO!B55+#REF!+#REF!+#REF!+#REF!+#REF!+#REF!+#REF!)</f>
        <v>#REF!</v>
      </c>
      <c r="C55" s="13" t="e">
        <f>SUM(ENERO!C55+FEBRERO!C55+MARZO!C55+ABRIL!C55+MAYO!C55+#REF!+#REF!+#REF!+#REF!+#REF!+#REF!+#REF!)</f>
        <v>#REF!</v>
      </c>
      <c r="D55" s="13" t="e">
        <f>SUM(ENERO!D55+FEBRERO!D55+MARZO!D55+ABRIL!D55+MAYO!D55+#REF!+#REF!+#REF!+#REF!+#REF!+#REF!+#REF!)</f>
        <v>#REF!</v>
      </c>
      <c r="E55" s="13" t="e">
        <f>SUM(ENERO!E55+FEBRERO!E55+MARZO!E55+ABRIL!E55+MAYO!E55+#REF!+#REF!+#REF!+#REF!+#REF!+#REF!+#REF!)</f>
        <v>#REF!</v>
      </c>
      <c r="F55" s="13" t="e">
        <f>SUM(ENERO!F55+FEBRERO!F55+MARZO!F55+ABRIL!F55+MAYO!F55+#REF!+#REF!+#REF!+#REF!+#REF!+#REF!+#REF!)</f>
        <v>#REF!</v>
      </c>
      <c r="G55" s="13" t="e">
        <f>SUM(ENERO!G55+FEBRERO!G55+MARZO!G55+ABRIL!G55+MAYO!G55+#REF!+#REF!+#REF!+#REF!+#REF!+#REF!+#REF!)</f>
        <v>#REF!</v>
      </c>
      <c r="H55" s="26" t="e">
        <f t="shared" si="17"/>
        <v>#REF!</v>
      </c>
      <c r="I55" s="134">
        <v>1</v>
      </c>
      <c r="J55" s="1"/>
      <c r="K55" s="156" t="s">
        <v>137</v>
      </c>
      <c r="L55" s="157"/>
      <c r="M55" s="157"/>
      <c r="N55" s="157"/>
      <c r="O55" s="157"/>
      <c r="P55" s="157"/>
      <c r="Q55" s="157"/>
      <c r="R55" s="47" t="e">
        <f>(H12)</f>
        <v>#REF!</v>
      </c>
      <c r="S55" s="35"/>
      <c r="T55" s="4"/>
      <c r="U55" s="1"/>
      <c r="V55" t="e">
        <f t="shared" si="18"/>
        <v>#REF!</v>
      </c>
      <c r="W55" t="e">
        <f t="shared" si="19"/>
        <v>#REF!</v>
      </c>
      <c r="X55" t="e">
        <f t="shared" si="20"/>
        <v>#REF!</v>
      </c>
      <c r="Y55" t="e">
        <f t="shared" si="21"/>
        <v>#REF!</v>
      </c>
      <c r="Z55" t="e">
        <f t="shared" si="22"/>
        <v>#REF!</v>
      </c>
      <c r="AA55" t="e">
        <f t="shared" si="23"/>
        <v>#REF!</v>
      </c>
      <c r="AB55" t="e">
        <f t="shared" si="24"/>
        <v>#REF!</v>
      </c>
    </row>
    <row r="56" spans="1:28" x14ac:dyDescent="0.25">
      <c r="A56" s="7" t="s">
        <v>181</v>
      </c>
      <c r="B56" s="37" t="e">
        <f>SUM(ENERO!B56+FEBRERO!B56+MARZO!B56+ABRIL!B56+MAYO!B56+#REF!+#REF!+#REF!+#REF!+#REF!+#REF!+#REF!)</f>
        <v>#REF!</v>
      </c>
      <c r="C56" s="13" t="e">
        <f>SUM(ENERO!C56+FEBRERO!C56+MARZO!C56+ABRIL!C56+MAYO!C56+#REF!+#REF!+#REF!+#REF!+#REF!+#REF!+#REF!)</f>
        <v>#REF!</v>
      </c>
      <c r="D56" s="13" t="e">
        <f>SUM(ENERO!D56+FEBRERO!D56+MARZO!D56+ABRIL!D56+MAYO!D56+#REF!+#REF!+#REF!+#REF!+#REF!+#REF!+#REF!)</f>
        <v>#REF!</v>
      </c>
      <c r="E56" s="13" t="e">
        <f>SUM(ENERO!E56+FEBRERO!E56+MARZO!E56+ABRIL!E56+MAYO!E56+#REF!+#REF!+#REF!+#REF!+#REF!+#REF!+#REF!)</f>
        <v>#REF!</v>
      </c>
      <c r="F56" s="13" t="e">
        <f>SUM(ENERO!F56+FEBRERO!F56+MARZO!F56+ABRIL!F56+MAYO!F56+#REF!+#REF!+#REF!+#REF!+#REF!+#REF!+#REF!)</f>
        <v>#REF!</v>
      </c>
      <c r="G56" s="13" t="e">
        <f>SUM(ENERO!G56+FEBRERO!G56+MARZO!G56+ABRIL!G56+MAYO!G56+#REF!+#REF!+#REF!+#REF!+#REF!+#REF!+#REF!)</f>
        <v>#REF!</v>
      </c>
      <c r="H56" s="26" t="e">
        <f t="shared" si="17"/>
        <v>#REF!</v>
      </c>
      <c r="I56" s="134">
        <v>1</v>
      </c>
      <c r="J56" s="1"/>
      <c r="K56" s="156" t="s">
        <v>138</v>
      </c>
      <c r="L56" s="157"/>
      <c r="M56" s="157"/>
      <c r="N56" s="157"/>
      <c r="O56" s="157"/>
      <c r="P56" s="157"/>
      <c r="Q56" s="157"/>
      <c r="R56" s="48" t="e">
        <f>(H51)</f>
        <v>#REF!</v>
      </c>
      <c r="S56" s="136"/>
      <c r="T56" s="4"/>
      <c r="U56" s="1"/>
      <c r="V56" t="e">
        <f t="shared" si="18"/>
        <v>#REF!</v>
      </c>
      <c r="W56" t="e">
        <f t="shared" si="19"/>
        <v>#REF!</v>
      </c>
      <c r="X56" t="e">
        <f t="shared" si="20"/>
        <v>#REF!</v>
      </c>
      <c r="Y56" t="e">
        <f t="shared" si="21"/>
        <v>#REF!</v>
      </c>
      <c r="Z56" t="e">
        <f t="shared" si="22"/>
        <v>#REF!</v>
      </c>
      <c r="AA56" t="e">
        <f t="shared" si="23"/>
        <v>#REF!</v>
      </c>
      <c r="AB56" t="e">
        <f t="shared" si="24"/>
        <v>#REF!</v>
      </c>
    </row>
    <row r="57" spans="1:28" x14ac:dyDescent="0.25">
      <c r="A57" s="7" t="s">
        <v>184</v>
      </c>
      <c r="B57" s="37" t="e">
        <f>SUM(ENERO!B57+FEBRERO!B57+MARZO!B57+ABRIL!B57+MAYO!B57+#REF!+#REF!+#REF!+#REF!+#REF!+#REF!+#REF!)</f>
        <v>#REF!</v>
      </c>
      <c r="C57" s="13" t="e">
        <f>SUM(ENERO!C57+FEBRERO!C57+MARZO!C57+ABRIL!C57+MAYO!C57+#REF!+#REF!+#REF!+#REF!+#REF!+#REF!+#REF!)</f>
        <v>#REF!</v>
      </c>
      <c r="D57" s="13" t="e">
        <f>SUM(ENERO!D57+FEBRERO!D57+MARZO!D57+ABRIL!D57+MAYO!D57+#REF!+#REF!+#REF!+#REF!+#REF!+#REF!+#REF!)</f>
        <v>#REF!</v>
      </c>
      <c r="E57" s="13" t="e">
        <f>SUM(ENERO!E57+FEBRERO!E57+MARZO!E57+ABRIL!E57+MAYO!E57+#REF!+#REF!+#REF!+#REF!+#REF!+#REF!+#REF!)</f>
        <v>#REF!</v>
      </c>
      <c r="F57" s="13" t="e">
        <f>SUM(ENERO!F57+FEBRERO!F57+MARZO!F57+ABRIL!F57+MAYO!F57+#REF!+#REF!+#REF!+#REF!+#REF!+#REF!+#REF!)</f>
        <v>#REF!</v>
      </c>
      <c r="G57" s="13" t="e">
        <f>SUM(ENERO!G57+FEBRERO!G57+MARZO!G57+ABRIL!G57+MAYO!G57+#REF!+#REF!+#REF!+#REF!+#REF!+#REF!+#REF!)</f>
        <v>#REF!</v>
      </c>
      <c r="H57" s="26" t="e">
        <f t="shared" si="17"/>
        <v>#REF!</v>
      </c>
      <c r="I57" s="134">
        <v>1</v>
      </c>
      <c r="J57" s="1"/>
      <c r="K57" s="156" t="s">
        <v>140</v>
      </c>
      <c r="L57" s="157"/>
      <c r="M57" s="157"/>
      <c r="N57" s="157"/>
      <c r="O57" s="157"/>
      <c r="P57" s="157"/>
      <c r="Q57" s="157"/>
      <c r="R57" s="48" t="e">
        <f>(H69)</f>
        <v>#REF!</v>
      </c>
      <c r="S57" s="136"/>
      <c r="T57" s="4"/>
      <c r="U57" s="1"/>
      <c r="V57" t="e">
        <f t="shared" si="18"/>
        <v>#REF!</v>
      </c>
      <c r="W57" t="e">
        <f t="shared" si="19"/>
        <v>#REF!</v>
      </c>
      <c r="X57" t="e">
        <f t="shared" si="20"/>
        <v>#REF!</v>
      </c>
      <c r="Y57" t="e">
        <f t="shared" si="21"/>
        <v>#REF!</v>
      </c>
      <c r="Z57" t="e">
        <f t="shared" si="22"/>
        <v>#REF!</v>
      </c>
      <c r="AA57" t="e">
        <f t="shared" si="23"/>
        <v>#REF!</v>
      </c>
      <c r="AB57" t="e">
        <f t="shared" si="24"/>
        <v>#REF!</v>
      </c>
    </row>
    <row r="58" spans="1:28" x14ac:dyDescent="0.25">
      <c r="A58" s="7" t="s">
        <v>88</v>
      </c>
      <c r="B58" s="37" t="e">
        <f>SUM(ENERO!B58+FEBRERO!B58+MARZO!B58+ABRIL!B58+MAYO!B58+#REF!+#REF!+#REF!+#REF!+#REF!+#REF!+#REF!)</f>
        <v>#REF!</v>
      </c>
      <c r="C58" s="13" t="e">
        <f>SUM(ENERO!C58+FEBRERO!C58+MARZO!C58+ABRIL!C58+MAYO!C58+#REF!+#REF!+#REF!+#REF!+#REF!+#REF!+#REF!)</f>
        <v>#REF!</v>
      </c>
      <c r="D58" s="13" t="e">
        <f>SUM(ENERO!D58+FEBRERO!D58+MARZO!D58+ABRIL!D58+MAYO!D58+#REF!+#REF!+#REF!+#REF!+#REF!+#REF!+#REF!)</f>
        <v>#REF!</v>
      </c>
      <c r="E58" s="13" t="e">
        <f>SUM(ENERO!E58+FEBRERO!E58+MARZO!E58+ABRIL!E58+MAYO!E58+#REF!+#REF!+#REF!+#REF!+#REF!+#REF!+#REF!)</f>
        <v>#REF!</v>
      </c>
      <c r="F58" s="13" t="e">
        <f>SUM(ENERO!F58+FEBRERO!F58+MARZO!F58+ABRIL!F58+MAYO!F58+#REF!+#REF!+#REF!+#REF!+#REF!+#REF!+#REF!)</f>
        <v>#REF!</v>
      </c>
      <c r="G58" s="13" t="e">
        <f>SUM(ENERO!G58+FEBRERO!G58+MARZO!G58+ABRIL!G58+MAYO!G58+#REF!+#REF!+#REF!+#REF!+#REF!+#REF!+#REF!)</f>
        <v>#REF!</v>
      </c>
      <c r="H58" s="26" t="e">
        <f t="shared" si="17"/>
        <v>#REF!</v>
      </c>
      <c r="I58" s="134">
        <v>2</v>
      </c>
      <c r="J58" s="1"/>
      <c r="K58" s="156" t="s">
        <v>144</v>
      </c>
      <c r="L58" s="157"/>
      <c r="M58" s="157"/>
      <c r="N58" s="157"/>
      <c r="O58" s="157"/>
      <c r="P58" s="157"/>
      <c r="Q58" s="157"/>
      <c r="R58" s="48" t="e">
        <f>H82</f>
        <v>#REF!</v>
      </c>
      <c r="S58" s="136"/>
      <c r="T58" s="4"/>
      <c r="U58" s="1"/>
      <c r="V58" t="e">
        <f t="shared" si="18"/>
        <v>#REF!</v>
      </c>
      <c r="W58" t="e">
        <f t="shared" si="19"/>
        <v>#REF!</v>
      </c>
      <c r="X58" t="e">
        <f t="shared" si="20"/>
        <v>#REF!</v>
      </c>
      <c r="Y58" t="e">
        <f t="shared" si="21"/>
        <v>#REF!</v>
      </c>
      <c r="Z58" t="e">
        <f t="shared" si="22"/>
        <v>#REF!</v>
      </c>
      <c r="AA58" t="e">
        <f t="shared" si="23"/>
        <v>#REF!</v>
      </c>
      <c r="AB58" t="e">
        <f t="shared" si="24"/>
        <v>#REF!</v>
      </c>
    </row>
    <row r="59" spans="1:28" x14ac:dyDescent="0.25">
      <c r="A59" s="7" t="s">
        <v>89</v>
      </c>
      <c r="B59" s="37" t="e">
        <f>SUM(ENERO!B59+FEBRERO!B59+MARZO!B59+ABRIL!B59+MAYO!B59+#REF!+#REF!+#REF!+#REF!+#REF!+#REF!+#REF!)</f>
        <v>#REF!</v>
      </c>
      <c r="C59" s="13" t="e">
        <f>SUM(ENERO!C59+FEBRERO!C59+MARZO!C59+ABRIL!C59+MAYO!C59+#REF!+#REF!+#REF!+#REF!+#REF!+#REF!+#REF!)</f>
        <v>#REF!</v>
      </c>
      <c r="D59" s="13" t="e">
        <f>SUM(ENERO!D59+FEBRERO!D59+MARZO!D59+ABRIL!D59+MAYO!D59+#REF!+#REF!+#REF!+#REF!+#REF!+#REF!+#REF!)</f>
        <v>#REF!</v>
      </c>
      <c r="E59" s="13" t="e">
        <f>SUM(ENERO!E59+FEBRERO!E59+MARZO!E59+ABRIL!E59+MAYO!E59+#REF!+#REF!+#REF!+#REF!+#REF!+#REF!+#REF!)</f>
        <v>#REF!</v>
      </c>
      <c r="F59" s="13" t="e">
        <f>SUM(ENERO!F59+FEBRERO!F59+MARZO!F59+ABRIL!F59+MAYO!F59+#REF!+#REF!+#REF!+#REF!+#REF!+#REF!+#REF!)</f>
        <v>#REF!</v>
      </c>
      <c r="G59" s="13" t="e">
        <f>SUM(ENERO!G59+FEBRERO!G59+MARZO!G59+ABRIL!G59+MAYO!G59+#REF!+#REF!+#REF!+#REF!+#REF!+#REF!+#REF!)</f>
        <v>#REF!</v>
      </c>
      <c r="H59" s="26" t="e">
        <f t="shared" si="17"/>
        <v>#REF!</v>
      </c>
      <c r="I59" s="134">
        <v>2</v>
      </c>
      <c r="J59" s="1"/>
      <c r="K59" s="156" t="s">
        <v>141</v>
      </c>
      <c r="L59" s="157"/>
      <c r="M59" s="157"/>
      <c r="N59" s="157"/>
      <c r="O59" s="157"/>
      <c r="P59" s="157"/>
      <c r="Q59" s="157"/>
      <c r="R59" s="48" t="e">
        <f>H95</f>
        <v>#REF!</v>
      </c>
      <c r="S59" s="136"/>
      <c r="T59" s="4"/>
      <c r="U59" s="1"/>
      <c r="V59" t="e">
        <f t="shared" si="18"/>
        <v>#REF!</v>
      </c>
      <c r="W59" t="e">
        <f t="shared" si="19"/>
        <v>#REF!</v>
      </c>
      <c r="X59" t="e">
        <f t="shared" si="20"/>
        <v>#REF!</v>
      </c>
      <c r="Y59" t="e">
        <f t="shared" si="21"/>
        <v>#REF!</v>
      </c>
      <c r="Z59" t="e">
        <f t="shared" si="22"/>
        <v>#REF!</v>
      </c>
      <c r="AA59" t="e">
        <f t="shared" si="23"/>
        <v>#REF!</v>
      </c>
      <c r="AB59" t="e">
        <f t="shared" si="24"/>
        <v>#REF!</v>
      </c>
    </row>
    <row r="60" spans="1:28" x14ac:dyDescent="0.25">
      <c r="A60" s="7" t="s">
        <v>183</v>
      </c>
      <c r="B60" s="37" t="e">
        <f>SUM(ENERO!B60+FEBRERO!B60+MARZO!B60+ABRIL!B60+MAYO!B60+#REF!+#REF!+#REF!+#REF!+#REF!+#REF!+#REF!)</f>
        <v>#REF!</v>
      </c>
      <c r="C60" s="13" t="e">
        <f>SUM(ENERO!C60+FEBRERO!C60+MARZO!C60+ABRIL!C60+MAYO!C60+#REF!+#REF!+#REF!+#REF!+#REF!+#REF!+#REF!)</f>
        <v>#REF!</v>
      </c>
      <c r="D60" s="13" t="e">
        <f>SUM(ENERO!D60+FEBRERO!D60+MARZO!D60+ABRIL!D60+MAYO!D60+#REF!+#REF!+#REF!+#REF!+#REF!+#REF!+#REF!)</f>
        <v>#REF!</v>
      </c>
      <c r="E60" s="13" t="e">
        <f>SUM(ENERO!E60+FEBRERO!E60+MARZO!E60+ABRIL!E60+MAYO!E60+#REF!+#REF!+#REF!+#REF!+#REF!+#REF!+#REF!)</f>
        <v>#REF!</v>
      </c>
      <c r="F60" s="13" t="e">
        <f>SUM(ENERO!F60+FEBRERO!F60+MARZO!F60+ABRIL!F60+MAYO!F60+#REF!+#REF!+#REF!+#REF!+#REF!+#REF!+#REF!)</f>
        <v>#REF!</v>
      </c>
      <c r="G60" s="13" t="e">
        <f>SUM(ENERO!G60+FEBRERO!G60+MARZO!G60+ABRIL!G60+MAYO!G60+#REF!+#REF!+#REF!+#REF!+#REF!+#REF!+#REF!)</f>
        <v>#REF!</v>
      </c>
      <c r="H60" s="26" t="e">
        <f t="shared" si="17"/>
        <v>#REF!</v>
      </c>
      <c r="I60" s="134">
        <v>1</v>
      </c>
      <c r="J60" s="1"/>
      <c r="K60" s="156" t="s">
        <v>143</v>
      </c>
      <c r="L60" s="157"/>
      <c r="M60" s="157"/>
      <c r="N60" s="157"/>
      <c r="O60" s="157"/>
      <c r="P60" s="157"/>
      <c r="Q60" s="157"/>
      <c r="R60" s="63" t="e">
        <f>R11</f>
        <v>#REF!</v>
      </c>
      <c r="S60" s="24"/>
      <c r="T60" s="4"/>
      <c r="U60" s="1"/>
      <c r="V60" t="e">
        <f t="shared" si="18"/>
        <v>#REF!</v>
      </c>
      <c r="W60" t="e">
        <f t="shared" si="19"/>
        <v>#REF!</v>
      </c>
      <c r="X60" t="e">
        <f t="shared" si="20"/>
        <v>#REF!</v>
      </c>
      <c r="Y60" t="e">
        <f t="shared" si="21"/>
        <v>#REF!</v>
      </c>
      <c r="Z60" t="e">
        <f t="shared" si="22"/>
        <v>#REF!</v>
      </c>
      <c r="AA60" t="e">
        <f t="shared" si="23"/>
        <v>#REF!</v>
      </c>
      <c r="AB60" t="e">
        <f t="shared" si="24"/>
        <v>#REF!</v>
      </c>
    </row>
    <row r="61" spans="1:28" x14ac:dyDescent="0.25">
      <c r="A61" s="7" t="s">
        <v>36</v>
      </c>
      <c r="B61" s="37" t="e">
        <f>SUM(ENERO!B61+FEBRERO!B61+MARZO!B61+ABRIL!B61+MAYO!B61+#REF!+#REF!+#REF!+#REF!+#REF!+#REF!+#REF!)</f>
        <v>#REF!</v>
      </c>
      <c r="C61" s="13" t="e">
        <f>SUM(ENERO!C61+FEBRERO!C61+MARZO!C61+ABRIL!C61+MAYO!C61+#REF!+#REF!+#REF!+#REF!+#REF!+#REF!+#REF!)</f>
        <v>#REF!</v>
      </c>
      <c r="D61" s="13" t="e">
        <f>SUM(ENERO!D61+FEBRERO!D61+MARZO!D61+ABRIL!D61+MAYO!D61+#REF!+#REF!+#REF!+#REF!+#REF!+#REF!+#REF!)</f>
        <v>#REF!</v>
      </c>
      <c r="E61" s="13" t="e">
        <f>SUM(ENERO!E61+FEBRERO!E61+MARZO!E61+ABRIL!E61+MAYO!E61+#REF!+#REF!+#REF!+#REF!+#REF!+#REF!+#REF!)</f>
        <v>#REF!</v>
      </c>
      <c r="F61" s="13" t="e">
        <f>SUM(ENERO!F61+FEBRERO!F61+MARZO!F61+ABRIL!F61+MAYO!F61+#REF!+#REF!+#REF!+#REF!+#REF!+#REF!+#REF!)</f>
        <v>#REF!</v>
      </c>
      <c r="G61" s="13" t="e">
        <f>SUM(ENERO!G61+FEBRERO!G61+MARZO!G61+ABRIL!G61+MAYO!G61+#REF!+#REF!+#REF!+#REF!+#REF!+#REF!+#REF!)</f>
        <v>#REF!</v>
      </c>
      <c r="H61" s="26" t="e">
        <f t="shared" si="17"/>
        <v>#REF!</v>
      </c>
      <c r="I61" s="134">
        <v>1</v>
      </c>
      <c r="J61" s="1"/>
      <c r="K61" s="156" t="s">
        <v>145</v>
      </c>
      <c r="L61" s="157"/>
      <c r="M61" s="157"/>
      <c r="N61" s="157"/>
      <c r="O61" s="157"/>
      <c r="P61" s="157"/>
      <c r="Q61" s="157"/>
      <c r="R61" s="41" t="e">
        <f>R28</f>
        <v>#REF!</v>
      </c>
      <c r="S61" s="91"/>
      <c r="T61" s="4"/>
      <c r="U61" s="1"/>
      <c r="V61" t="e">
        <f t="shared" si="18"/>
        <v>#REF!</v>
      </c>
      <c r="W61" t="e">
        <f t="shared" si="19"/>
        <v>#REF!</v>
      </c>
      <c r="X61" t="e">
        <f t="shared" si="20"/>
        <v>#REF!</v>
      </c>
      <c r="Y61" t="e">
        <f t="shared" si="21"/>
        <v>#REF!</v>
      </c>
      <c r="Z61" t="e">
        <f t="shared" si="22"/>
        <v>#REF!</v>
      </c>
      <c r="AA61" t="e">
        <f t="shared" si="23"/>
        <v>#REF!</v>
      </c>
      <c r="AB61" t="e">
        <f t="shared" si="24"/>
        <v>#REF!</v>
      </c>
    </row>
    <row r="62" spans="1:28" ht="15.75" thickBot="1" x14ac:dyDescent="0.3">
      <c r="A62" s="7" t="s">
        <v>119</v>
      </c>
      <c r="B62" s="37" t="e">
        <f>SUM(ENERO!B62+FEBRERO!B62+MARZO!B62+ABRIL!B62+MAYO!B62+#REF!+#REF!+#REF!+#REF!+#REF!+#REF!+#REF!)</f>
        <v>#REF!</v>
      </c>
      <c r="C62" s="13" t="e">
        <f>SUM(ENERO!C62+FEBRERO!C62+MARZO!C62+ABRIL!C62+MAYO!C62+#REF!+#REF!+#REF!+#REF!+#REF!+#REF!+#REF!)</f>
        <v>#REF!</v>
      </c>
      <c r="D62" s="13" t="e">
        <f>SUM(ENERO!D62+FEBRERO!D62+MARZO!D62+ABRIL!D62+MAYO!D62+#REF!+#REF!+#REF!+#REF!+#REF!+#REF!+#REF!)</f>
        <v>#REF!</v>
      </c>
      <c r="E62" s="13" t="e">
        <f>SUM(ENERO!E62+FEBRERO!E62+MARZO!E62+ABRIL!E62+MAYO!E62+#REF!+#REF!+#REF!+#REF!+#REF!+#REF!+#REF!)</f>
        <v>#REF!</v>
      </c>
      <c r="F62" s="13" t="e">
        <f>SUM(ENERO!F62+FEBRERO!F62+MARZO!F62+ABRIL!F62+MAYO!F62+#REF!+#REF!+#REF!+#REF!+#REF!+#REF!+#REF!)</f>
        <v>#REF!</v>
      </c>
      <c r="G62" s="13" t="e">
        <f>SUM(ENERO!G62+FEBRERO!G62+MARZO!G62+ABRIL!G62+MAYO!G62+#REF!+#REF!+#REF!+#REF!+#REF!+#REF!+#REF!)</f>
        <v>#REF!</v>
      </c>
      <c r="H62" s="26" t="e">
        <f>SUM(B62:G62)</f>
        <v>#REF!</v>
      </c>
      <c r="I62" s="134">
        <v>4.9000000000000004</v>
      </c>
      <c r="J62" s="1"/>
      <c r="K62" s="178" t="s">
        <v>151</v>
      </c>
      <c r="L62" s="179"/>
      <c r="M62" s="179"/>
      <c r="N62" s="179"/>
      <c r="O62" s="179"/>
      <c r="P62" s="179"/>
      <c r="Q62" s="179"/>
      <c r="R62" s="64" t="e">
        <f>R41</f>
        <v>#REF!</v>
      </c>
      <c r="S62" s="91"/>
      <c r="T62" s="4"/>
      <c r="U62" s="1"/>
      <c r="V62" t="e">
        <f t="shared" si="18"/>
        <v>#REF!</v>
      </c>
      <c r="W62" t="e">
        <f t="shared" si="19"/>
        <v>#REF!</v>
      </c>
      <c r="X62" t="e">
        <f t="shared" si="20"/>
        <v>#REF!</v>
      </c>
      <c r="Y62" t="e">
        <f t="shared" si="21"/>
        <v>#REF!</v>
      </c>
      <c r="Z62" t="e">
        <f t="shared" si="22"/>
        <v>#REF!</v>
      </c>
      <c r="AA62" t="e">
        <f t="shared" si="23"/>
        <v>#REF!</v>
      </c>
      <c r="AB62" t="e">
        <f t="shared" si="24"/>
        <v>#REF!</v>
      </c>
    </row>
    <row r="63" spans="1:28" ht="15.75" thickBot="1" x14ac:dyDescent="0.3">
      <c r="A63" s="7" t="s">
        <v>118</v>
      </c>
      <c r="B63" s="37" t="e">
        <f>SUM(ENERO!B63+FEBRERO!B63+MARZO!B63+ABRIL!B63+MAYO!B63+#REF!+#REF!+#REF!+#REF!+#REF!+#REF!+#REF!)</f>
        <v>#REF!</v>
      </c>
      <c r="C63" s="13" t="e">
        <f>SUM(ENERO!C63+FEBRERO!C63+MARZO!C63+ABRIL!C63+MAYO!C63+#REF!+#REF!+#REF!+#REF!+#REF!+#REF!+#REF!)</f>
        <v>#REF!</v>
      </c>
      <c r="D63" s="13" t="e">
        <f>SUM(ENERO!D63+FEBRERO!D63+MARZO!D63+ABRIL!D63+MAYO!D63+#REF!+#REF!+#REF!+#REF!+#REF!+#REF!+#REF!)</f>
        <v>#REF!</v>
      </c>
      <c r="E63" s="13" t="e">
        <f>SUM(ENERO!E63+FEBRERO!E63+MARZO!E63+ABRIL!E63+MAYO!E63+#REF!+#REF!+#REF!+#REF!+#REF!+#REF!+#REF!)</f>
        <v>#REF!</v>
      </c>
      <c r="F63" s="13" t="e">
        <f>SUM(ENERO!F63+FEBRERO!F63+MARZO!F63+ABRIL!F63+MAYO!F63+#REF!+#REF!+#REF!+#REF!+#REF!+#REF!+#REF!)</f>
        <v>#REF!</v>
      </c>
      <c r="G63" s="13" t="e">
        <f>SUM(ENERO!G63+FEBRERO!G63+MARZO!G63+ABRIL!G63+MAYO!G63+#REF!+#REF!+#REF!+#REF!+#REF!+#REF!+#REF!)</f>
        <v>#REF!</v>
      </c>
      <c r="H63" s="33" t="e">
        <f>SUM(B63:G63)</f>
        <v>#REF!</v>
      </c>
      <c r="I63" s="134">
        <v>1</v>
      </c>
      <c r="J63" s="1"/>
      <c r="N63" s="53"/>
      <c r="O63" s="53"/>
      <c r="P63" s="53"/>
      <c r="Q63" s="39" t="s">
        <v>11</v>
      </c>
      <c r="R63" s="61" t="e">
        <f>SUM(R54:R62)</f>
        <v>#REF!</v>
      </c>
      <c r="S63" s="91"/>
      <c r="T63" s="4"/>
      <c r="U63" s="1"/>
      <c r="V63" t="e">
        <f t="shared" si="18"/>
        <v>#REF!</v>
      </c>
      <c r="W63" t="e">
        <f t="shared" si="19"/>
        <v>#REF!</v>
      </c>
      <c r="X63" t="e">
        <f t="shared" si="20"/>
        <v>#REF!</v>
      </c>
      <c r="Y63" t="e">
        <f t="shared" si="21"/>
        <v>#REF!</v>
      </c>
      <c r="Z63" t="e">
        <f t="shared" si="22"/>
        <v>#REF!</v>
      </c>
      <c r="AA63" t="e">
        <f t="shared" si="23"/>
        <v>#REF!</v>
      </c>
      <c r="AB63" t="e">
        <f t="shared" si="24"/>
        <v>#REF!</v>
      </c>
    </row>
    <row r="64" spans="1:28" x14ac:dyDescent="0.25">
      <c r="A64" s="7" t="s">
        <v>37</v>
      </c>
      <c r="B64" s="37" t="e">
        <f>SUM(ENERO!B64+FEBRERO!B64+MARZO!B64+ABRIL!B64+MAYO!B64+#REF!+#REF!+#REF!+#REF!+#REF!+#REF!+#REF!)</f>
        <v>#REF!</v>
      </c>
      <c r="C64" s="13" t="e">
        <f>SUM(ENERO!C64+FEBRERO!C64+MARZO!C64+ABRIL!C64+MAYO!C64+#REF!+#REF!+#REF!+#REF!+#REF!+#REF!+#REF!)</f>
        <v>#REF!</v>
      </c>
      <c r="D64" s="13" t="e">
        <f>SUM(ENERO!D64+FEBRERO!D64+MARZO!D64+ABRIL!D64+MAYO!D64+#REF!+#REF!+#REF!+#REF!+#REF!+#REF!+#REF!)</f>
        <v>#REF!</v>
      </c>
      <c r="E64" s="13" t="e">
        <f>SUM(ENERO!E64+FEBRERO!E64+MARZO!E64+ABRIL!E64+MAYO!E64+#REF!+#REF!+#REF!+#REF!+#REF!+#REF!+#REF!)</f>
        <v>#REF!</v>
      </c>
      <c r="F64" s="13" t="e">
        <f>SUM(ENERO!F64+FEBRERO!F64+MARZO!F64+ABRIL!F64+MAYO!F64+#REF!+#REF!+#REF!+#REF!+#REF!+#REF!+#REF!)</f>
        <v>#REF!</v>
      </c>
      <c r="G64" s="13" t="e">
        <f>SUM(ENERO!G64+FEBRERO!G64+MARZO!G64+ABRIL!G64+MAYO!G64+#REF!+#REF!+#REF!+#REF!+#REF!+#REF!+#REF!)</f>
        <v>#REF!</v>
      </c>
      <c r="H64" s="26" t="e">
        <f t="shared" si="17"/>
        <v>#REF!</v>
      </c>
      <c r="I64" s="134">
        <v>7</v>
      </c>
      <c r="J64" s="1"/>
      <c r="Q64" s="1"/>
      <c r="R64" s="1"/>
      <c r="S64" s="1"/>
      <c r="T64" s="4"/>
      <c r="U64" s="1"/>
      <c r="V64" t="e">
        <f t="shared" si="18"/>
        <v>#REF!</v>
      </c>
      <c r="W64" t="e">
        <f t="shared" si="19"/>
        <v>#REF!</v>
      </c>
      <c r="X64" t="e">
        <f t="shared" si="20"/>
        <v>#REF!</v>
      </c>
      <c r="Y64" t="e">
        <f t="shared" si="21"/>
        <v>#REF!</v>
      </c>
      <c r="Z64" t="e">
        <f t="shared" si="22"/>
        <v>#REF!</v>
      </c>
      <c r="AA64" t="e">
        <f t="shared" si="23"/>
        <v>#REF!</v>
      </c>
      <c r="AB64" t="e">
        <f t="shared" si="24"/>
        <v>#REF!</v>
      </c>
    </row>
    <row r="65" spans="1:28" x14ac:dyDescent="0.25">
      <c r="A65" s="7" t="s">
        <v>38</v>
      </c>
      <c r="B65" s="37" t="e">
        <f>SUM(ENERO!B65+FEBRERO!B65+MARZO!B65+ABRIL!B65+MAYO!B65+#REF!+#REF!+#REF!+#REF!+#REF!+#REF!+#REF!)</f>
        <v>#REF!</v>
      </c>
      <c r="C65" s="13" t="e">
        <f>SUM(ENERO!C65+FEBRERO!C65+MARZO!C65+ABRIL!C65+MAYO!C65+#REF!+#REF!+#REF!+#REF!+#REF!+#REF!+#REF!)</f>
        <v>#REF!</v>
      </c>
      <c r="D65" s="13" t="e">
        <f>SUM(ENERO!D65+FEBRERO!D65+MARZO!D65+ABRIL!D65+MAYO!D65+#REF!+#REF!+#REF!+#REF!+#REF!+#REF!+#REF!)</f>
        <v>#REF!</v>
      </c>
      <c r="E65" s="13" t="e">
        <f>SUM(ENERO!E65+FEBRERO!E65+MARZO!E65+ABRIL!E65+MAYO!E65+#REF!+#REF!+#REF!+#REF!+#REF!+#REF!+#REF!)</f>
        <v>#REF!</v>
      </c>
      <c r="F65" s="13" t="e">
        <f>SUM(ENERO!F65+FEBRERO!F65+MARZO!F65+ABRIL!F65+MAYO!F65+#REF!+#REF!+#REF!+#REF!+#REF!+#REF!+#REF!)</f>
        <v>#REF!</v>
      </c>
      <c r="G65" s="13" t="e">
        <f>SUM(ENERO!G65+FEBRERO!G65+MARZO!G65+ABRIL!G65+MAYO!G65+#REF!+#REF!+#REF!+#REF!+#REF!+#REF!+#REF!)</f>
        <v>#REF!</v>
      </c>
      <c r="H65" s="26" t="e">
        <f t="shared" si="17"/>
        <v>#REF!</v>
      </c>
      <c r="I65" s="134">
        <v>6.5</v>
      </c>
      <c r="J65" s="1"/>
      <c r="T65" s="4"/>
      <c r="U65" s="1"/>
      <c r="V65" t="e">
        <f t="shared" ref="V65:V68" si="25">B65*I65</f>
        <v>#REF!</v>
      </c>
      <c r="W65" t="e">
        <f t="shared" ref="W65:W68" si="26">C65*I65</f>
        <v>#REF!</v>
      </c>
      <c r="X65" t="e">
        <f t="shared" ref="X65:X68" si="27">D65*I65</f>
        <v>#REF!</v>
      </c>
      <c r="Y65" t="e">
        <f t="shared" ref="Y65:Y68" si="28">E65*I65</f>
        <v>#REF!</v>
      </c>
      <c r="Z65" t="e">
        <f t="shared" ref="Z65:Z68" si="29">F65*I65</f>
        <v>#REF!</v>
      </c>
      <c r="AA65" t="e">
        <f t="shared" ref="AA65:AA68" si="30">G65*I65</f>
        <v>#REF!</v>
      </c>
      <c r="AB65" t="e">
        <f t="shared" si="24"/>
        <v>#REF!</v>
      </c>
    </row>
    <row r="66" spans="1:28" x14ac:dyDescent="0.25">
      <c r="A66" s="7" t="s">
        <v>73</v>
      </c>
      <c r="B66" s="37" t="e">
        <f>SUM(ENERO!B66+FEBRERO!B66+MARZO!B66+ABRIL!B66+MAYO!B66+#REF!+#REF!+#REF!+#REF!+#REF!+#REF!+#REF!)</f>
        <v>#REF!</v>
      </c>
      <c r="C66" s="13" t="e">
        <f>SUM(ENERO!C66+FEBRERO!C66+MARZO!C66+ABRIL!C66+MAYO!C66+#REF!+#REF!+#REF!+#REF!+#REF!+#REF!+#REF!)</f>
        <v>#REF!</v>
      </c>
      <c r="D66" s="13" t="e">
        <f>SUM(ENERO!D66+FEBRERO!D66+MARZO!D66+ABRIL!D66+MAYO!D66+#REF!+#REF!+#REF!+#REF!+#REF!+#REF!+#REF!)</f>
        <v>#REF!</v>
      </c>
      <c r="E66" s="13" t="e">
        <f>SUM(ENERO!E66+FEBRERO!E66+MARZO!E66+ABRIL!E66+MAYO!E66+#REF!+#REF!+#REF!+#REF!+#REF!+#REF!+#REF!)</f>
        <v>#REF!</v>
      </c>
      <c r="F66" s="13" t="e">
        <f>SUM(ENERO!F66+FEBRERO!F66+MARZO!F66+ABRIL!F66+MAYO!F66+#REF!+#REF!+#REF!+#REF!+#REF!+#REF!+#REF!)</f>
        <v>#REF!</v>
      </c>
      <c r="G66" s="13" t="e">
        <f>SUM(ENERO!G66+FEBRERO!G66+MARZO!G66+ABRIL!G66+MAYO!G66+#REF!+#REF!+#REF!+#REF!+#REF!+#REF!+#REF!)</f>
        <v>#REF!</v>
      </c>
      <c r="H66" s="26" t="e">
        <f t="shared" si="17"/>
        <v>#REF!</v>
      </c>
      <c r="I66" s="134"/>
      <c r="J66" s="1"/>
      <c r="K66" s="1"/>
      <c r="L66" s="1"/>
      <c r="M66" s="1"/>
      <c r="N66" s="1"/>
      <c r="O66" s="1"/>
      <c r="P66" s="1"/>
      <c r="T66" s="4"/>
      <c r="U66" s="1"/>
      <c r="V66" t="e">
        <f t="shared" si="25"/>
        <v>#REF!</v>
      </c>
      <c r="W66" t="e">
        <f t="shared" si="26"/>
        <v>#REF!</v>
      </c>
      <c r="X66" t="e">
        <f t="shared" si="27"/>
        <v>#REF!</v>
      </c>
      <c r="Y66" t="e">
        <f t="shared" si="28"/>
        <v>#REF!</v>
      </c>
      <c r="Z66" t="e">
        <f t="shared" si="29"/>
        <v>#REF!</v>
      </c>
      <c r="AA66" t="e">
        <f t="shared" si="30"/>
        <v>#REF!</v>
      </c>
      <c r="AB66" t="e">
        <f t="shared" si="24"/>
        <v>#REF!</v>
      </c>
    </row>
    <row r="67" spans="1:28" x14ac:dyDescent="0.25">
      <c r="A67" s="7" t="s">
        <v>39</v>
      </c>
      <c r="B67" s="37" t="e">
        <f>SUM(ENERO!B67+FEBRERO!B67+MARZO!B67+ABRIL!B67+MAYO!B67+#REF!+#REF!+#REF!+#REF!+#REF!+#REF!+#REF!)</f>
        <v>#REF!</v>
      </c>
      <c r="C67" s="13" t="e">
        <f>SUM(ENERO!C67+FEBRERO!C67+MARZO!C67+ABRIL!C67+MAYO!C67+#REF!+#REF!+#REF!+#REF!+#REF!+#REF!+#REF!)</f>
        <v>#REF!</v>
      </c>
      <c r="D67" s="13" t="e">
        <f>SUM(ENERO!D67+FEBRERO!D67+MARZO!D67+ABRIL!D67+MAYO!D67+#REF!+#REF!+#REF!+#REF!+#REF!+#REF!+#REF!)</f>
        <v>#REF!</v>
      </c>
      <c r="E67" s="13" t="e">
        <f>SUM(ENERO!E67+FEBRERO!E67+MARZO!E67+ABRIL!E67+MAYO!E67+#REF!+#REF!+#REF!+#REF!+#REF!+#REF!+#REF!)</f>
        <v>#REF!</v>
      </c>
      <c r="F67" s="13" t="e">
        <f>SUM(ENERO!F67+FEBRERO!F67+MARZO!F67+ABRIL!F67+MAYO!F67+#REF!+#REF!+#REF!+#REF!+#REF!+#REF!+#REF!)</f>
        <v>#REF!</v>
      </c>
      <c r="G67" s="13" t="e">
        <f>SUM(ENERO!G67+FEBRERO!G67+MARZO!G67+ABRIL!G67+MAYO!G67+#REF!+#REF!+#REF!+#REF!+#REF!+#REF!+#REF!)</f>
        <v>#REF!</v>
      </c>
      <c r="H67" s="26" t="e">
        <f t="shared" si="17"/>
        <v>#REF!</v>
      </c>
      <c r="I67" s="134">
        <v>7.3</v>
      </c>
      <c r="J67" s="1"/>
      <c r="T67" s="4"/>
      <c r="U67" s="1"/>
      <c r="V67" t="e">
        <f t="shared" si="25"/>
        <v>#REF!</v>
      </c>
      <c r="W67" t="e">
        <f t="shared" si="26"/>
        <v>#REF!</v>
      </c>
      <c r="X67" t="e">
        <f t="shared" si="27"/>
        <v>#REF!</v>
      </c>
      <c r="Y67" t="e">
        <f t="shared" si="28"/>
        <v>#REF!</v>
      </c>
      <c r="Z67" t="e">
        <f t="shared" si="29"/>
        <v>#REF!</v>
      </c>
      <c r="AA67" t="e">
        <f t="shared" si="30"/>
        <v>#REF!</v>
      </c>
      <c r="AB67" t="e">
        <f t="shared" si="24"/>
        <v>#REF!</v>
      </c>
    </row>
    <row r="68" spans="1:28" x14ac:dyDescent="0.25">
      <c r="A68" s="18" t="s">
        <v>40</v>
      </c>
      <c r="B68" s="37" t="e">
        <f>SUM(ENERO!B68+FEBRERO!B68+MARZO!B68+ABRIL!B68+MAYO!B68+#REF!+#REF!+#REF!+#REF!+#REF!+#REF!+#REF!)</f>
        <v>#REF!</v>
      </c>
      <c r="C68" s="13" t="e">
        <f>SUM(ENERO!C68+FEBRERO!C68+MARZO!C68+ABRIL!C68+MAYO!C68+#REF!+#REF!+#REF!+#REF!+#REF!+#REF!+#REF!)</f>
        <v>#REF!</v>
      </c>
      <c r="D68" s="13" t="e">
        <f>SUM(ENERO!D68+FEBRERO!D68+MARZO!D68+ABRIL!D68+MAYO!D68+#REF!+#REF!+#REF!+#REF!+#REF!+#REF!+#REF!)</f>
        <v>#REF!</v>
      </c>
      <c r="E68" s="13" t="e">
        <f>SUM(ENERO!E68+FEBRERO!E68+MARZO!E68+ABRIL!E68+MAYO!E68+#REF!+#REF!+#REF!+#REF!+#REF!+#REF!+#REF!)</f>
        <v>#REF!</v>
      </c>
      <c r="F68" s="13" t="e">
        <f>SUM(ENERO!F68+FEBRERO!F68+MARZO!F68+ABRIL!F68+MAYO!F68+#REF!+#REF!+#REF!+#REF!+#REF!+#REF!+#REF!)</f>
        <v>#REF!</v>
      </c>
      <c r="G68" s="13" t="e">
        <f>SUM(ENERO!G68+FEBRERO!G68+MARZO!G68+ABRIL!G68+MAYO!G68+#REF!+#REF!+#REF!+#REF!+#REF!+#REF!+#REF!)</f>
        <v>#REF!</v>
      </c>
      <c r="H68" s="26" t="e">
        <f t="shared" si="17"/>
        <v>#REF!</v>
      </c>
      <c r="I68" s="134">
        <v>40</v>
      </c>
      <c r="J68" s="1"/>
      <c r="T68" s="4"/>
      <c r="U68" s="1"/>
      <c r="V68" t="e">
        <f t="shared" si="25"/>
        <v>#REF!</v>
      </c>
      <c r="W68" t="e">
        <f t="shared" si="26"/>
        <v>#REF!</v>
      </c>
      <c r="X68" t="e">
        <f t="shared" si="27"/>
        <v>#REF!</v>
      </c>
      <c r="Y68" t="e">
        <f t="shared" si="28"/>
        <v>#REF!</v>
      </c>
      <c r="Z68" t="e">
        <f t="shared" si="29"/>
        <v>#REF!</v>
      </c>
      <c r="AA68" t="e">
        <f t="shared" si="30"/>
        <v>#REF!</v>
      </c>
      <c r="AB68" t="e">
        <f t="shared" si="24"/>
        <v>#REF!</v>
      </c>
    </row>
    <row r="69" spans="1:28" x14ac:dyDescent="0.25">
      <c r="A69" s="114" t="s">
        <v>54</v>
      </c>
      <c r="B69" s="74" t="e">
        <f>SUM(B70:B81)</f>
        <v>#REF!</v>
      </c>
      <c r="C69" s="74" t="e">
        <f>SUM(C70:C81)</f>
        <v>#REF!</v>
      </c>
      <c r="D69" s="74" t="e">
        <f>SUM(D70:D81)</f>
        <v>#REF!</v>
      </c>
      <c r="E69" s="74" t="e">
        <f>SUM(E70:E81)</f>
        <v>#REF!</v>
      </c>
      <c r="F69" s="74" t="e">
        <f t="shared" ref="F69:G69" si="31">SUM(F70:F81)</f>
        <v>#REF!</v>
      </c>
      <c r="G69" s="74" t="e">
        <f t="shared" si="31"/>
        <v>#REF!</v>
      </c>
      <c r="H69" s="75" t="e">
        <f t="shared" si="17"/>
        <v>#REF!</v>
      </c>
      <c r="I69" s="131"/>
      <c r="J69" s="1"/>
      <c r="T69" s="4"/>
      <c r="U69" s="140"/>
      <c r="V69" s="141" t="s">
        <v>11</v>
      </c>
      <c r="W69" s="141" t="e">
        <f>SUM(W52:W68)</f>
        <v>#REF!</v>
      </c>
      <c r="X69" s="141"/>
      <c r="Y69" s="141"/>
      <c r="Z69" s="141"/>
      <c r="AA69" s="141" t="s">
        <v>11</v>
      </c>
      <c r="AB69" s="141" t="e">
        <f>SUM(AB52:AB68)</f>
        <v>#REF!</v>
      </c>
    </row>
    <row r="70" spans="1:28" x14ac:dyDescent="0.25">
      <c r="A70" s="103" t="s">
        <v>55</v>
      </c>
      <c r="B70" s="65" t="e">
        <f>SUM(ENERO!B70+FEBRERO!B70+MARZO!B70+ABRIL!B70+MAYO!B70+#REF!+#REF!+#REF!+#REF!+#REF!+#REF!+#REF!)</f>
        <v>#REF!</v>
      </c>
      <c r="C70" s="65" t="e">
        <f>SUM(ENERO!C70+FEBRERO!C70+MARZO!C70+ABRIL!C70+MAYO!C70+#REF!+#REF!+#REF!+#REF!+#REF!+#REF!+#REF!)</f>
        <v>#REF!</v>
      </c>
      <c r="D70" s="65" t="e">
        <f>SUM(ENERO!D70+FEBRERO!D70+MARZO!D70+ABRIL!D70+MAYO!D70+#REF!+#REF!+#REF!+#REF!+#REF!+#REF!+#REF!)</f>
        <v>#REF!</v>
      </c>
      <c r="E70" s="91" t="e">
        <f>SUM(ENERO!E70+FEBRERO!E70+MARZO!E70+ABRIL!E70+MAYO!E70+#REF!+#REF!+#REF!+#REF!+#REF!+#REF!+#REF!)</f>
        <v>#REF!</v>
      </c>
      <c r="F70" s="65" t="e">
        <f>SUM(ENERO!F70+FEBRERO!F70+MARZO!F70+ABRIL!F70+MAYO!F70+#REF!+#REF!+#REF!+#REF!+#REF!+#REF!+#REF!)</f>
        <v>#REF!</v>
      </c>
      <c r="G70" s="91" t="e">
        <f>SUM(ENERO!G70+FEBRERO!G70+MARZO!G70+ABRIL!G70+MAYO!G70+#REF!+#REF!+#REF!+#REF!+#REF!+#REF!+#REF!)</f>
        <v>#REF!</v>
      </c>
      <c r="H70" s="14" t="e">
        <f t="shared" si="17"/>
        <v>#REF!</v>
      </c>
      <c r="I70" s="128">
        <v>10</v>
      </c>
      <c r="J70" s="1"/>
      <c r="T70" s="4"/>
      <c r="U70" s="1"/>
      <c r="V70" t="e">
        <f>B70*I70</f>
        <v>#REF!</v>
      </c>
      <c r="W70" t="e">
        <f>C70*I70</f>
        <v>#REF!</v>
      </c>
      <c r="X70" t="e">
        <f>D70*I70</f>
        <v>#REF!</v>
      </c>
      <c r="Y70" t="e">
        <f>E70*I70</f>
        <v>#REF!</v>
      </c>
      <c r="Z70" t="e">
        <f>F70*I70</f>
        <v>#REF!</v>
      </c>
      <c r="AA70" t="e">
        <f>G70*I70</f>
        <v>#REF!</v>
      </c>
      <c r="AB70" t="e">
        <f>V70+X70+Y70+Z70</f>
        <v>#REF!</v>
      </c>
    </row>
    <row r="71" spans="1:28" x14ac:dyDescent="0.25">
      <c r="A71" s="104" t="s">
        <v>56</v>
      </c>
      <c r="B71" s="66" t="e">
        <f>SUM(ENERO!B71+FEBRERO!B71+MARZO!B71+ABRIL!B71+MAYO!B71+#REF!+#REF!+#REF!+#REF!+#REF!+#REF!+#REF!)</f>
        <v>#REF!</v>
      </c>
      <c r="C71" s="66" t="e">
        <f>SUM(ENERO!C71+FEBRERO!C71+MARZO!C71+ABRIL!C71+MAYO!C71+#REF!+#REF!+#REF!+#REF!+#REF!+#REF!+#REF!)</f>
        <v>#REF!</v>
      </c>
      <c r="D71" s="66" t="e">
        <f>SUM(ENERO!D71+FEBRERO!D71+MARZO!D71+ABRIL!D71+MAYO!D71+#REF!+#REF!+#REF!+#REF!+#REF!+#REF!+#REF!)</f>
        <v>#REF!</v>
      </c>
      <c r="E71" s="91" t="e">
        <f>SUM(ENERO!E71+FEBRERO!E71+MARZO!E71+ABRIL!E71+MAYO!E71+#REF!+#REF!+#REF!+#REF!+#REF!+#REF!+#REF!)</f>
        <v>#REF!</v>
      </c>
      <c r="F71" s="66" t="e">
        <f>SUM(ENERO!F71+FEBRERO!F71+MARZO!F71+ABRIL!F71+MAYO!F71+#REF!+#REF!+#REF!+#REF!+#REF!+#REF!+#REF!)</f>
        <v>#REF!</v>
      </c>
      <c r="G71" s="91" t="e">
        <f>SUM(ENERO!G71+FEBRERO!G71+MARZO!G71+ABRIL!G71+MAYO!G71+#REF!+#REF!+#REF!+#REF!+#REF!+#REF!+#REF!)</f>
        <v>#REF!</v>
      </c>
      <c r="H71" s="14" t="e">
        <f t="shared" si="17"/>
        <v>#REF!</v>
      </c>
      <c r="I71" s="128">
        <v>20</v>
      </c>
      <c r="J71" s="1"/>
      <c r="T71" s="4"/>
      <c r="U71" s="1"/>
      <c r="V71" t="e">
        <f t="shared" ref="V71:V78" si="32">B71*I71</f>
        <v>#REF!</v>
      </c>
      <c r="W71" t="e">
        <f t="shared" ref="W71:W78" si="33">C71*I71</f>
        <v>#REF!</v>
      </c>
      <c r="X71" t="e">
        <f t="shared" ref="X71:X78" si="34">D71*I71</f>
        <v>#REF!</v>
      </c>
      <c r="Y71" t="e">
        <f t="shared" ref="Y71:Y78" si="35">E71*I71</f>
        <v>#REF!</v>
      </c>
      <c r="Z71" t="e">
        <f t="shared" ref="Z71:Z78" si="36">F71*I71</f>
        <v>#REF!</v>
      </c>
      <c r="AA71" t="e">
        <f t="shared" ref="AA71:AA78" si="37">G71*I71</f>
        <v>#REF!</v>
      </c>
      <c r="AB71" t="e">
        <f t="shared" ref="AB71:AB81" si="38">V71+X71+Y71+Z71</f>
        <v>#REF!</v>
      </c>
    </row>
    <row r="72" spans="1:28" x14ac:dyDescent="0.25">
      <c r="A72" s="104" t="s">
        <v>58</v>
      </c>
      <c r="B72" s="66" t="e">
        <f>SUM(ENERO!B72+FEBRERO!B72+MARZO!B72+ABRIL!B72+MAYO!B72+#REF!+#REF!+#REF!+#REF!+#REF!+#REF!+#REF!)</f>
        <v>#REF!</v>
      </c>
      <c r="C72" s="66" t="e">
        <f>SUM(ENERO!C72+FEBRERO!C72+MARZO!C72+ABRIL!C72+MAYO!C72+#REF!+#REF!+#REF!+#REF!+#REF!+#REF!+#REF!)</f>
        <v>#REF!</v>
      </c>
      <c r="D72" s="66" t="e">
        <f>SUM(ENERO!D72+FEBRERO!D72+MARZO!D72+ABRIL!D72+MAYO!D72+#REF!+#REF!+#REF!+#REF!+#REF!+#REF!+#REF!)</f>
        <v>#REF!</v>
      </c>
      <c r="E72" s="91" t="e">
        <f>SUM(ENERO!E72+FEBRERO!E72+MARZO!E72+ABRIL!E72+MAYO!E72+#REF!+#REF!+#REF!+#REF!+#REF!+#REF!+#REF!)</f>
        <v>#REF!</v>
      </c>
      <c r="F72" s="66" t="e">
        <f>SUM(ENERO!F72+FEBRERO!F72+MARZO!F72+ABRIL!F72+MAYO!F72+#REF!+#REF!+#REF!+#REF!+#REF!+#REF!+#REF!)</f>
        <v>#REF!</v>
      </c>
      <c r="G72" s="91" t="e">
        <f>SUM(ENERO!G72+FEBRERO!G72+MARZO!G72+ABRIL!G72+MAYO!G72+#REF!+#REF!+#REF!+#REF!+#REF!+#REF!+#REF!)</f>
        <v>#REF!</v>
      </c>
      <c r="H72" s="14" t="e">
        <f t="shared" si="17"/>
        <v>#REF!</v>
      </c>
      <c r="I72" s="128">
        <v>10</v>
      </c>
      <c r="J72" s="1"/>
      <c r="T72" s="4"/>
      <c r="U72" s="1"/>
      <c r="V72" t="e">
        <f t="shared" si="32"/>
        <v>#REF!</v>
      </c>
      <c r="W72" t="e">
        <f t="shared" si="33"/>
        <v>#REF!</v>
      </c>
      <c r="X72" t="e">
        <f t="shared" si="34"/>
        <v>#REF!</v>
      </c>
      <c r="Y72" t="e">
        <f t="shared" si="35"/>
        <v>#REF!</v>
      </c>
      <c r="Z72" t="e">
        <f t="shared" si="36"/>
        <v>#REF!</v>
      </c>
      <c r="AA72" t="e">
        <f t="shared" si="37"/>
        <v>#REF!</v>
      </c>
      <c r="AB72" t="e">
        <f t="shared" si="38"/>
        <v>#REF!</v>
      </c>
    </row>
    <row r="73" spans="1:28" x14ac:dyDescent="0.25">
      <c r="A73" s="104" t="s">
        <v>68</v>
      </c>
      <c r="B73" s="66" t="e">
        <f>SUM(ENERO!B73+FEBRERO!B73+MARZO!B73+ABRIL!B73+MAYO!B73+#REF!+#REF!+#REF!+#REF!+#REF!+#REF!+#REF!)</f>
        <v>#REF!</v>
      </c>
      <c r="C73" s="66" t="e">
        <f>SUM(ENERO!C73+FEBRERO!C73+MARZO!C73+ABRIL!C73+MAYO!C73+#REF!+#REF!+#REF!+#REF!+#REF!+#REF!+#REF!)</f>
        <v>#REF!</v>
      </c>
      <c r="D73" s="66" t="e">
        <f>SUM(ENERO!D73+FEBRERO!D73+MARZO!D73+ABRIL!D73+MAYO!D73+#REF!+#REF!+#REF!+#REF!+#REF!+#REF!+#REF!)</f>
        <v>#REF!</v>
      </c>
      <c r="E73" s="91" t="e">
        <f>SUM(ENERO!E73+FEBRERO!E73+MARZO!E73+ABRIL!E73+MAYO!E73+#REF!+#REF!+#REF!+#REF!+#REF!+#REF!+#REF!)</f>
        <v>#REF!</v>
      </c>
      <c r="F73" s="66" t="e">
        <f>SUM(ENERO!F73+FEBRERO!F73+MARZO!F73+ABRIL!F73+MAYO!F73+#REF!+#REF!+#REF!+#REF!+#REF!+#REF!+#REF!)</f>
        <v>#REF!</v>
      </c>
      <c r="G73" s="91" t="e">
        <f>SUM(ENERO!G73+FEBRERO!G73+MARZO!G73+ABRIL!G73+MAYO!G73+#REF!+#REF!+#REF!+#REF!+#REF!+#REF!+#REF!)</f>
        <v>#REF!</v>
      </c>
      <c r="H73" s="14" t="e">
        <f t="shared" si="17"/>
        <v>#REF!</v>
      </c>
      <c r="I73" s="128">
        <v>10</v>
      </c>
      <c r="J73" s="1"/>
      <c r="T73" s="4"/>
      <c r="U73" s="1"/>
      <c r="V73" t="e">
        <f t="shared" si="32"/>
        <v>#REF!</v>
      </c>
      <c r="W73" t="e">
        <f t="shared" si="33"/>
        <v>#REF!</v>
      </c>
      <c r="X73" t="e">
        <f t="shared" si="34"/>
        <v>#REF!</v>
      </c>
      <c r="Y73" t="e">
        <f t="shared" si="35"/>
        <v>#REF!</v>
      </c>
      <c r="Z73" t="e">
        <f t="shared" si="36"/>
        <v>#REF!</v>
      </c>
      <c r="AA73" t="e">
        <f t="shared" si="37"/>
        <v>#REF!</v>
      </c>
      <c r="AB73" t="e">
        <f>V73+X73+Y73+Z73+AA73</f>
        <v>#REF!</v>
      </c>
    </row>
    <row r="74" spans="1:28" x14ac:dyDescent="0.25">
      <c r="A74" s="104" t="s">
        <v>69</v>
      </c>
      <c r="B74" s="66" t="e">
        <f>SUM(ENERO!B74+FEBRERO!B74+MARZO!B74+ABRIL!B74+MAYO!B74+#REF!+#REF!+#REF!+#REF!+#REF!+#REF!+#REF!)</f>
        <v>#REF!</v>
      </c>
      <c r="C74" s="66" t="e">
        <f>SUM(ENERO!C74+FEBRERO!C74+MARZO!C74+ABRIL!C74+MAYO!C74+#REF!+#REF!+#REF!+#REF!+#REF!+#REF!+#REF!)</f>
        <v>#REF!</v>
      </c>
      <c r="D74" s="66" t="e">
        <f>SUM(ENERO!D74+FEBRERO!D74+MARZO!D74+ABRIL!D74+MAYO!D74+#REF!+#REF!+#REF!+#REF!+#REF!+#REF!+#REF!)</f>
        <v>#REF!</v>
      </c>
      <c r="E74" s="91" t="e">
        <f>SUM(ENERO!E74+FEBRERO!E74+MARZO!E74+ABRIL!E74+MAYO!E74+#REF!+#REF!+#REF!+#REF!+#REF!+#REF!+#REF!)</f>
        <v>#REF!</v>
      </c>
      <c r="F74" s="66" t="e">
        <f>SUM(ENERO!F74+FEBRERO!F74+MARZO!F74+ABRIL!F74+MAYO!F74+#REF!+#REF!+#REF!+#REF!+#REF!+#REF!+#REF!)</f>
        <v>#REF!</v>
      </c>
      <c r="G74" s="91" t="e">
        <f>SUM(ENERO!G74+FEBRERO!G74+MARZO!G74+ABRIL!G74+MAYO!G74+#REF!+#REF!+#REF!+#REF!+#REF!+#REF!+#REF!)</f>
        <v>#REF!</v>
      </c>
      <c r="H74" s="14" t="e">
        <f t="shared" si="17"/>
        <v>#REF!</v>
      </c>
      <c r="I74" s="128">
        <v>30</v>
      </c>
      <c r="J74" s="1"/>
      <c r="T74" s="4"/>
      <c r="U74" s="1"/>
      <c r="V74" t="e">
        <f t="shared" si="32"/>
        <v>#REF!</v>
      </c>
      <c r="W74" t="e">
        <f t="shared" si="33"/>
        <v>#REF!</v>
      </c>
      <c r="X74" t="e">
        <f t="shared" si="34"/>
        <v>#REF!</v>
      </c>
      <c r="Y74" t="e">
        <f t="shared" si="35"/>
        <v>#REF!</v>
      </c>
      <c r="Z74" t="e">
        <f t="shared" si="36"/>
        <v>#REF!</v>
      </c>
      <c r="AA74" t="e">
        <f t="shared" si="37"/>
        <v>#REF!</v>
      </c>
      <c r="AB74" t="e">
        <f t="shared" si="38"/>
        <v>#REF!</v>
      </c>
    </row>
    <row r="75" spans="1:28" x14ac:dyDescent="0.25">
      <c r="A75" s="104" t="s">
        <v>57</v>
      </c>
      <c r="B75" s="66" t="e">
        <f>SUM(ENERO!B75+FEBRERO!B75+MARZO!B75+ABRIL!B75+MAYO!B75+#REF!+#REF!+#REF!+#REF!+#REF!+#REF!+#REF!)</f>
        <v>#REF!</v>
      </c>
      <c r="C75" s="66" t="e">
        <f>SUM(ENERO!C75+FEBRERO!C75+MARZO!C75+ABRIL!C75+MAYO!C75+#REF!+#REF!+#REF!+#REF!+#REF!+#REF!+#REF!)</f>
        <v>#REF!</v>
      </c>
      <c r="D75" s="66" t="e">
        <f>SUM(ENERO!D75+FEBRERO!D75+MARZO!D75+ABRIL!D75+MAYO!D75+#REF!+#REF!+#REF!+#REF!+#REF!+#REF!+#REF!)</f>
        <v>#REF!</v>
      </c>
      <c r="E75" s="91" t="e">
        <f>SUM(ENERO!E75+FEBRERO!E75+MARZO!E75+ABRIL!E75+MAYO!E75+#REF!+#REF!+#REF!+#REF!+#REF!+#REF!+#REF!)</f>
        <v>#REF!</v>
      </c>
      <c r="F75" s="66" t="e">
        <f>SUM(ENERO!F75+FEBRERO!F75+MARZO!F75+ABRIL!F75+MAYO!F75+#REF!+#REF!+#REF!+#REF!+#REF!+#REF!+#REF!)</f>
        <v>#REF!</v>
      </c>
      <c r="G75" s="91" t="e">
        <f>SUM(ENERO!G75+FEBRERO!G75+MARZO!G75+ABRIL!G75+MAYO!G75+#REF!+#REF!+#REF!+#REF!+#REF!+#REF!+#REF!)</f>
        <v>#REF!</v>
      </c>
      <c r="H75" s="14" t="e">
        <f t="shared" si="17"/>
        <v>#REF!</v>
      </c>
      <c r="I75" s="128">
        <v>10</v>
      </c>
      <c r="J75" s="1"/>
      <c r="T75" s="4"/>
      <c r="U75" s="1"/>
      <c r="V75" t="e">
        <f t="shared" si="32"/>
        <v>#REF!</v>
      </c>
      <c r="W75" t="e">
        <f t="shared" si="33"/>
        <v>#REF!</v>
      </c>
      <c r="X75" t="e">
        <f t="shared" si="34"/>
        <v>#REF!</v>
      </c>
      <c r="Y75" t="e">
        <f t="shared" si="35"/>
        <v>#REF!</v>
      </c>
      <c r="Z75" t="e">
        <f t="shared" si="36"/>
        <v>#REF!</v>
      </c>
      <c r="AA75" t="e">
        <f t="shared" si="37"/>
        <v>#REF!</v>
      </c>
      <c r="AB75" t="e">
        <f>V75+X75+Y75+Z75</f>
        <v>#REF!</v>
      </c>
    </row>
    <row r="76" spans="1:28" x14ac:dyDescent="0.25">
      <c r="A76" s="104" t="s">
        <v>142</v>
      </c>
      <c r="B76" s="66" t="e">
        <f>SUM(ENERO!B76+FEBRERO!B76+MARZO!B76+ABRIL!B76+MAYO!B76+#REF!+#REF!+#REF!+#REF!+#REF!+#REF!+#REF!)</f>
        <v>#REF!</v>
      </c>
      <c r="C76" s="66" t="e">
        <f>SUM(ENERO!C76+FEBRERO!C76+MARZO!C76+ABRIL!C76+MAYO!C76+#REF!+#REF!+#REF!+#REF!+#REF!+#REF!+#REF!)</f>
        <v>#REF!</v>
      </c>
      <c r="D76" s="66" t="e">
        <f>SUM(ENERO!D76+FEBRERO!D76+MARZO!D76+ABRIL!D76+MAYO!D76+#REF!+#REF!+#REF!+#REF!+#REF!+#REF!+#REF!)</f>
        <v>#REF!</v>
      </c>
      <c r="E76" s="91" t="e">
        <f>SUM(ENERO!E76+FEBRERO!E76+MARZO!E76+ABRIL!E76+MAYO!E76+#REF!+#REF!+#REF!+#REF!+#REF!+#REF!+#REF!)</f>
        <v>#REF!</v>
      </c>
      <c r="F76" s="66" t="e">
        <f>SUM(ENERO!F76+FEBRERO!F76+MARZO!F76+ABRIL!F76+MAYO!F76+#REF!+#REF!+#REF!+#REF!+#REF!+#REF!+#REF!)</f>
        <v>#REF!</v>
      </c>
      <c r="G76" s="91" t="e">
        <f>SUM(ENERO!G76+FEBRERO!G76+MARZO!G76+ABRIL!G76+MAYO!G76+#REF!+#REF!+#REF!+#REF!+#REF!+#REF!+#REF!)</f>
        <v>#REF!</v>
      </c>
      <c r="H76" s="14" t="e">
        <f t="shared" si="17"/>
        <v>#REF!</v>
      </c>
      <c r="I76" s="128">
        <v>15</v>
      </c>
      <c r="J76" s="1"/>
      <c r="T76" s="4"/>
      <c r="U76" s="1"/>
      <c r="V76" t="e">
        <f t="shared" si="32"/>
        <v>#REF!</v>
      </c>
      <c r="W76" t="e">
        <f t="shared" si="33"/>
        <v>#REF!</v>
      </c>
      <c r="X76" t="e">
        <f t="shared" si="34"/>
        <v>#REF!</v>
      </c>
      <c r="Y76" t="e">
        <f t="shared" si="35"/>
        <v>#REF!</v>
      </c>
      <c r="Z76" t="e">
        <f t="shared" si="36"/>
        <v>#REF!</v>
      </c>
      <c r="AA76" t="e">
        <f t="shared" si="37"/>
        <v>#REF!</v>
      </c>
      <c r="AB76" t="e">
        <f t="shared" si="38"/>
        <v>#REF!</v>
      </c>
    </row>
    <row r="77" spans="1:28" x14ac:dyDescent="0.25">
      <c r="A77" s="104" t="s">
        <v>59</v>
      </c>
      <c r="B77" s="66" t="e">
        <f>SUM(ENERO!B77+FEBRERO!B77+MARZO!B77+ABRIL!B77+MAYO!B77+#REF!+#REF!+#REF!+#REF!+#REF!+#REF!+#REF!)</f>
        <v>#REF!</v>
      </c>
      <c r="C77" s="66" t="e">
        <f>SUM(ENERO!C77+FEBRERO!C77+MARZO!C77+ABRIL!C77+MAYO!C77+#REF!+#REF!+#REF!+#REF!+#REF!+#REF!+#REF!)</f>
        <v>#REF!</v>
      </c>
      <c r="D77" s="66" t="e">
        <f>SUM(ENERO!D77+FEBRERO!D77+MARZO!D77+ABRIL!D77+MAYO!D77+#REF!+#REF!+#REF!+#REF!+#REF!+#REF!+#REF!)</f>
        <v>#REF!</v>
      </c>
      <c r="E77" s="91" t="e">
        <f>SUM(ENERO!E77+FEBRERO!E77+MARZO!E77+ABRIL!E77+MAYO!E77+#REF!+#REF!+#REF!+#REF!+#REF!+#REF!+#REF!)</f>
        <v>#REF!</v>
      </c>
      <c r="F77" s="66" t="e">
        <f>SUM(ENERO!F77+FEBRERO!F77+MARZO!F77+ABRIL!F77+MAYO!F77+#REF!+#REF!+#REF!+#REF!+#REF!+#REF!+#REF!)</f>
        <v>#REF!</v>
      </c>
      <c r="G77" s="91" t="e">
        <f>SUM(ENERO!G77+FEBRERO!G77+MARZO!G77+ABRIL!G77+MAYO!G77+#REF!+#REF!+#REF!+#REF!+#REF!+#REF!+#REF!)</f>
        <v>#REF!</v>
      </c>
      <c r="H77" s="14" t="e">
        <f t="shared" si="17"/>
        <v>#REF!</v>
      </c>
      <c r="I77" s="128">
        <v>1</v>
      </c>
      <c r="J77" s="1"/>
      <c r="T77" s="4"/>
      <c r="U77" s="1"/>
      <c r="V77" t="e">
        <f t="shared" si="32"/>
        <v>#REF!</v>
      </c>
      <c r="W77" t="e">
        <f t="shared" si="33"/>
        <v>#REF!</v>
      </c>
      <c r="X77" t="e">
        <f t="shared" si="34"/>
        <v>#REF!</v>
      </c>
      <c r="Y77" t="e">
        <f t="shared" si="35"/>
        <v>#REF!</v>
      </c>
      <c r="Z77" t="e">
        <f t="shared" si="36"/>
        <v>#REF!</v>
      </c>
      <c r="AA77" t="e">
        <f t="shared" si="37"/>
        <v>#REF!</v>
      </c>
      <c r="AB77" t="e">
        <f t="shared" si="38"/>
        <v>#REF!</v>
      </c>
    </row>
    <row r="78" spans="1:28" x14ac:dyDescent="0.25">
      <c r="A78" s="104" t="s">
        <v>60</v>
      </c>
      <c r="B78" s="66" t="e">
        <f>SUM(ENERO!B78+FEBRERO!B78+MARZO!B78+ABRIL!B78+MAYO!B78+#REF!+#REF!+#REF!+#REF!+#REF!+#REF!+#REF!)</f>
        <v>#REF!</v>
      </c>
      <c r="C78" s="66" t="e">
        <f>SUM(ENERO!C78+FEBRERO!C78+MARZO!C78+ABRIL!C78+MAYO!C78+#REF!+#REF!+#REF!+#REF!+#REF!+#REF!+#REF!)</f>
        <v>#REF!</v>
      </c>
      <c r="D78" s="66" t="e">
        <f>SUM(ENERO!D78+FEBRERO!D78+MARZO!D78+ABRIL!D78+MAYO!D78+#REF!+#REF!+#REF!+#REF!+#REF!+#REF!+#REF!)</f>
        <v>#REF!</v>
      </c>
      <c r="E78" s="91" t="e">
        <f>SUM(ENERO!E78+FEBRERO!E78+MARZO!E78+ABRIL!E78+MAYO!E78+#REF!+#REF!+#REF!+#REF!+#REF!+#REF!+#REF!)</f>
        <v>#REF!</v>
      </c>
      <c r="F78" s="66" t="e">
        <f>SUM(ENERO!F78+FEBRERO!F78+MARZO!F78+ABRIL!F78+MAYO!F78+#REF!+#REF!+#REF!+#REF!+#REF!+#REF!+#REF!)</f>
        <v>#REF!</v>
      </c>
      <c r="G78" s="91" t="e">
        <f>SUM(ENERO!G78+FEBRERO!G78+MARZO!G78+ABRIL!G78+MAYO!G78+#REF!+#REF!+#REF!+#REF!+#REF!+#REF!+#REF!)</f>
        <v>#REF!</v>
      </c>
      <c r="H78" s="14" t="e">
        <f t="shared" si="17"/>
        <v>#REF!</v>
      </c>
      <c r="I78" s="128">
        <v>12</v>
      </c>
      <c r="J78" s="1"/>
      <c r="T78" s="4"/>
      <c r="U78" s="1"/>
      <c r="V78" t="e">
        <f t="shared" si="32"/>
        <v>#REF!</v>
      </c>
      <c r="W78" t="e">
        <f t="shared" si="33"/>
        <v>#REF!</v>
      </c>
      <c r="X78" t="e">
        <f t="shared" si="34"/>
        <v>#REF!</v>
      </c>
      <c r="Y78" t="e">
        <f t="shared" si="35"/>
        <v>#REF!</v>
      </c>
      <c r="Z78" t="e">
        <f t="shared" si="36"/>
        <v>#REF!</v>
      </c>
      <c r="AA78" t="e">
        <f t="shared" si="37"/>
        <v>#REF!</v>
      </c>
      <c r="AB78" t="e">
        <f t="shared" si="38"/>
        <v>#REF!</v>
      </c>
    </row>
    <row r="79" spans="1:28" x14ac:dyDescent="0.25">
      <c r="A79" s="104" t="s">
        <v>106</v>
      </c>
      <c r="B79" s="66" t="e">
        <f>SUM(ENERO!B79+FEBRERO!B79+MARZO!B79+ABRIL!B79+MAYO!B79+#REF!+#REF!+#REF!+#REF!+#REF!+#REF!+#REF!)</f>
        <v>#REF!</v>
      </c>
      <c r="C79" s="66" t="e">
        <f>SUM(ENERO!C79+FEBRERO!C79+MARZO!C79+ABRIL!C79+MAYO!C79+#REF!+#REF!+#REF!+#REF!+#REF!+#REF!+#REF!)</f>
        <v>#REF!</v>
      </c>
      <c r="D79" s="66" t="e">
        <f>SUM(ENERO!D79+FEBRERO!D79+MARZO!D79+ABRIL!D79+MAYO!D79+#REF!+#REF!+#REF!+#REF!+#REF!+#REF!+#REF!)</f>
        <v>#REF!</v>
      </c>
      <c r="E79" s="91" t="e">
        <f>SUM(ENERO!E79+FEBRERO!E79+MARZO!E79+ABRIL!E79+MAYO!E79+#REF!+#REF!+#REF!+#REF!+#REF!+#REF!+#REF!)</f>
        <v>#REF!</v>
      </c>
      <c r="F79" s="66" t="e">
        <f>SUM(ENERO!F79+FEBRERO!F79+MARZO!F79+ABRIL!F79+MAYO!F79+#REF!+#REF!+#REF!+#REF!+#REF!+#REF!+#REF!)</f>
        <v>#REF!</v>
      </c>
      <c r="G79" s="91" t="e">
        <f>SUM(ENERO!G79+FEBRERO!G79+MARZO!G79+ABRIL!G79+MAYO!G79+#REF!+#REF!+#REF!+#REF!+#REF!+#REF!+#REF!)</f>
        <v>#REF!</v>
      </c>
      <c r="H79" s="14" t="e">
        <f t="shared" si="17"/>
        <v>#REF!</v>
      </c>
      <c r="I79" s="128">
        <v>3</v>
      </c>
      <c r="J79" s="1"/>
      <c r="T79" s="4"/>
      <c r="U79" s="1"/>
      <c r="V79" t="e">
        <f t="shared" ref="V79:V81" si="39">B79*I79</f>
        <v>#REF!</v>
      </c>
      <c r="W79" t="e">
        <f t="shared" ref="W79:W81" si="40">C79*I79</f>
        <v>#REF!</v>
      </c>
      <c r="X79" t="e">
        <f t="shared" ref="X79:X81" si="41">D79*I79</f>
        <v>#REF!</v>
      </c>
      <c r="Y79" t="e">
        <f t="shared" ref="Y79:Y81" si="42">E79*I79</f>
        <v>#REF!</v>
      </c>
      <c r="Z79" t="e">
        <f t="shared" ref="Z79:Z81" si="43">F79*I79</f>
        <v>#REF!</v>
      </c>
      <c r="AA79" t="e">
        <f t="shared" ref="AA79:AA81" si="44">G79*I79</f>
        <v>#REF!</v>
      </c>
      <c r="AB79" t="e">
        <f t="shared" si="38"/>
        <v>#REF!</v>
      </c>
    </row>
    <row r="80" spans="1:28" x14ac:dyDescent="0.25">
      <c r="A80" s="104" t="s">
        <v>132</v>
      </c>
      <c r="B80" s="66" t="e">
        <f>SUM(ENERO!B80+FEBRERO!B80+MARZO!B80+ABRIL!B80+MAYO!B80+#REF!+#REF!+#REF!+#REF!+#REF!+#REF!+#REF!)</f>
        <v>#REF!</v>
      </c>
      <c r="C80" s="66" t="e">
        <f>SUM(ENERO!C80+FEBRERO!C80+MARZO!C80+ABRIL!C80+MAYO!C80+#REF!+#REF!+#REF!+#REF!+#REF!+#REF!+#REF!)</f>
        <v>#REF!</v>
      </c>
      <c r="D80" s="66" t="e">
        <f>SUM(ENERO!D80+FEBRERO!D80+MARZO!D80+ABRIL!D80+MAYO!D80+#REF!+#REF!+#REF!+#REF!+#REF!+#REF!+#REF!)</f>
        <v>#REF!</v>
      </c>
      <c r="E80" s="91" t="e">
        <f>SUM(ENERO!E80+FEBRERO!E80+MARZO!E80+ABRIL!E80+MAYO!E80+#REF!+#REF!+#REF!+#REF!+#REF!+#REF!+#REF!)</f>
        <v>#REF!</v>
      </c>
      <c r="F80" s="66" t="e">
        <f>SUM(ENERO!F80+FEBRERO!F80+MARZO!F80+ABRIL!F80+MAYO!F80+#REF!+#REF!+#REF!+#REF!+#REF!+#REF!+#REF!)</f>
        <v>#REF!</v>
      </c>
      <c r="G80" s="91" t="e">
        <f>SUM(ENERO!G80+FEBRERO!G80+MARZO!G80+ABRIL!G80+MAYO!G80+#REF!+#REF!+#REF!+#REF!+#REF!+#REF!+#REF!)</f>
        <v>#REF!</v>
      </c>
      <c r="H80" s="14" t="e">
        <f t="shared" si="17"/>
        <v>#REF!</v>
      </c>
      <c r="I80" s="128">
        <v>1</v>
      </c>
      <c r="J80" s="1"/>
      <c r="T80" s="4"/>
      <c r="U80" s="1"/>
      <c r="V80" t="e">
        <f t="shared" si="39"/>
        <v>#REF!</v>
      </c>
      <c r="W80" t="e">
        <f t="shared" si="40"/>
        <v>#REF!</v>
      </c>
      <c r="X80" t="e">
        <f t="shared" si="41"/>
        <v>#REF!</v>
      </c>
      <c r="Y80" t="e">
        <f t="shared" si="42"/>
        <v>#REF!</v>
      </c>
      <c r="Z80" t="e">
        <f t="shared" si="43"/>
        <v>#REF!</v>
      </c>
      <c r="AA80" t="e">
        <f t="shared" si="44"/>
        <v>#REF!</v>
      </c>
      <c r="AB80" t="e">
        <f t="shared" si="38"/>
        <v>#REF!</v>
      </c>
    </row>
    <row r="81" spans="1:28" x14ac:dyDescent="0.25">
      <c r="A81" s="105" t="s">
        <v>133</v>
      </c>
      <c r="B81" s="66" t="e">
        <f>SUM(ENERO!B81+FEBRERO!B81+MARZO!B81+ABRIL!B81+MAYO!B81+#REF!+#REF!+#REF!+#REF!+#REF!+#REF!+#REF!)</f>
        <v>#REF!</v>
      </c>
      <c r="C81" s="66" t="e">
        <f>SUM(ENERO!C81+FEBRERO!C81+MARZO!C81+ABRIL!C81+MAYO!C81+#REF!+#REF!+#REF!+#REF!+#REF!+#REF!+#REF!)</f>
        <v>#REF!</v>
      </c>
      <c r="D81" s="66" t="e">
        <f>SUM(ENERO!D81+FEBRERO!D81+MARZO!D81+ABRIL!D81+MAYO!D81+#REF!+#REF!+#REF!+#REF!+#REF!+#REF!+#REF!)</f>
        <v>#REF!</v>
      </c>
      <c r="E81" s="91" t="e">
        <f>SUM(ENERO!E81+FEBRERO!E81+MARZO!E81+ABRIL!E81+MAYO!E81+#REF!+#REF!+#REF!+#REF!+#REF!+#REF!+#REF!)</f>
        <v>#REF!</v>
      </c>
      <c r="F81" s="66" t="e">
        <f>SUM(ENERO!F81+FEBRERO!F81+MARZO!F81+ABRIL!F81+MAYO!F81+#REF!+#REF!+#REF!+#REF!+#REF!+#REF!+#REF!)</f>
        <v>#REF!</v>
      </c>
      <c r="G81" s="91" t="e">
        <f>SUM(ENERO!G81+FEBRERO!G81+MARZO!G81+ABRIL!G81+MAYO!G81+#REF!+#REF!+#REF!+#REF!+#REF!+#REF!+#REF!)</f>
        <v>#REF!</v>
      </c>
      <c r="H81" s="14" t="e">
        <f t="shared" si="17"/>
        <v>#REF!</v>
      </c>
      <c r="I81" s="128">
        <v>1</v>
      </c>
      <c r="J81" s="1"/>
      <c r="T81" s="4"/>
      <c r="U81" s="1"/>
      <c r="V81" t="e">
        <f t="shared" si="39"/>
        <v>#REF!</v>
      </c>
      <c r="W81" t="e">
        <f t="shared" si="40"/>
        <v>#REF!</v>
      </c>
      <c r="X81" t="e">
        <f t="shared" si="41"/>
        <v>#REF!</v>
      </c>
      <c r="Y81" t="e">
        <f t="shared" si="42"/>
        <v>#REF!</v>
      </c>
      <c r="Z81" t="e">
        <f t="shared" si="43"/>
        <v>#REF!</v>
      </c>
      <c r="AA81" t="e">
        <f t="shared" si="44"/>
        <v>#REF!</v>
      </c>
      <c r="AB81" t="e">
        <f t="shared" si="38"/>
        <v>#REF!</v>
      </c>
    </row>
    <row r="82" spans="1:28" x14ac:dyDescent="0.25">
      <c r="A82" s="73" t="s">
        <v>70</v>
      </c>
      <c r="B82" s="29" t="e">
        <f>SUM(B83:B94)</f>
        <v>#REF!</v>
      </c>
      <c r="C82" s="29" t="e">
        <f t="shared" ref="C82:G82" si="45">SUM(C83:C94)</f>
        <v>#REF!</v>
      </c>
      <c r="D82" s="29" t="e">
        <f t="shared" si="45"/>
        <v>#REF!</v>
      </c>
      <c r="E82" s="29" t="e">
        <f t="shared" si="45"/>
        <v>#REF!</v>
      </c>
      <c r="F82" s="29" t="e">
        <f t="shared" si="45"/>
        <v>#REF!</v>
      </c>
      <c r="G82" s="29" t="e">
        <f t="shared" si="45"/>
        <v>#REF!</v>
      </c>
      <c r="H82" s="75" t="e">
        <f t="shared" si="17"/>
        <v>#REF!</v>
      </c>
      <c r="I82" s="131"/>
      <c r="J82" s="1"/>
      <c r="T82" s="4"/>
      <c r="U82" s="142"/>
      <c r="V82" s="143" t="s">
        <v>11</v>
      </c>
      <c r="W82" s="143" t="e">
        <f>SUM(W70:W81)</f>
        <v>#REF!</v>
      </c>
      <c r="X82" s="143"/>
      <c r="Y82" s="143"/>
      <c r="Z82" s="143"/>
      <c r="AA82" s="143" t="s">
        <v>11</v>
      </c>
      <c r="AB82" s="143" t="e">
        <f>SUM(AB70:AB81)</f>
        <v>#REF!</v>
      </c>
    </row>
    <row r="83" spans="1:28" x14ac:dyDescent="0.25">
      <c r="A83" s="22" t="s">
        <v>84</v>
      </c>
      <c r="B83" s="31" t="e">
        <f>SUM(ENERO!B83+FEBRERO!B83+MARZO!B83+ABRIL!B83+MAYO!B83+#REF!+#REF!+#REF!+#REF!+#REF!+#REF!+#REF!)</f>
        <v>#REF!</v>
      </c>
      <c r="C83" s="31" t="e">
        <f>SUM(ENERO!C83+FEBRERO!C83+MARZO!C83+ABRIL!C83+MAYO!C83+#REF!+#REF!+#REF!+#REF!+#REF!+#REF!+#REF!)</f>
        <v>#REF!</v>
      </c>
      <c r="D83" s="31" t="e">
        <f>SUM(ENERO!D83+FEBRERO!D83+MARZO!D83+ABRIL!D83+MAYO!D83+#REF!+#REF!+#REF!+#REF!+#REF!+#REF!+#REF!)</f>
        <v>#REF!</v>
      </c>
      <c r="E83" s="20" t="e">
        <f>SUM(ENERO!E83+FEBRERO!E83+MARZO!E83+ABRIL!E83+MAYO!E83+#REF!+#REF!+#REF!+#REF!+#REF!+#REF!+#REF!)</f>
        <v>#REF!</v>
      </c>
      <c r="F83" s="31" t="e">
        <f>SUM(ENERO!F83+FEBRERO!F83+MARZO!F83+ABRIL!F83+MAYO!F83+#REF!+#REF!+#REF!+#REF!+#REF!+#REF!+#REF!)</f>
        <v>#REF!</v>
      </c>
      <c r="G83" s="106" t="e">
        <f>SUM(ENERO!G83+FEBRERO!G83+MARZO!G83+ABRIL!G83+MAYO!G83+#REF!+#REF!+#REF!+#REF!+#REF!+#REF!+#REF!)</f>
        <v>#REF!</v>
      </c>
      <c r="H83" s="26" t="e">
        <f t="shared" si="17"/>
        <v>#REF!</v>
      </c>
      <c r="I83" s="128">
        <v>2</v>
      </c>
      <c r="J83" s="1"/>
      <c r="T83" s="4"/>
      <c r="U83" s="1"/>
      <c r="V83" t="e">
        <f>B83*I83</f>
        <v>#REF!</v>
      </c>
      <c r="W83" t="e">
        <f>C83*I83</f>
        <v>#REF!</v>
      </c>
      <c r="X83" t="e">
        <f>D83*I83</f>
        <v>#REF!</v>
      </c>
      <c r="Y83" t="e">
        <f>E83*I83</f>
        <v>#REF!</v>
      </c>
      <c r="Z83" t="e">
        <f>F83*I83</f>
        <v>#REF!</v>
      </c>
      <c r="AA83" t="e">
        <f>G83*I83</f>
        <v>#REF!</v>
      </c>
      <c r="AB83" t="e">
        <f>V83+X83+Y83+Z83+AA83</f>
        <v>#REF!</v>
      </c>
    </row>
    <row r="84" spans="1:28" x14ac:dyDescent="0.25">
      <c r="A84" s="22" t="s">
        <v>114</v>
      </c>
      <c r="B84" s="11" t="e">
        <f>SUM(ENERO!B84+FEBRERO!B84+MARZO!B84+ABRIL!B84+MAYO!B84+#REF!+#REF!+#REF!+#REF!+#REF!+#REF!+#REF!)</f>
        <v>#REF!</v>
      </c>
      <c r="C84" s="11" t="e">
        <f>SUM(ENERO!C84+FEBRERO!C84+MARZO!C84+ABRIL!C84+MAYO!C84+#REF!+#REF!+#REF!+#REF!+#REF!+#REF!+#REF!)</f>
        <v>#REF!</v>
      </c>
      <c r="D84" s="11" t="e">
        <f>SUM(ENERO!D84+FEBRERO!D84+MARZO!D84+ABRIL!D84+MAYO!D84+#REF!+#REF!+#REF!+#REF!+#REF!+#REF!+#REF!)</f>
        <v>#REF!</v>
      </c>
      <c r="E84" s="10" t="e">
        <f>SUM(ENERO!E84+FEBRERO!E84+MARZO!E84+ABRIL!E84+MAYO!E84+#REF!+#REF!+#REF!+#REF!+#REF!+#REF!+#REF!)</f>
        <v>#REF!</v>
      </c>
      <c r="F84" s="11" t="e">
        <f>SUM(ENERO!F84+FEBRERO!F84+MARZO!F84+ABRIL!F84+MAYO!F84+#REF!+#REF!+#REF!+#REF!+#REF!+#REF!+#REF!)</f>
        <v>#REF!</v>
      </c>
      <c r="G84" s="17" t="e">
        <f>SUM(ENERO!G84+FEBRERO!G84+MARZO!G84+ABRIL!G84+MAYO!G84+#REF!+#REF!+#REF!+#REF!+#REF!+#REF!+#REF!)</f>
        <v>#REF!</v>
      </c>
      <c r="H84" s="26" t="e">
        <f t="shared" si="17"/>
        <v>#REF!</v>
      </c>
      <c r="I84" s="128">
        <v>1</v>
      </c>
      <c r="J84" s="1"/>
      <c r="T84" s="4"/>
      <c r="U84" s="1"/>
      <c r="V84" t="e">
        <f t="shared" ref="V84:V91" si="46">B84*I84</f>
        <v>#REF!</v>
      </c>
      <c r="W84" t="e">
        <f t="shared" ref="W84:W91" si="47">C84*I84</f>
        <v>#REF!</v>
      </c>
      <c r="X84" t="e">
        <f t="shared" ref="X84:X91" si="48">D84*I84</f>
        <v>#REF!</v>
      </c>
      <c r="Y84" t="e">
        <f t="shared" ref="Y84:Y91" si="49">E84*I84</f>
        <v>#REF!</v>
      </c>
      <c r="Z84" t="e">
        <f t="shared" ref="Z84:Z91" si="50">F84*I84</f>
        <v>#REF!</v>
      </c>
      <c r="AA84" t="e">
        <f t="shared" ref="AA84:AA91" si="51">G84*I84</f>
        <v>#REF!</v>
      </c>
      <c r="AB84" t="e">
        <f t="shared" ref="AB84:AB94" si="52">V84+X84+Y84+Z84+AA84</f>
        <v>#REF!</v>
      </c>
    </row>
    <row r="85" spans="1:28" ht="14.25" customHeight="1" x14ac:dyDescent="0.25">
      <c r="A85" s="22" t="s">
        <v>61</v>
      </c>
      <c r="B85" s="11" t="e">
        <f>SUM(ENERO!B85+FEBRERO!B85+MARZO!B85+ABRIL!B85+MAYO!B85+#REF!+#REF!+#REF!+#REF!+#REF!+#REF!+#REF!)</f>
        <v>#REF!</v>
      </c>
      <c r="C85" s="11" t="e">
        <f>SUM(ENERO!C85+FEBRERO!C85+MARZO!C85+ABRIL!C85+MAYO!C85+#REF!+#REF!+#REF!+#REF!+#REF!+#REF!+#REF!)</f>
        <v>#REF!</v>
      </c>
      <c r="D85" s="11" t="e">
        <f>SUM(ENERO!D85+FEBRERO!D85+MARZO!D85+ABRIL!D85+MAYO!D85+#REF!+#REF!+#REF!+#REF!+#REF!+#REF!+#REF!)</f>
        <v>#REF!</v>
      </c>
      <c r="E85" s="10" t="e">
        <f>SUM(ENERO!E85+FEBRERO!E85+MARZO!E85+ABRIL!E85+MAYO!E85+#REF!+#REF!+#REF!+#REF!+#REF!+#REF!+#REF!)</f>
        <v>#REF!</v>
      </c>
      <c r="F85" s="11" t="e">
        <f>SUM(ENERO!F85+FEBRERO!F85+MARZO!F85+ABRIL!F85+MAYO!F85+#REF!+#REF!+#REF!+#REF!+#REF!+#REF!+#REF!)</f>
        <v>#REF!</v>
      </c>
      <c r="G85" s="17" t="e">
        <f>SUM(ENERO!G85+FEBRERO!G85+MARZO!G85+ABRIL!G85+MAYO!G85+#REF!+#REF!+#REF!+#REF!+#REF!+#REF!+#REF!)</f>
        <v>#REF!</v>
      </c>
      <c r="H85" s="26" t="e">
        <f t="shared" si="17"/>
        <v>#REF!</v>
      </c>
      <c r="I85" s="128">
        <v>1</v>
      </c>
      <c r="J85" s="1"/>
      <c r="T85" s="4"/>
      <c r="U85" s="1"/>
      <c r="V85" t="e">
        <f t="shared" si="46"/>
        <v>#REF!</v>
      </c>
      <c r="W85" t="e">
        <f t="shared" si="47"/>
        <v>#REF!</v>
      </c>
      <c r="X85" t="e">
        <f t="shared" si="48"/>
        <v>#REF!</v>
      </c>
      <c r="Y85" t="e">
        <f t="shared" si="49"/>
        <v>#REF!</v>
      </c>
      <c r="Z85" t="e">
        <f t="shared" si="50"/>
        <v>#REF!</v>
      </c>
      <c r="AA85" t="e">
        <f t="shared" si="51"/>
        <v>#REF!</v>
      </c>
      <c r="AB85" t="e">
        <f t="shared" si="52"/>
        <v>#REF!</v>
      </c>
    </row>
    <row r="86" spans="1:28" x14ac:dyDescent="0.25">
      <c r="A86" s="22" t="s">
        <v>62</v>
      </c>
      <c r="B86" s="11" t="e">
        <f>SUM(ENERO!B86+FEBRERO!B86+MARZO!B86+ABRIL!B86+MAYO!B86+#REF!+#REF!+#REF!+#REF!+#REF!+#REF!+#REF!)</f>
        <v>#REF!</v>
      </c>
      <c r="C86" s="11" t="e">
        <f>SUM(ENERO!C86+FEBRERO!C86+MARZO!C86+ABRIL!C86+MAYO!C86+#REF!+#REF!+#REF!+#REF!+#REF!+#REF!+#REF!)</f>
        <v>#REF!</v>
      </c>
      <c r="D86" s="11" t="e">
        <f>SUM(ENERO!D86+FEBRERO!D86+MARZO!D86+ABRIL!D86+MAYO!D86+#REF!+#REF!+#REF!+#REF!+#REF!+#REF!+#REF!)</f>
        <v>#REF!</v>
      </c>
      <c r="E86" s="10" t="e">
        <f>SUM(ENERO!E86+FEBRERO!E86+MARZO!E86+ABRIL!E86+MAYO!E86+#REF!+#REF!+#REF!+#REF!+#REF!+#REF!+#REF!)</f>
        <v>#REF!</v>
      </c>
      <c r="F86" s="11" t="e">
        <f>SUM(ENERO!F86+FEBRERO!F86+MARZO!F86+ABRIL!F86+MAYO!F86+#REF!+#REF!+#REF!+#REF!+#REF!+#REF!+#REF!)</f>
        <v>#REF!</v>
      </c>
      <c r="G86" s="17" t="e">
        <f>SUM(ENERO!G86+FEBRERO!G86+MARZO!G86+ABRIL!G86+MAYO!G86+#REF!+#REF!+#REF!+#REF!+#REF!+#REF!+#REF!)</f>
        <v>#REF!</v>
      </c>
      <c r="H86" s="26" t="e">
        <f t="shared" si="17"/>
        <v>#REF!</v>
      </c>
      <c r="I86" s="128">
        <v>7</v>
      </c>
      <c r="J86" s="1"/>
      <c r="L86" s="176"/>
      <c r="M86" s="176"/>
      <c r="N86" s="176"/>
      <c r="T86" s="4"/>
      <c r="U86" s="1"/>
      <c r="V86" t="e">
        <f t="shared" si="46"/>
        <v>#REF!</v>
      </c>
      <c r="W86" t="e">
        <f t="shared" si="47"/>
        <v>#REF!</v>
      </c>
      <c r="X86" t="e">
        <f t="shared" si="48"/>
        <v>#REF!</v>
      </c>
      <c r="Y86" t="e">
        <f t="shared" si="49"/>
        <v>#REF!</v>
      </c>
      <c r="Z86" t="e">
        <f t="shared" si="50"/>
        <v>#REF!</v>
      </c>
      <c r="AA86" t="e">
        <f t="shared" si="51"/>
        <v>#REF!</v>
      </c>
      <c r="AB86" t="e">
        <f t="shared" si="52"/>
        <v>#REF!</v>
      </c>
    </row>
    <row r="87" spans="1:28" x14ac:dyDescent="0.25">
      <c r="A87" s="22" t="s">
        <v>93</v>
      </c>
      <c r="B87" s="11" t="e">
        <f>SUM(ENERO!B87+FEBRERO!B87+MARZO!B87+ABRIL!B87+MAYO!B87+#REF!+#REF!+#REF!+#REF!+#REF!+#REF!+#REF!)</f>
        <v>#REF!</v>
      </c>
      <c r="C87" s="11" t="e">
        <f>SUM(ENERO!C87+FEBRERO!C87+MARZO!C87+ABRIL!C87+MAYO!C87+#REF!+#REF!+#REF!+#REF!+#REF!+#REF!+#REF!)</f>
        <v>#REF!</v>
      </c>
      <c r="D87" s="11" t="e">
        <f>SUM(ENERO!D87+FEBRERO!D87+MARZO!D87+ABRIL!D87+MAYO!D87+#REF!+#REF!+#REF!+#REF!+#REF!+#REF!+#REF!)</f>
        <v>#REF!</v>
      </c>
      <c r="E87" s="10" t="e">
        <f>SUM(ENERO!E87+FEBRERO!E87+MARZO!E87+ABRIL!E87+MAYO!E87+#REF!+#REF!+#REF!+#REF!+#REF!+#REF!+#REF!)</f>
        <v>#REF!</v>
      </c>
      <c r="F87" s="11" t="e">
        <f>SUM(ENERO!F87+FEBRERO!F87+MARZO!F87+ABRIL!F87+MAYO!F87+#REF!+#REF!+#REF!+#REF!+#REF!+#REF!+#REF!)</f>
        <v>#REF!</v>
      </c>
      <c r="G87" s="17" t="e">
        <f>SUM(ENERO!G87+FEBRERO!G87+MARZO!G87+ABRIL!G87+MAYO!G87+#REF!+#REF!+#REF!+#REF!+#REF!+#REF!+#REF!)</f>
        <v>#REF!</v>
      </c>
      <c r="H87" s="26" t="e">
        <f t="shared" si="17"/>
        <v>#REF!</v>
      </c>
      <c r="I87" s="128">
        <v>1</v>
      </c>
      <c r="J87" s="1"/>
      <c r="T87" s="4"/>
      <c r="U87" s="1"/>
      <c r="V87" t="e">
        <f t="shared" si="46"/>
        <v>#REF!</v>
      </c>
      <c r="W87" t="e">
        <f t="shared" si="47"/>
        <v>#REF!</v>
      </c>
      <c r="X87" t="e">
        <f t="shared" si="48"/>
        <v>#REF!</v>
      </c>
      <c r="Y87" t="e">
        <f t="shared" si="49"/>
        <v>#REF!</v>
      </c>
      <c r="Z87" t="e">
        <f t="shared" si="50"/>
        <v>#REF!</v>
      </c>
      <c r="AA87" t="e">
        <f t="shared" si="51"/>
        <v>#REF!</v>
      </c>
      <c r="AB87" t="e">
        <f t="shared" si="52"/>
        <v>#REF!</v>
      </c>
    </row>
    <row r="88" spans="1:28" x14ac:dyDescent="0.25">
      <c r="A88" s="22" t="s">
        <v>94</v>
      </c>
      <c r="B88" s="11" t="e">
        <f>SUM(ENERO!B88+FEBRERO!B88+MARZO!B88+ABRIL!B88+MAYO!B88+#REF!+#REF!+#REF!+#REF!+#REF!+#REF!+#REF!)</f>
        <v>#REF!</v>
      </c>
      <c r="C88" s="11" t="e">
        <f>SUM(ENERO!C88+FEBRERO!C88+MARZO!C88+ABRIL!C88+MAYO!C88+#REF!+#REF!+#REF!+#REF!+#REF!+#REF!+#REF!)</f>
        <v>#REF!</v>
      </c>
      <c r="D88" s="11" t="e">
        <f>SUM(ENERO!D88+FEBRERO!D88+MARZO!D88+ABRIL!D88+MAYO!D88+#REF!+#REF!+#REF!+#REF!+#REF!+#REF!+#REF!)</f>
        <v>#REF!</v>
      </c>
      <c r="E88" s="10" t="e">
        <f>SUM(ENERO!E88+FEBRERO!E88+MARZO!E88+ABRIL!E88+MAYO!E88+#REF!+#REF!+#REF!+#REF!+#REF!+#REF!+#REF!)</f>
        <v>#REF!</v>
      </c>
      <c r="F88" s="11" t="e">
        <f>SUM(ENERO!F88+FEBRERO!F88+MARZO!F88+ABRIL!F88+MAYO!F88+#REF!+#REF!+#REF!+#REF!+#REF!+#REF!+#REF!)</f>
        <v>#REF!</v>
      </c>
      <c r="G88" s="17" t="e">
        <f>SUM(ENERO!G88+FEBRERO!G88+MARZO!G88+ABRIL!G88+MAYO!G88+#REF!+#REF!+#REF!+#REF!+#REF!+#REF!+#REF!)</f>
        <v>#REF!</v>
      </c>
      <c r="H88" s="33" t="e">
        <f t="shared" si="17"/>
        <v>#REF!</v>
      </c>
      <c r="I88" s="128">
        <v>1</v>
      </c>
      <c r="J88" s="1"/>
      <c r="T88" s="4"/>
      <c r="U88" s="1"/>
      <c r="V88" t="e">
        <f t="shared" si="46"/>
        <v>#REF!</v>
      </c>
      <c r="W88" t="e">
        <f t="shared" si="47"/>
        <v>#REF!</v>
      </c>
      <c r="X88" t="e">
        <f t="shared" si="48"/>
        <v>#REF!</v>
      </c>
      <c r="Y88" t="e">
        <f t="shared" si="49"/>
        <v>#REF!</v>
      </c>
      <c r="Z88" t="e">
        <f t="shared" si="50"/>
        <v>#REF!</v>
      </c>
      <c r="AA88" t="e">
        <f t="shared" si="51"/>
        <v>#REF!</v>
      </c>
      <c r="AB88" t="e">
        <f t="shared" si="52"/>
        <v>#REF!</v>
      </c>
    </row>
    <row r="89" spans="1:28" x14ac:dyDescent="0.25">
      <c r="A89" s="101" t="s">
        <v>108</v>
      </c>
      <c r="B89" s="69" t="e">
        <f>SUM(ENERO!B89+FEBRERO!B89+MARZO!B89+ABRIL!B89+MAYO!B89+#REF!+#REF!+#REF!+#REF!+#REF!+#REF!+#REF!)</f>
        <v>#REF!</v>
      </c>
      <c r="C89" s="69" t="e">
        <f>SUM(ENERO!C89+FEBRERO!C89+MARZO!C89+ABRIL!C89+MAYO!C89+#REF!+#REF!+#REF!+#REF!+#REF!+#REF!+#REF!)</f>
        <v>#REF!</v>
      </c>
      <c r="D89" s="69" t="e">
        <f>SUM(ENERO!D89+FEBRERO!D89+MARZO!D89+ABRIL!D89+MAYO!D89+#REF!+#REF!+#REF!+#REF!+#REF!+#REF!+#REF!)</f>
        <v>#REF!</v>
      </c>
      <c r="E89" s="110" t="e">
        <f>SUM(ENERO!E89+FEBRERO!E89+MARZO!E89+ABRIL!E89+MAYO!E89+#REF!+#REF!+#REF!+#REF!+#REF!+#REF!+#REF!)</f>
        <v>#REF!</v>
      </c>
      <c r="F89" s="69" t="e">
        <f>SUM(ENERO!F89+FEBRERO!F89+MARZO!F89+ABRIL!F89+MAYO!F89+#REF!+#REF!+#REF!+#REF!+#REF!+#REF!+#REF!)</f>
        <v>#REF!</v>
      </c>
      <c r="G89" s="111" t="e">
        <f>SUM(ENERO!G89+FEBRERO!G89+MARZO!G89+ABRIL!G89+MAYO!G89+#REF!+#REF!+#REF!+#REF!+#REF!+#REF!+#REF!)</f>
        <v>#REF!</v>
      </c>
      <c r="H89" s="102" t="e">
        <f>SUM(B89:G89)</f>
        <v>#REF!</v>
      </c>
      <c r="I89" s="132">
        <v>1</v>
      </c>
      <c r="J89" s="1"/>
      <c r="T89" s="4"/>
      <c r="U89" s="1"/>
      <c r="V89" t="e">
        <f t="shared" si="46"/>
        <v>#REF!</v>
      </c>
      <c r="W89" t="e">
        <f t="shared" si="47"/>
        <v>#REF!</v>
      </c>
      <c r="X89" t="e">
        <f t="shared" si="48"/>
        <v>#REF!</v>
      </c>
      <c r="Y89" t="e">
        <f t="shared" si="49"/>
        <v>#REF!</v>
      </c>
      <c r="Z89" t="e">
        <f t="shared" si="50"/>
        <v>#REF!</v>
      </c>
      <c r="AA89" t="e">
        <f t="shared" si="51"/>
        <v>#REF!</v>
      </c>
      <c r="AB89" t="e">
        <f t="shared" si="52"/>
        <v>#REF!</v>
      </c>
    </row>
    <row r="90" spans="1:28" ht="14.25" customHeight="1" x14ac:dyDescent="0.25">
      <c r="A90" s="32" t="s">
        <v>63</v>
      </c>
      <c r="B90" s="11" t="e">
        <f>SUM(ENERO!B90+FEBRERO!B90+MARZO!B90+ABRIL!B90+MAYO!B90+#REF!+#REF!+#REF!+#REF!+#REF!+#REF!+#REF!)</f>
        <v>#REF!</v>
      </c>
      <c r="C90" s="11" t="e">
        <f>SUM(ENERO!C90+FEBRERO!C90+MARZO!C90+ABRIL!C90+MAYO!C90+#REF!+#REF!+#REF!+#REF!+#REF!+#REF!+#REF!)</f>
        <v>#REF!</v>
      </c>
      <c r="D90" s="11" t="e">
        <f>SUM(ENERO!D90+FEBRERO!D90+MARZO!D90+ABRIL!D90+MAYO!D90+#REF!+#REF!+#REF!+#REF!+#REF!+#REF!+#REF!)</f>
        <v>#REF!</v>
      </c>
      <c r="E90" s="10" t="e">
        <f>SUM(ENERO!E90+FEBRERO!E90+MARZO!E90+ABRIL!E90+MAYO!E90+#REF!+#REF!+#REF!+#REF!+#REF!+#REF!+#REF!)</f>
        <v>#REF!</v>
      </c>
      <c r="F90" s="11" t="e">
        <f>SUM(ENERO!F90+FEBRERO!F90+MARZO!F90+ABRIL!F90+MAYO!F90+#REF!+#REF!+#REF!+#REF!+#REF!+#REF!+#REF!)</f>
        <v>#REF!</v>
      </c>
      <c r="G90" s="17" t="e">
        <f>SUM(ENERO!G90+FEBRERO!G90+MARZO!G90+ABRIL!G90+MAYO!G90+#REF!+#REF!+#REF!+#REF!+#REF!+#REF!+#REF!)</f>
        <v>#REF!</v>
      </c>
      <c r="H90" s="108" t="e">
        <f t="shared" si="17"/>
        <v>#REF!</v>
      </c>
      <c r="I90" s="128">
        <v>1</v>
      </c>
      <c r="J90" s="1"/>
      <c r="T90" s="4"/>
      <c r="U90" s="1"/>
      <c r="V90" t="e">
        <f t="shared" si="46"/>
        <v>#REF!</v>
      </c>
      <c r="W90" t="e">
        <f t="shared" si="47"/>
        <v>#REF!</v>
      </c>
      <c r="X90" t="e">
        <f t="shared" si="48"/>
        <v>#REF!</v>
      </c>
      <c r="Y90" t="e">
        <f t="shared" si="49"/>
        <v>#REF!</v>
      </c>
      <c r="Z90" t="e">
        <f t="shared" si="50"/>
        <v>#REF!</v>
      </c>
      <c r="AA90" t="e">
        <f t="shared" si="51"/>
        <v>#REF!</v>
      </c>
      <c r="AB90" t="e">
        <f t="shared" si="52"/>
        <v>#REF!</v>
      </c>
    </row>
    <row r="91" spans="1:28" ht="14.25" customHeight="1" x14ac:dyDescent="0.25">
      <c r="A91" s="22" t="s">
        <v>153</v>
      </c>
      <c r="B91" s="11" t="e">
        <f>SUM(ENERO!B91+FEBRERO!B91+MARZO!B91+ABRIL!B91+MAYO!B91+#REF!+#REF!+#REF!+#REF!+#REF!+#REF!+#REF!)</f>
        <v>#REF!</v>
      </c>
      <c r="C91" s="11" t="e">
        <f>SUM(ENERO!C91+FEBRERO!C91+MARZO!C91+ABRIL!C91+MAYO!C91+#REF!+#REF!+#REF!+#REF!+#REF!+#REF!+#REF!)</f>
        <v>#REF!</v>
      </c>
      <c r="D91" s="11" t="e">
        <f>SUM(ENERO!D91+FEBRERO!D91+MARZO!D91+ABRIL!D91+MAYO!D91+#REF!+#REF!+#REF!+#REF!+#REF!+#REF!+#REF!)</f>
        <v>#REF!</v>
      </c>
      <c r="E91" s="10" t="e">
        <f>SUM(ENERO!E91+FEBRERO!E91+MARZO!E91+ABRIL!E91+MAYO!E91+#REF!+#REF!+#REF!+#REF!+#REF!+#REF!+#REF!)</f>
        <v>#REF!</v>
      </c>
      <c r="F91" s="11" t="e">
        <f>SUM(ENERO!F91+FEBRERO!F91+MARZO!F91+ABRIL!F91+MAYO!F91+#REF!+#REF!+#REF!+#REF!+#REF!+#REF!+#REF!)</f>
        <v>#REF!</v>
      </c>
      <c r="G91" s="17" t="e">
        <f>SUM(ENERO!G91+FEBRERO!G91+MARZO!G91+ABRIL!G91+MAYO!G91+#REF!+#REF!+#REF!+#REF!+#REF!+#REF!+#REF!)</f>
        <v>#REF!</v>
      </c>
      <c r="H91" s="26" t="e">
        <f t="shared" si="17"/>
        <v>#REF!</v>
      </c>
      <c r="I91" s="128">
        <v>1</v>
      </c>
      <c r="J91" s="1"/>
      <c r="T91" s="4"/>
      <c r="U91" s="1"/>
      <c r="V91" t="e">
        <f t="shared" si="46"/>
        <v>#REF!</v>
      </c>
      <c r="W91" t="e">
        <f t="shared" si="47"/>
        <v>#REF!</v>
      </c>
      <c r="X91" t="e">
        <f t="shared" si="48"/>
        <v>#REF!</v>
      </c>
      <c r="Y91" t="e">
        <f t="shared" si="49"/>
        <v>#REF!</v>
      </c>
      <c r="Z91" t="e">
        <f t="shared" si="50"/>
        <v>#REF!</v>
      </c>
      <c r="AA91" t="e">
        <f t="shared" si="51"/>
        <v>#REF!</v>
      </c>
      <c r="AB91" t="e">
        <f t="shared" si="52"/>
        <v>#REF!</v>
      </c>
    </row>
    <row r="92" spans="1:28" ht="14.25" customHeight="1" x14ac:dyDescent="0.25">
      <c r="A92" s="22" t="s">
        <v>107</v>
      </c>
      <c r="B92" s="11" t="e">
        <f>SUM(ENERO!B92+FEBRERO!B92+MARZO!B92+ABRIL!B92+MAYO!B92+#REF!+#REF!+#REF!+#REF!+#REF!+#REF!+#REF!)</f>
        <v>#REF!</v>
      </c>
      <c r="C92" s="11" t="e">
        <f>SUM(ENERO!C92+FEBRERO!C92+MARZO!C92+ABRIL!C92+MAYO!C92+#REF!+#REF!+#REF!+#REF!+#REF!+#REF!+#REF!)</f>
        <v>#REF!</v>
      </c>
      <c r="D92" s="11" t="e">
        <f>SUM(ENERO!D92+FEBRERO!D92+MARZO!D92+ABRIL!D92+MAYO!D92+#REF!+#REF!+#REF!+#REF!+#REF!+#REF!+#REF!)</f>
        <v>#REF!</v>
      </c>
      <c r="E92" s="10" t="e">
        <f>SUM(ENERO!E92+FEBRERO!E92+MARZO!E92+ABRIL!E92+MAYO!E92+#REF!+#REF!+#REF!+#REF!+#REF!+#REF!+#REF!)</f>
        <v>#REF!</v>
      </c>
      <c r="F92" s="11" t="e">
        <f>SUM(ENERO!F92+FEBRERO!F92+MARZO!F92+ABRIL!F92+MAYO!F92+#REF!+#REF!+#REF!+#REF!+#REF!+#REF!+#REF!)</f>
        <v>#REF!</v>
      </c>
      <c r="G92" s="17" t="e">
        <f>SUM(ENERO!G92+FEBRERO!G92+MARZO!G92+ABRIL!G92+MAYO!G92+#REF!+#REF!+#REF!+#REF!+#REF!+#REF!+#REF!)</f>
        <v>#REF!</v>
      </c>
      <c r="H92" s="26" t="e">
        <f t="shared" si="17"/>
        <v>#REF!</v>
      </c>
      <c r="I92" s="128">
        <v>1</v>
      </c>
      <c r="J92" s="1"/>
      <c r="T92" s="4"/>
      <c r="U92" s="1"/>
      <c r="V92" t="e">
        <f t="shared" ref="V92:V94" si="53">B92*I92</f>
        <v>#REF!</v>
      </c>
      <c r="W92" t="e">
        <f t="shared" ref="W92:W94" si="54">C92*I92</f>
        <v>#REF!</v>
      </c>
      <c r="X92" t="e">
        <f t="shared" ref="X92:X94" si="55">D92*I92</f>
        <v>#REF!</v>
      </c>
      <c r="Y92" t="e">
        <f t="shared" ref="Y92:Y94" si="56">E92*I92</f>
        <v>#REF!</v>
      </c>
      <c r="Z92" t="e">
        <f t="shared" ref="Z92:Z94" si="57">F92*I92</f>
        <v>#REF!</v>
      </c>
      <c r="AA92" t="e">
        <f t="shared" ref="AA92:AA94" si="58">G92*I92</f>
        <v>#REF!</v>
      </c>
      <c r="AB92" t="e">
        <f t="shared" si="52"/>
        <v>#REF!</v>
      </c>
    </row>
    <row r="93" spans="1:28" x14ac:dyDescent="0.25">
      <c r="A93" s="22" t="s">
        <v>210</v>
      </c>
      <c r="B93" s="11" t="e">
        <f>SUM(ENERO!B93+FEBRERO!B94+MARZO!B94+ABRIL!B94+MAYO!B94+#REF!+#REF!+#REF!+#REF!+#REF!+#REF!+#REF!)</f>
        <v>#REF!</v>
      </c>
      <c r="C93" s="11" t="e">
        <f>SUM(ENERO!C93+FEBRERO!C94+MARZO!C94+ABRIL!C94+MAYO!C94+#REF!+#REF!+#REF!+#REF!+#REF!+#REF!+#REF!)</f>
        <v>#REF!</v>
      </c>
      <c r="D93" s="11" t="e">
        <f>SUM(ENERO!D93+FEBRERO!D94+MARZO!D94+ABRIL!D94+MAYO!D94+#REF!+#REF!+#REF!+#REF!+#REF!+#REF!+#REF!)</f>
        <v>#REF!</v>
      </c>
      <c r="E93" s="10" t="e">
        <f>SUM(ENERO!E93+FEBRERO!E94+MARZO!E94+ABRIL!E94+MAYO!E94+#REF!+#REF!+#REF!+#REF!+#REF!+#REF!+#REF!)</f>
        <v>#REF!</v>
      </c>
      <c r="F93" s="11" t="e">
        <f>SUM(ENERO!F93+FEBRERO!F94+MARZO!F94+ABRIL!F94+MAYO!F94+#REF!+#REF!+#REF!+#REF!+#REF!+#REF!+#REF!)</f>
        <v>#REF!</v>
      </c>
      <c r="G93" s="17" t="e">
        <f>SUM(ENERO!G93+FEBRERO!G94+MARZO!G94+ABRIL!G94+MAYO!G94+#REF!+#REF!+#REF!+#REF!+#REF!+#REF!+#REF!)</f>
        <v>#REF!</v>
      </c>
      <c r="H93" s="26" t="e">
        <f t="shared" si="17"/>
        <v>#REF!</v>
      </c>
      <c r="I93" s="128">
        <v>15</v>
      </c>
      <c r="J93" s="1"/>
      <c r="T93" s="4"/>
      <c r="U93" s="1"/>
      <c r="V93" t="e">
        <f t="shared" si="53"/>
        <v>#REF!</v>
      </c>
      <c r="W93" t="e">
        <f t="shared" si="54"/>
        <v>#REF!</v>
      </c>
      <c r="X93" t="e">
        <f t="shared" si="55"/>
        <v>#REF!</v>
      </c>
      <c r="Y93" t="e">
        <f t="shared" si="56"/>
        <v>#REF!</v>
      </c>
      <c r="Z93" t="e">
        <f t="shared" si="57"/>
        <v>#REF!</v>
      </c>
      <c r="AA93" t="e">
        <f t="shared" si="58"/>
        <v>#REF!</v>
      </c>
      <c r="AB93" t="e">
        <f t="shared" si="52"/>
        <v>#REF!</v>
      </c>
    </row>
    <row r="94" spans="1:28" x14ac:dyDescent="0.25">
      <c r="A94" s="22" t="s">
        <v>182</v>
      </c>
      <c r="B94" s="19" t="e">
        <f>SUM(ENERO!B94+FEBRERO!B94+MARZO!B94+ABRIL!B94+MAYO!B94+#REF!+#REF!+#REF!+#REF!+#REF!+#REF!+#REF!)</f>
        <v>#REF!</v>
      </c>
      <c r="C94" s="19" t="e">
        <f>SUM(ENERO!C94+FEBRERO!C94+MARZO!C94+ABRIL!C94+MAYO!C94+#REF!+#REF!+#REF!+#REF!+#REF!+#REF!+#REF!)</f>
        <v>#REF!</v>
      </c>
      <c r="D94" s="19" t="e">
        <f>SUM(ENERO!D94+FEBRERO!D94+MARZO!D94+ABRIL!D94+MAYO!D94+#REF!+#REF!+#REF!+#REF!+#REF!+#REF!+#REF!)</f>
        <v>#REF!</v>
      </c>
      <c r="E94" s="21" t="e">
        <f>SUM(ENERO!E94+FEBRERO!E94+MARZO!E94+ABRIL!E94+MAYO!E94+#REF!+#REF!+#REF!+#REF!+#REF!+#REF!+#REF!)</f>
        <v>#REF!</v>
      </c>
      <c r="F94" s="19" t="e">
        <f>SUM(ENERO!F94+FEBRERO!F94+MARZO!F94+ABRIL!F94+MAYO!F94+#REF!+#REF!+#REF!+#REF!+#REF!+#REF!+#REF!)</f>
        <v>#REF!</v>
      </c>
      <c r="G94" s="38" t="e">
        <f>SUM(ENERO!G94+FEBRERO!G94+MARZO!G94+ABRIL!G94+MAYO!G94+#REF!+#REF!+#REF!+#REF!+#REF!+#REF!+#REF!)</f>
        <v>#REF!</v>
      </c>
      <c r="H94" s="26" t="e">
        <f t="shared" si="17"/>
        <v>#REF!</v>
      </c>
      <c r="I94" s="128">
        <v>15</v>
      </c>
      <c r="J94" s="1"/>
      <c r="T94" s="4"/>
      <c r="U94" s="1"/>
      <c r="V94" t="e">
        <f t="shared" si="53"/>
        <v>#REF!</v>
      </c>
      <c r="W94" t="e">
        <f t="shared" si="54"/>
        <v>#REF!</v>
      </c>
      <c r="X94" t="e">
        <f t="shared" si="55"/>
        <v>#REF!</v>
      </c>
      <c r="Y94" t="e">
        <f t="shared" si="56"/>
        <v>#REF!</v>
      </c>
      <c r="Z94" t="e">
        <f t="shared" si="57"/>
        <v>#REF!</v>
      </c>
      <c r="AA94" t="e">
        <f t="shared" si="58"/>
        <v>#REF!</v>
      </c>
      <c r="AB94" t="e">
        <f t="shared" si="52"/>
        <v>#REF!</v>
      </c>
    </row>
    <row r="95" spans="1:28" x14ac:dyDescent="0.25">
      <c r="A95" s="73" t="s">
        <v>3</v>
      </c>
      <c r="B95" s="76" t="e">
        <f>SUM(B96:B155)</f>
        <v>#REF!</v>
      </c>
      <c r="C95" s="76" t="e">
        <f t="shared" ref="C95:G95" si="59">SUM(C96:C155)</f>
        <v>#REF!</v>
      </c>
      <c r="D95" s="76" t="e">
        <f t="shared" si="59"/>
        <v>#REF!</v>
      </c>
      <c r="E95" s="76" t="e">
        <f t="shared" si="59"/>
        <v>#REF!</v>
      </c>
      <c r="F95" s="76" t="e">
        <f t="shared" si="59"/>
        <v>#REF!</v>
      </c>
      <c r="G95" s="76" t="e">
        <f t="shared" si="59"/>
        <v>#REF!</v>
      </c>
      <c r="H95" s="75" t="e">
        <f t="shared" si="17"/>
        <v>#REF!</v>
      </c>
      <c r="I95" s="131"/>
      <c r="J95" s="1"/>
      <c r="T95" s="4"/>
      <c r="U95" s="144"/>
      <c r="V95" s="145" t="s">
        <v>11</v>
      </c>
      <c r="W95" s="145" t="e">
        <f>SUM(W83:W94)</f>
        <v>#REF!</v>
      </c>
      <c r="X95" s="145"/>
      <c r="Y95" s="145"/>
      <c r="Z95" s="145"/>
      <c r="AA95" s="145" t="s">
        <v>11</v>
      </c>
      <c r="AB95" s="145" t="e">
        <f>SUM(AB83:AB94)</f>
        <v>#REF!</v>
      </c>
    </row>
    <row r="96" spans="1:28" x14ac:dyDescent="0.25">
      <c r="A96" s="7" t="s">
        <v>113</v>
      </c>
      <c r="B96" s="11" t="e">
        <f>SUM(ENERO!B96+FEBRERO!B96+MARZO!B96+ABRIL!B96+MAYO!B96+#REF!+#REF!+#REF!+#REF!+#REF!+#REF!+#REF!)</f>
        <v>#REF!</v>
      </c>
      <c r="C96" s="11" t="e">
        <f>SUM(ENERO!C96+FEBRERO!C96+MARZO!C96+ABRIL!C96+MAYO!C96+#REF!+#REF!+#REF!+#REF!+#REF!+#REF!+#REF!)</f>
        <v>#REF!</v>
      </c>
      <c r="D96" s="11" t="e">
        <f>SUM(ENERO!D96+FEBRERO!D96+MARZO!D96+ABRIL!D96+MAYO!D96+#REF!+#REF!+#REF!+#REF!+#REF!+#REF!+#REF!)</f>
        <v>#REF!</v>
      </c>
      <c r="E96" s="11" t="e">
        <f>SUM(ENERO!E96+FEBRERO!E96+MARZO!E96+ABRIL!E96+MAYO!E96+#REF!+#REF!+#REF!+#REF!+#REF!+#REF!+#REF!)</f>
        <v>#REF!</v>
      </c>
      <c r="F96" s="11" t="e">
        <f>SUM(ENERO!F96+FEBRERO!F96+MARZO!F96+ABRIL!F96+MAYO!F96+#REF!+#REF!+#REF!+#REF!+#REF!+#REF!+#REF!)</f>
        <v>#REF!</v>
      </c>
      <c r="G96" s="11" t="e">
        <f>SUM(ENERO!G96+FEBRERO!G96+MARZO!G96+ABRIL!G96+MAYO!G96+#REF!+#REF!+#REF!+#REF!+#REF!+#REF!+#REF!)</f>
        <v>#REF!</v>
      </c>
      <c r="H96" s="14" t="e">
        <f t="shared" si="17"/>
        <v>#REF!</v>
      </c>
      <c r="I96" s="128">
        <v>1</v>
      </c>
      <c r="J96" s="1"/>
      <c r="T96" s="4"/>
      <c r="U96" s="1"/>
      <c r="V96" t="e">
        <f>B96*I96</f>
        <v>#REF!</v>
      </c>
      <c r="W96" t="e">
        <f>C96*I96</f>
        <v>#REF!</v>
      </c>
      <c r="X96" t="e">
        <f>D96*I96</f>
        <v>#REF!</v>
      </c>
      <c r="Y96" t="e">
        <f>E96*I96</f>
        <v>#REF!</v>
      </c>
      <c r="Z96" t="e">
        <f>F96*I96</f>
        <v>#REF!</v>
      </c>
      <c r="AA96" t="e">
        <f>G96*I96</f>
        <v>#REF!</v>
      </c>
      <c r="AB96" t="e">
        <f>V96+X96+Y96+Z96+AA96</f>
        <v>#REF!</v>
      </c>
    </row>
    <row r="97" spans="1:28" x14ac:dyDescent="0.25">
      <c r="A97" s="7" t="s">
        <v>112</v>
      </c>
      <c r="B97" s="11" t="e">
        <f>SUM(ENERO!B97+FEBRERO!B97+MARZO!B97+ABRIL!B97+MAYO!B97+#REF!+#REF!+#REF!+#REF!+#REF!+#REF!+#REF!)</f>
        <v>#REF!</v>
      </c>
      <c r="C97" s="11" t="e">
        <f>SUM(ENERO!C97+FEBRERO!C97+MARZO!C97+ABRIL!C97+MAYO!C97+#REF!+#REF!+#REF!+#REF!+#REF!+#REF!+#REF!)</f>
        <v>#REF!</v>
      </c>
      <c r="D97" s="11" t="e">
        <f>SUM(ENERO!D97+FEBRERO!D97+MARZO!D97+ABRIL!D97+MAYO!D97+#REF!+#REF!+#REF!+#REF!+#REF!+#REF!+#REF!)</f>
        <v>#REF!</v>
      </c>
      <c r="E97" s="11" t="e">
        <f>SUM(ENERO!E97+FEBRERO!E97+MARZO!E97+ABRIL!E97+MAYO!E97+#REF!+#REF!+#REF!+#REF!+#REF!+#REF!+#REF!)</f>
        <v>#REF!</v>
      </c>
      <c r="F97" s="11" t="e">
        <f>SUM(ENERO!F97+FEBRERO!F97+MARZO!F97+ABRIL!F97+MAYO!F97+#REF!+#REF!+#REF!+#REF!+#REF!+#REF!+#REF!)</f>
        <v>#REF!</v>
      </c>
      <c r="G97" s="11" t="e">
        <f>SUM(ENERO!G97+FEBRERO!G97+MARZO!G97+ABRIL!G97+MAYO!G97+#REF!+#REF!+#REF!+#REF!+#REF!+#REF!+#REF!)</f>
        <v>#REF!</v>
      </c>
      <c r="H97" s="27" t="e">
        <f t="shared" si="17"/>
        <v>#REF!</v>
      </c>
      <c r="I97" s="128"/>
      <c r="J97" s="1"/>
      <c r="T97" s="4"/>
      <c r="U97" s="1"/>
      <c r="V97" t="e">
        <f t="shared" ref="V97:V107" si="60">B97*I97</f>
        <v>#REF!</v>
      </c>
      <c r="W97" t="e">
        <f t="shared" ref="W97:W107" si="61">C97*I97</f>
        <v>#REF!</v>
      </c>
      <c r="X97" t="e">
        <f t="shared" ref="X97:X107" si="62">D97*I97</f>
        <v>#REF!</v>
      </c>
      <c r="Y97" t="e">
        <f t="shared" ref="Y97:Y107" si="63">E97*I97</f>
        <v>#REF!</v>
      </c>
      <c r="Z97" t="e">
        <f t="shared" ref="Z97:Z107" si="64">F97*I97</f>
        <v>#REF!</v>
      </c>
      <c r="AA97" t="e">
        <f t="shared" ref="AA97:AA107" si="65">G97*I97</f>
        <v>#REF!</v>
      </c>
      <c r="AB97" t="e">
        <f t="shared" ref="AB97:AB107" si="66">V97+X97+Y97+Z97+AA97</f>
        <v>#REF!</v>
      </c>
    </row>
    <row r="98" spans="1:28" x14ac:dyDescent="0.25">
      <c r="A98" s="7" t="s">
        <v>41</v>
      </c>
      <c r="B98" s="11" t="e">
        <f>SUM(ENERO!B98+FEBRERO!B98+MARZO!B98+ABRIL!B98+MAYO!B98+#REF!+#REF!+#REF!+#REF!+#REF!+#REF!+#REF!)</f>
        <v>#REF!</v>
      </c>
      <c r="C98" s="11" t="e">
        <f>SUM(ENERO!C98+FEBRERO!C98+MARZO!C98+ABRIL!C98+MAYO!C98+#REF!+#REF!+#REF!+#REF!+#REF!+#REF!+#REF!)</f>
        <v>#REF!</v>
      </c>
      <c r="D98" s="11" t="e">
        <f>SUM(ENERO!D98+FEBRERO!D98+MARZO!D98+ABRIL!D98+MAYO!D98+#REF!+#REF!+#REF!+#REF!+#REF!+#REF!+#REF!)</f>
        <v>#REF!</v>
      </c>
      <c r="E98" s="11" t="e">
        <f>SUM(ENERO!E98+FEBRERO!E98+MARZO!E98+ABRIL!E98+MAYO!E98+#REF!+#REF!+#REF!+#REF!+#REF!+#REF!+#REF!)</f>
        <v>#REF!</v>
      </c>
      <c r="F98" s="11" t="e">
        <f>SUM(ENERO!F98+FEBRERO!F98+MARZO!F98+ABRIL!F98+MAYO!F98+#REF!+#REF!+#REF!+#REF!+#REF!+#REF!+#REF!)</f>
        <v>#REF!</v>
      </c>
      <c r="G98" s="11" t="e">
        <f>SUM(ENERO!G98+FEBRERO!G98+MARZO!G98+ABRIL!G98+MAYO!G98+#REF!+#REF!+#REF!+#REF!+#REF!+#REF!+#REF!)</f>
        <v>#REF!</v>
      </c>
      <c r="H98" s="27" t="e">
        <f t="shared" si="17"/>
        <v>#REF!</v>
      </c>
      <c r="I98" s="128">
        <v>1</v>
      </c>
      <c r="J98" s="1"/>
      <c r="T98" s="4"/>
      <c r="U98" s="1"/>
      <c r="V98" t="e">
        <f t="shared" si="60"/>
        <v>#REF!</v>
      </c>
      <c r="W98" t="e">
        <f t="shared" si="61"/>
        <v>#REF!</v>
      </c>
      <c r="X98" t="e">
        <f t="shared" si="62"/>
        <v>#REF!</v>
      </c>
      <c r="Y98" t="e">
        <f t="shared" si="63"/>
        <v>#REF!</v>
      </c>
      <c r="Z98" t="e">
        <f t="shared" si="64"/>
        <v>#REF!</v>
      </c>
      <c r="AA98" t="e">
        <f t="shared" si="65"/>
        <v>#REF!</v>
      </c>
      <c r="AB98" t="e">
        <f t="shared" si="66"/>
        <v>#REF!</v>
      </c>
    </row>
    <row r="99" spans="1:28" x14ac:dyDescent="0.25">
      <c r="A99" s="7" t="s">
        <v>192</v>
      </c>
      <c r="B99" s="11" t="e">
        <f>SUM(ENERO!B99+FEBRERO!B99+MARZO!B99+ABRIL!B99+MAYO!B99+#REF!+#REF!+#REF!+#REF!+#REF!+#REF!+#REF!)</f>
        <v>#REF!</v>
      </c>
      <c r="C99" s="11" t="e">
        <f>SUM(ENERO!C99+FEBRERO!C99+MARZO!C99+ABRIL!C99+MAYO!C99+#REF!+#REF!+#REF!+#REF!+#REF!+#REF!+#REF!)</f>
        <v>#REF!</v>
      </c>
      <c r="D99" s="11" t="e">
        <f>SUM(ENERO!D99+FEBRERO!D99+MARZO!D99+ABRIL!D99+MAYO!D99+#REF!+#REF!+#REF!+#REF!+#REF!+#REF!+#REF!)</f>
        <v>#REF!</v>
      </c>
      <c r="E99" s="11" t="e">
        <f>SUM(ENERO!E99+FEBRERO!E99+MARZO!E99+ABRIL!E99+MAYO!E99+#REF!+#REF!+#REF!+#REF!+#REF!+#REF!+#REF!)</f>
        <v>#REF!</v>
      </c>
      <c r="F99" s="11" t="e">
        <f>SUM(ENERO!F99+FEBRERO!F99+MARZO!F99+ABRIL!F99+MAYO!F99+#REF!+#REF!+#REF!+#REF!+#REF!+#REF!+#REF!)</f>
        <v>#REF!</v>
      </c>
      <c r="G99" s="11" t="e">
        <f>SUM(ENERO!G99+FEBRERO!G99+MARZO!G99+ABRIL!G99+MAYO!G99+#REF!+#REF!+#REF!+#REF!+#REF!+#REF!+#REF!)</f>
        <v>#REF!</v>
      </c>
      <c r="H99" s="27" t="e">
        <f t="shared" si="17"/>
        <v>#REF!</v>
      </c>
      <c r="I99" s="128">
        <v>1</v>
      </c>
      <c r="J99" s="1"/>
      <c r="T99" s="4"/>
      <c r="U99" s="1"/>
      <c r="V99" t="e">
        <f t="shared" si="60"/>
        <v>#REF!</v>
      </c>
      <c r="W99" t="e">
        <f t="shared" si="61"/>
        <v>#REF!</v>
      </c>
      <c r="X99" t="e">
        <f t="shared" si="62"/>
        <v>#REF!</v>
      </c>
      <c r="Y99" t="e">
        <f t="shared" si="63"/>
        <v>#REF!</v>
      </c>
      <c r="Z99" t="e">
        <f t="shared" si="64"/>
        <v>#REF!</v>
      </c>
      <c r="AA99" t="e">
        <f t="shared" si="65"/>
        <v>#REF!</v>
      </c>
      <c r="AB99" t="e">
        <f t="shared" si="66"/>
        <v>#REF!</v>
      </c>
    </row>
    <row r="100" spans="1:28" x14ac:dyDescent="0.25">
      <c r="A100" s="7" t="s">
        <v>213</v>
      </c>
      <c r="B100" s="11" t="e">
        <f>SUM(ENERO!B100+FEBRERO!B100+MARZO!B100+ABRIL!B100+MAYO!B100+#REF!+#REF!+#REF!+#REF!+#REF!+#REF!+#REF!)</f>
        <v>#REF!</v>
      </c>
      <c r="C100" s="11" t="e">
        <f>SUM(ENERO!C100+FEBRERO!C100+MARZO!C100+ABRIL!C100+MAYO!C100+#REF!+#REF!+#REF!+#REF!+#REF!+#REF!+#REF!)</f>
        <v>#REF!</v>
      </c>
      <c r="D100" s="11" t="e">
        <f>SUM(ENERO!D100+FEBRERO!D100+MARZO!D100+ABRIL!D100+MAYO!D100+#REF!+#REF!+#REF!+#REF!+#REF!+#REF!+#REF!)</f>
        <v>#REF!</v>
      </c>
      <c r="E100" s="11" t="e">
        <f>SUM(ENERO!E100+FEBRERO!E100+MARZO!E100+ABRIL!E100+MAYO!E100+#REF!+#REF!+#REF!+#REF!+#REF!+#REF!+#REF!)</f>
        <v>#REF!</v>
      </c>
      <c r="F100" s="11" t="e">
        <f>SUM(ENERO!F100+FEBRERO!F100+MARZO!F100+ABRIL!F100+MAYO!F100+#REF!+#REF!+#REF!+#REF!+#REF!+#REF!+#REF!)</f>
        <v>#REF!</v>
      </c>
      <c r="G100" s="11" t="e">
        <f>SUM(ENERO!G100+FEBRERO!G100+MARZO!G100+ABRIL!G100+MAYO!G100+#REF!+#REF!+#REF!+#REF!+#REF!+#REF!+#REF!)</f>
        <v>#REF!</v>
      </c>
      <c r="H100" s="27" t="e">
        <f t="shared" si="17"/>
        <v>#REF!</v>
      </c>
      <c r="I100" s="128">
        <v>18</v>
      </c>
      <c r="J100" s="1"/>
      <c r="T100" s="4"/>
      <c r="U100" s="1"/>
      <c r="V100" t="e">
        <f t="shared" si="60"/>
        <v>#REF!</v>
      </c>
      <c r="W100" t="e">
        <f t="shared" si="61"/>
        <v>#REF!</v>
      </c>
      <c r="X100" t="e">
        <f t="shared" si="62"/>
        <v>#REF!</v>
      </c>
      <c r="Y100" t="e">
        <f t="shared" si="63"/>
        <v>#REF!</v>
      </c>
      <c r="Z100" t="e">
        <f t="shared" si="64"/>
        <v>#REF!</v>
      </c>
      <c r="AA100" t="e">
        <f t="shared" si="65"/>
        <v>#REF!</v>
      </c>
      <c r="AB100" t="e">
        <f t="shared" si="66"/>
        <v>#REF!</v>
      </c>
    </row>
    <row r="101" spans="1:28" x14ac:dyDescent="0.25">
      <c r="A101" s="7" t="s">
        <v>214</v>
      </c>
      <c r="B101" s="11" t="e">
        <f>SUM(ENERO!B101+FEBRERO!B101+MARZO!B101+ABRIL!B101+MAYO!B101+#REF!+#REF!+#REF!+#REF!+#REF!+#REF!+#REF!)</f>
        <v>#REF!</v>
      </c>
      <c r="C101" s="11" t="e">
        <f>SUM(ENERO!C101+FEBRERO!C101+MARZO!C101+ABRIL!C101+MAYO!C101+#REF!+#REF!+#REF!+#REF!+#REF!+#REF!+#REF!)</f>
        <v>#REF!</v>
      </c>
      <c r="D101" s="11" t="e">
        <f>SUM(ENERO!D101+FEBRERO!D101+MARZO!D101+ABRIL!D101+MAYO!D101+#REF!+#REF!+#REF!+#REF!+#REF!+#REF!+#REF!)</f>
        <v>#REF!</v>
      </c>
      <c r="E101" s="11" t="e">
        <f>SUM(ENERO!E101+FEBRERO!E101+MARZO!E101+ABRIL!E101+MAYO!E101+#REF!+#REF!+#REF!+#REF!+#REF!+#REF!+#REF!)</f>
        <v>#REF!</v>
      </c>
      <c r="F101" s="11" t="e">
        <f>SUM(ENERO!F101+FEBRERO!F101+MARZO!F101+ABRIL!F101+MAYO!F101+#REF!+#REF!+#REF!+#REF!+#REF!+#REF!+#REF!)</f>
        <v>#REF!</v>
      </c>
      <c r="G101" s="11" t="e">
        <f>SUM(ENERO!G101+FEBRERO!G101+MARZO!G101+ABRIL!G101+MAYO!G101+#REF!+#REF!+#REF!+#REF!+#REF!+#REF!+#REF!)</f>
        <v>#REF!</v>
      </c>
      <c r="H101" s="27" t="e">
        <f t="shared" si="17"/>
        <v>#REF!</v>
      </c>
      <c r="I101" s="128">
        <v>18</v>
      </c>
      <c r="J101" s="1"/>
      <c r="T101" s="4"/>
      <c r="U101" s="1"/>
      <c r="V101" t="e">
        <f t="shared" si="60"/>
        <v>#REF!</v>
      </c>
      <c r="W101" t="e">
        <f t="shared" si="61"/>
        <v>#REF!</v>
      </c>
      <c r="X101" t="e">
        <f t="shared" si="62"/>
        <v>#REF!</v>
      </c>
      <c r="Y101" t="e">
        <f t="shared" si="63"/>
        <v>#REF!</v>
      </c>
      <c r="Z101" t="e">
        <f t="shared" si="64"/>
        <v>#REF!</v>
      </c>
      <c r="AA101" t="e">
        <f t="shared" si="65"/>
        <v>#REF!</v>
      </c>
      <c r="AB101" t="e">
        <f t="shared" si="66"/>
        <v>#REF!</v>
      </c>
    </row>
    <row r="102" spans="1:28" x14ac:dyDescent="0.25">
      <c r="A102" s="7" t="s">
        <v>215</v>
      </c>
      <c r="B102" s="11" t="e">
        <f>SUM(ENERO!B102+FEBRERO!B102+MARZO!B102+ABRIL!B102+MAYO!B102+#REF!+#REF!+#REF!+#REF!+#REF!+#REF!+#REF!)</f>
        <v>#REF!</v>
      </c>
      <c r="C102" s="11" t="e">
        <f>SUM(ENERO!C102+FEBRERO!C102+MARZO!C102+ABRIL!C102+MAYO!C102+#REF!+#REF!+#REF!+#REF!+#REF!+#REF!+#REF!)</f>
        <v>#REF!</v>
      </c>
      <c r="D102" s="11" t="e">
        <f>SUM(ENERO!D102+FEBRERO!D102+MARZO!D102+ABRIL!D102+MAYO!D102+#REF!+#REF!+#REF!+#REF!+#REF!+#REF!+#REF!)</f>
        <v>#REF!</v>
      </c>
      <c r="E102" s="11" t="e">
        <f>SUM(ENERO!E102+FEBRERO!E102+MARZO!E102+ABRIL!E102+MAYO!E102+#REF!+#REF!+#REF!+#REF!+#REF!+#REF!+#REF!)</f>
        <v>#REF!</v>
      </c>
      <c r="F102" s="11" t="e">
        <f>SUM(ENERO!F102+FEBRERO!F102+MARZO!F102+ABRIL!F102+MAYO!F102+#REF!+#REF!+#REF!+#REF!+#REF!+#REF!+#REF!)</f>
        <v>#REF!</v>
      </c>
      <c r="G102" s="11" t="e">
        <f>SUM(ENERO!G102+FEBRERO!G102+MARZO!G102+ABRIL!G102+MAYO!G102+#REF!+#REF!+#REF!+#REF!+#REF!+#REF!+#REF!)</f>
        <v>#REF!</v>
      </c>
      <c r="H102" s="27" t="e">
        <f t="shared" si="17"/>
        <v>#REF!</v>
      </c>
      <c r="I102" s="128">
        <v>18</v>
      </c>
      <c r="J102" s="1"/>
      <c r="T102" s="4"/>
      <c r="U102" s="1"/>
      <c r="V102" t="e">
        <f t="shared" si="60"/>
        <v>#REF!</v>
      </c>
      <c r="W102" t="e">
        <f t="shared" si="61"/>
        <v>#REF!</v>
      </c>
      <c r="X102" t="e">
        <f t="shared" si="62"/>
        <v>#REF!</v>
      </c>
      <c r="Y102" t="e">
        <f t="shared" si="63"/>
        <v>#REF!</v>
      </c>
      <c r="Z102" t="e">
        <f t="shared" si="64"/>
        <v>#REF!</v>
      </c>
      <c r="AA102" t="e">
        <f t="shared" si="65"/>
        <v>#REF!</v>
      </c>
      <c r="AB102" t="e">
        <f t="shared" si="66"/>
        <v>#REF!</v>
      </c>
    </row>
    <row r="103" spans="1:28" x14ac:dyDescent="0.25">
      <c r="A103" s="7" t="s">
        <v>219</v>
      </c>
      <c r="B103" s="11" t="e">
        <f>SUM(ENERO!B103+FEBRERO!B103+MARZO!B103+ABRIL!B103+MAYO!B103+#REF!+#REF!+#REF!+#REF!+#REF!+#REF!+#REF!)</f>
        <v>#REF!</v>
      </c>
      <c r="C103" s="11" t="e">
        <f>SUM(ENERO!C103+FEBRERO!C103+MARZO!C103+ABRIL!C103+MAYO!C103+#REF!+#REF!+#REF!+#REF!+#REF!+#REF!+#REF!)</f>
        <v>#REF!</v>
      </c>
      <c r="D103" s="11" t="e">
        <f>SUM(ENERO!D103+FEBRERO!D103+MARZO!D103+ABRIL!D103+MAYO!D103+#REF!+#REF!+#REF!+#REF!+#REF!+#REF!+#REF!)</f>
        <v>#REF!</v>
      </c>
      <c r="E103" s="11" t="e">
        <f>SUM(ENERO!E103+FEBRERO!E103+MARZO!E103+ABRIL!E103+MAYO!E103+#REF!+#REF!+#REF!+#REF!+#REF!+#REF!+#REF!)</f>
        <v>#REF!</v>
      </c>
      <c r="F103" s="11" t="e">
        <f>SUM(ENERO!F103+FEBRERO!F103+MARZO!F103+ABRIL!F103+MAYO!F103+#REF!+#REF!+#REF!+#REF!+#REF!+#REF!+#REF!)</f>
        <v>#REF!</v>
      </c>
      <c r="G103" s="11" t="e">
        <f>SUM(ENERO!G103+FEBRERO!G103+MARZO!G103+ABRIL!G103+MAYO!G103+#REF!+#REF!+#REF!+#REF!+#REF!+#REF!+#REF!)</f>
        <v>#REF!</v>
      </c>
      <c r="H103" s="27" t="e">
        <f t="shared" si="17"/>
        <v>#REF!</v>
      </c>
      <c r="I103" s="128">
        <v>18</v>
      </c>
      <c r="J103" s="1"/>
      <c r="T103" s="4"/>
      <c r="U103" s="1"/>
      <c r="V103" t="e">
        <f t="shared" si="60"/>
        <v>#REF!</v>
      </c>
      <c r="W103" t="e">
        <f t="shared" si="61"/>
        <v>#REF!</v>
      </c>
      <c r="X103" t="e">
        <f t="shared" si="62"/>
        <v>#REF!</v>
      </c>
      <c r="Y103" t="e">
        <f t="shared" si="63"/>
        <v>#REF!</v>
      </c>
      <c r="Z103" t="e">
        <f t="shared" si="64"/>
        <v>#REF!</v>
      </c>
      <c r="AA103" t="e">
        <f t="shared" si="65"/>
        <v>#REF!</v>
      </c>
      <c r="AB103" t="e">
        <f t="shared" si="66"/>
        <v>#REF!</v>
      </c>
    </row>
    <row r="104" spans="1:28" x14ac:dyDescent="0.25">
      <c r="A104" s="7" t="s">
        <v>220</v>
      </c>
      <c r="B104" s="11" t="e">
        <f>SUM(ENERO!B104+FEBRERO!B104+MARZO!B104+ABRIL!B104+MAYO!B104+#REF!+#REF!+#REF!+#REF!+#REF!+#REF!+#REF!)</f>
        <v>#REF!</v>
      </c>
      <c r="C104" s="11" t="e">
        <f>SUM(ENERO!C104+FEBRERO!C104+MARZO!C104+ABRIL!C104+MAYO!C104+#REF!+#REF!+#REF!+#REF!+#REF!+#REF!+#REF!)</f>
        <v>#REF!</v>
      </c>
      <c r="D104" s="11" t="e">
        <f>SUM(ENERO!D104+FEBRERO!D104+MARZO!D104+ABRIL!D104+MAYO!D104+#REF!+#REF!+#REF!+#REF!+#REF!+#REF!+#REF!)</f>
        <v>#REF!</v>
      </c>
      <c r="E104" s="11" t="e">
        <f>SUM(ENERO!E104+FEBRERO!E104+MARZO!E104+ABRIL!E104+MAYO!E104+#REF!+#REF!+#REF!+#REF!+#REF!+#REF!+#REF!)</f>
        <v>#REF!</v>
      </c>
      <c r="F104" s="11" t="e">
        <f>SUM(ENERO!F104+FEBRERO!F104+MARZO!F104+ABRIL!F104+MAYO!F104+#REF!+#REF!+#REF!+#REF!+#REF!+#REF!+#REF!)</f>
        <v>#REF!</v>
      </c>
      <c r="G104" s="11" t="e">
        <f>SUM(ENERO!G104+FEBRERO!G104+MARZO!G104+ABRIL!G104+MAYO!G104+#REF!+#REF!+#REF!+#REF!+#REF!+#REF!+#REF!)</f>
        <v>#REF!</v>
      </c>
      <c r="H104" s="27" t="e">
        <f t="shared" si="17"/>
        <v>#REF!</v>
      </c>
      <c r="I104" s="128">
        <v>18</v>
      </c>
      <c r="J104" s="1"/>
      <c r="T104" s="4"/>
      <c r="U104" s="1"/>
      <c r="V104" t="e">
        <f t="shared" si="60"/>
        <v>#REF!</v>
      </c>
      <c r="W104" t="e">
        <f t="shared" si="61"/>
        <v>#REF!</v>
      </c>
      <c r="X104" t="e">
        <f t="shared" si="62"/>
        <v>#REF!</v>
      </c>
      <c r="Y104" t="e">
        <f t="shared" si="63"/>
        <v>#REF!</v>
      </c>
      <c r="Z104" t="e">
        <f t="shared" si="64"/>
        <v>#REF!</v>
      </c>
      <c r="AA104" t="e">
        <f t="shared" si="65"/>
        <v>#REF!</v>
      </c>
      <c r="AB104" t="e">
        <f t="shared" si="66"/>
        <v>#REF!</v>
      </c>
    </row>
    <row r="105" spans="1:28" x14ac:dyDescent="0.25">
      <c r="A105" s="7" t="s">
        <v>216</v>
      </c>
      <c r="B105" s="11" t="e">
        <f>SUM(ENERO!B105+FEBRERO!B105+MARZO!B105+ABRIL!B105+MAYO!B105+#REF!+#REF!+#REF!+#REF!+#REF!+#REF!+#REF!)</f>
        <v>#REF!</v>
      </c>
      <c r="C105" s="11" t="e">
        <f>SUM(ENERO!C105+FEBRERO!C105+MARZO!C105+ABRIL!C105+MAYO!C105+#REF!+#REF!+#REF!+#REF!+#REF!+#REF!+#REF!)</f>
        <v>#REF!</v>
      </c>
      <c r="D105" s="11" t="e">
        <f>SUM(ENERO!D105+FEBRERO!D105+MARZO!D105+ABRIL!D105+MAYO!D105+#REF!+#REF!+#REF!+#REF!+#REF!+#REF!+#REF!)</f>
        <v>#REF!</v>
      </c>
      <c r="E105" s="11" t="e">
        <f>SUM(ENERO!E105+FEBRERO!E105+MARZO!E105+ABRIL!E105+MAYO!E105+#REF!+#REF!+#REF!+#REF!+#REF!+#REF!+#REF!)</f>
        <v>#REF!</v>
      </c>
      <c r="F105" s="11" t="e">
        <f>SUM(ENERO!F105+FEBRERO!F105+MARZO!F105+ABRIL!F105+MAYO!F105+#REF!+#REF!+#REF!+#REF!+#REF!+#REF!+#REF!)</f>
        <v>#REF!</v>
      </c>
      <c r="G105" s="11" t="e">
        <f>SUM(ENERO!G105+FEBRERO!G105+MARZO!G105+ABRIL!G105+MAYO!G105+#REF!+#REF!+#REF!+#REF!+#REF!+#REF!+#REF!)</f>
        <v>#REF!</v>
      </c>
      <c r="H105" s="27" t="e">
        <f t="shared" si="17"/>
        <v>#REF!</v>
      </c>
      <c r="I105" s="128">
        <v>20</v>
      </c>
      <c r="J105" s="1"/>
      <c r="T105" s="4"/>
      <c r="U105" s="1"/>
      <c r="V105" t="e">
        <f t="shared" si="60"/>
        <v>#REF!</v>
      </c>
      <c r="W105" t="e">
        <f t="shared" si="61"/>
        <v>#REF!</v>
      </c>
      <c r="X105" t="e">
        <f t="shared" si="62"/>
        <v>#REF!</v>
      </c>
      <c r="Y105" t="e">
        <f t="shared" si="63"/>
        <v>#REF!</v>
      </c>
      <c r="Z105" t="e">
        <f t="shared" si="64"/>
        <v>#REF!</v>
      </c>
      <c r="AA105" t="e">
        <f t="shared" si="65"/>
        <v>#REF!</v>
      </c>
      <c r="AB105" t="e">
        <f t="shared" si="66"/>
        <v>#REF!</v>
      </c>
    </row>
    <row r="106" spans="1:28" x14ac:dyDescent="0.25">
      <c r="A106" s="7" t="s">
        <v>174</v>
      </c>
      <c r="B106" s="11" t="e">
        <f>SUM(ENERO!B106+FEBRERO!B106+MARZO!B106+ABRIL!B106+MAYO!B106+#REF!+#REF!+#REF!+#REF!+#REF!+#REF!+#REF!)</f>
        <v>#REF!</v>
      </c>
      <c r="C106" s="11" t="e">
        <f>SUM(ENERO!C106+FEBRERO!C106+MARZO!C106+ABRIL!C106+MAYO!C106+#REF!+#REF!+#REF!+#REF!+#REF!+#REF!+#REF!)</f>
        <v>#REF!</v>
      </c>
      <c r="D106" s="11" t="e">
        <f>SUM(ENERO!D106+FEBRERO!D106+MARZO!D106+ABRIL!D106+MAYO!D106+#REF!+#REF!+#REF!+#REF!+#REF!+#REF!+#REF!)</f>
        <v>#REF!</v>
      </c>
      <c r="E106" s="11" t="e">
        <f>SUM(ENERO!E106+FEBRERO!E106+MARZO!E106+ABRIL!E106+MAYO!E106+#REF!+#REF!+#REF!+#REF!+#REF!+#REF!+#REF!)</f>
        <v>#REF!</v>
      </c>
      <c r="F106" s="11" t="e">
        <f>SUM(ENERO!F106+FEBRERO!F106+MARZO!F106+ABRIL!F106+MAYO!F106+#REF!+#REF!+#REF!+#REF!+#REF!+#REF!+#REF!)</f>
        <v>#REF!</v>
      </c>
      <c r="G106" s="11" t="e">
        <f>SUM(ENERO!G106+FEBRERO!G106+MARZO!G106+ABRIL!G106+MAYO!G106+#REF!+#REF!+#REF!+#REF!+#REF!+#REF!+#REF!)</f>
        <v>#REF!</v>
      </c>
      <c r="H106" s="27" t="e">
        <f t="shared" si="17"/>
        <v>#REF!</v>
      </c>
      <c r="I106" s="128">
        <v>21</v>
      </c>
      <c r="J106" s="1"/>
      <c r="T106" s="4"/>
      <c r="U106" s="1"/>
      <c r="V106" t="e">
        <f t="shared" si="60"/>
        <v>#REF!</v>
      </c>
      <c r="W106" t="e">
        <f t="shared" si="61"/>
        <v>#REF!</v>
      </c>
      <c r="X106" t="e">
        <f t="shared" si="62"/>
        <v>#REF!</v>
      </c>
      <c r="Y106" t="e">
        <f t="shared" si="63"/>
        <v>#REF!</v>
      </c>
      <c r="Z106" t="e">
        <f t="shared" si="64"/>
        <v>#REF!</v>
      </c>
      <c r="AA106" t="e">
        <f t="shared" si="65"/>
        <v>#REF!</v>
      </c>
      <c r="AB106" t="e">
        <f t="shared" si="66"/>
        <v>#REF!</v>
      </c>
    </row>
    <row r="107" spans="1:28" x14ac:dyDescent="0.25">
      <c r="A107" s="7" t="s">
        <v>175</v>
      </c>
      <c r="B107" s="11" t="e">
        <f>SUM(ENERO!B107+FEBRERO!B107+MARZO!B107+ABRIL!B107+MAYO!B107+#REF!+#REF!+#REF!+#REF!+#REF!+#REF!+#REF!)</f>
        <v>#REF!</v>
      </c>
      <c r="C107" s="11" t="e">
        <f>SUM(ENERO!C107+FEBRERO!C107+MARZO!C107+ABRIL!C107+MAYO!C107+#REF!+#REF!+#REF!+#REF!+#REF!+#REF!+#REF!)</f>
        <v>#REF!</v>
      </c>
      <c r="D107" s="11" t="e">
        <f>SUM(ENERO!D107+FEBRERO!D107+MARZO!D107+ABRIL!D107+MAYO!D107+#REF!+#REF!+#REF!+#REF!+#REF!+#REF!+#REF!)</f>
        <v>#REF!</v>
      </c>
      <c r="E107" s="11" t="e">
        <f>SUM(ENERO!E107+FEBRERO!E107+MARZO!E107+ABRIL!E107+MAYO!E107+#REF!+#REF!+#REF!+#REF!+#REF!+#REF!+#REF!)</f>
        <v>#REF!</v>
      </c>
      <c r="F107" s="11" t="e">
        <f>SUM(ENERO!F107+FEBRERO!F107+MARZO!F107+ABRIL!F107+MAYO!F107+#REF!+#REF!+#REF!+#REF!+#REF!+#REF!+#REF!)</f>
        <v>#REF!</v>
      </c>
      <c r="G107" s="11" t="e">
        <f>SUM(ENERO!G107+FEBRERO!G107+MARZO!G107+ABRIL!G107+MAYO!G107+#REF!+#REF!+#REF!+#REF!+#REF!+#REF!+#REF!)</f>
        <v>#REF!</v>
      </c>
      <c r="H107" s="27" t="e">
        <f t="shared" si="17"/>
        <v>#REF!</v>
      </c>
      <c r="I107" s="128">
        <v>21</v>
      </c>
      <c r="J107" s="1"/>
      <c r="T107" s="4"/>
      <c r="U107" s="1"/>
      <c r="V107" t="e">
        <f t="shared" si="60"/>
        <v>#REF!</v>
      </c>
      <c r="W107" t="e">
        <f t="shared" si="61"/>
        <v>#REF!</v>
      </c>
      <c r="X107" t="e">
        <f t="shared" si="62"/>
        <v>#REF!</v>
      </c>
      <c r="Y107" t="e">
        <f t="shared" si="63"/>
        <v>#REF!</v>
      </c>
      <c r="Z107" t="e">
        <f t="shared" si="64"/>
        <v>#REF!</v>
      </c>
      <c r="AA107" t="e">
        <f t="shared" si="65"/>
        <v>#REF!</v>
      </c>
      <c r="AB107" t="e">
        <f t="shared" si="66"/>
        <v>#REF!</v>
      </c>
    </row>
    <row r="108" spans="1:28" x14ac:dyDescent="0.25">
      <c r="A108" s="177" t="s">
        <v>109</v>
      </c>
      <c r="B108" s="177"/>
      <c r="C108" s="177"/>
      <c r="D108" s="177"/>
      <c r="E108" s="177"/>
      <c r="F108" s="177"/>
      <c r="G108" s="177"/>
      <c r="H108" s="177"/>
      <c r="I108" s="133"/>
      <c r="J108" s="1"/>
      <c r="T108" s="4"/>
      <c r="U108" s="146"/>
      <c r="V108" s="147" t="s">
        <v>11</v>
      </c>
      <c r="W108" s="147" t="e">
        <f>SUM(W96:W107)</f>
        <v>#REF!</v>
      </c>
      <c r="X108" s="147"/>
      <c r="Y108" s="147"/>
      <c r="Z108" s="147"/>
      <c r="AA108" s="147" t="s">
        <v>11</v>
      </c>
      <c r="AB108" s="147" t="e">
        <f>SUM(AB96:AB107)</f>
        <v>#REF!</v>
      </c>
    </row>
    <row r="109" spans="1:28" x14ac:dyDescent="0.25">
      <c r="A109" s="7" t="s">
        <v>123</v>
      </c>
      <c r="B109" s="11" t="e">
        <f>SUM(ENERO!B109+FEBRERO!B109+MARZO!B109+ABRIL!B109+MAYO!B109+#REF!+#REF!+#REF!+#REF!+#REF!+#REF!+#REF!)</f>
        <v>#REF!</v>
      </c>
      <c r="C109" s="11" t="e">
        <f>SUM(ENERO!C109+FEBRERO!C109+MARZO!C109+ABRIL!C109+MAYO!C109+#REF!+#REF!+#REF!+#REF!+#REF!+#REF!+#REF!)</f>
        <v>#REF!</v>
      </c>
      <c r="D109" s="11" t="e">
        <f>SUM(ENERO!D109+FEBRERO!D109+MARZO!D109+ABRIL!D109+MAYO!D109+#REF!+#REF!+#REF!+#REF!+#REF!+#REF!+#REF!)</f>
        <v>#REF!</v>
      </c>
      <c r="E109" s="11" t="e">
        <f>SUM(ENERO!E109+FEBRERO!E109+MARZO!E109+ABRIL!E109+MAYO!E109+#REF!+#REF!+#REF!+#REF!+#REF!+#REF!+#REF!)</f>
        <v>#REF!</v>
      </c>
      <c r="F109" s="11" t="e">
        <f>SUM(ENERO!F109+FEBRERO!F109+MARZO!F109+ABRIL!F109+MAYO!F109+#REF!+#REF!+#REF!+#REF!+#REF!+#REF!+#REF!)</f>
        <v>#REF!</v>
      </c>
      <c r="G109" s="11" t="e">
        <f>SUM(ENERO!G109+FEBRERO!G109+MARZO!G109+ABRIL!G109+MAYO!G109+#REF!+#REF!+#REF!+#REF!+#REF!+#REF!+#REF!)</f>
        <v>#REF!</v>
      </c>
      <c r="H109" s="28" t="e">
        <f t="shared" si="17"/>
        <v>#REF!</v>
      </c>
      <c r="I109" s="134">
        <v>5.3</v>
      </c>
      <c r="J109" s="1"/>
      <c r="T109" s="4"/>
      <c r="U109" s="1"/>
      <c r="V109" t="e">
        <f>B116*I116</f>
        <v>#REF!</v>
      </c>
      <c r="W109" t="e">
        <f>C116*I116</f>
        <v>#REF!</v>
      </c>
      <c r="X109" t="e">
        <f>D116*I116</f>
        <v>#REF!</v>
      </c>
      <c r="Y109" t="e">
        <f>E116*I116</f>
        <v>#REF!</v>
      </c>
      <c r="Z109" t="e">
        <f>F116*I116</f>
        <v>#REF!</v>
      </c>
      <c r="AA109" t="e">
        <f>G116*I116</f>
        <v>#REF!</v>
      </c>
      <c r="AB109" t="e">
        <f>V109+X109+Y109+Z109+AA109</f>
        <v>#REF!</v>
      </c>
    </row>
    <row r="110" spans="1:28" x14ac:dyDescent="0.25">
      <c r="A110" s="7" t="s">
        <v>122</v>
      </c>
      <c r="B110" s="11" t="e">
        <f>SUM(ENERO!B110+FEBRERO!B110+MARZO!B110+ABRIL!B110+MAYO!B110+#REF!+#REF!+#REF!+#REF!+#REF!+#REF!+#REF!)</f>
        <v>#REF!</v>
      </c>
      <c r="C110" s="11" t="e">
        <f>SUM(ENERO!C110+FEBRERO!C110+MARZO!C110+ABRIL!C110+MAYO!C110+#REF!+#REF!+#REF!+#REF!+#REF!+#REF!+#REF!)</f>
        <v>#REF!</v>
      </c>
      <c r="D110" s="11" t="e">
        <f>SUM(ENERO!D110+FEBRERO!D110+MARZO!D110+ABRIL!D110+MAYO!D110+#REF!+#REF!+#REF!+#REF!+#REF!+#REF!+#REF!)</f>
        <v>#REF!</v>
      </c>
      <c r="E110" s="11" t="e">
        <f>SUM(ENERO!E110+FEBRERO!E110+MARZO!E110+ABRIL!E110+MAYO!E110+#REF!+#REF!+#REF!+#REF!+#REF!+#REF!+#REF!)</f>
        <v>#REF!</v>
      </c>
      <c r="F110" s="11" t="e">
        <f>SUM(ENERO!F110+FEBRERO!F110+MARZO!F110+ABRIL!F110+MAYO!F110+#REF!+#REF!+#REF!+#REF!+#REF!+#REF!+#REF!)</f>
        <v>#REF!</v>
      </c>
      <c r="G110" s="11" t="e">
        <f>SUM(ENERO!G110+FEBRERO!G110+MARZO!G110+ABRIL!G110+MAYO!G110+#REF!+#REF!+#REF!+#REF!+#REF!+#REF!+#REF!)</f>
        <v>#REF!</v>
      </c>
      <c r="H110" s="14" t="e">
        <f t="shared" si="17"/>
        <v>#REF!</v>
      </c>
      <c r="I110" s="134">
        <v>5.3</v>
      </c>
      <c r="J110" s="1"/>
      <c r="K110" s="176"/>
      <c r="L110" s="176"/>
      <c r="T110" s="4"/>
      <c r="U110" s="1"/>
      <c r="V110" t="e">
        <f t="shared" ref="V110:V113" si="67">B117*I117</f>
        <v>#REF!</v>
      </c>
      <c r="W110" t="e">
        <f t="shared" ref="W110:W113" si="68">C117*I117</f>
        <v>#REF!</v>
      </c>
      <c r="X110" t="e">
        <f t="shared" ref="X110:X113" si="69">D117*I117</f>
        <v>#REF!</v>
      </c>
      <c r="Y110" t="e">
        <f t="shared" ref="Y110:Y113" si="70">E117*I117</f>
        <v>#REF!</v>
      </c>
      <c r="Z110" t="e">
        <f t="shared" ref="Z110:Z113" si="71">F117*I117</f>
        <v>#REF!</v>
      </c>
      <c r="AA110" t="e">
        <f t="shared" ref="AA110:AA113" si="72">G117*I117</f>
        <v>#REF!</v>
      </c>
      <c r="AB110" t="e">
        <f t="shared" ref="AB110:AB114" si="73">V110+X110+Y110+Z110+AA110</f>
        <v>#REF!</v>
      </c>
    </row>
    <row r="111" spans="1:28" x14ac:dyDescent="0.25">
      <c r="A111" s="7" t="s">
        <v>121</v>
      </c>
      <c r="B111" s="11" t="e">
        <f>SUM(ENERO!B111+FEBRERO!B111+MARZO!B111+ABRIL!B111+MAYO!B111+#REF!+#REF!+#REF!+#REF!+#REF!+#REF!+#REF!)</f>
        <v>#REF!</v>
      </c>
      <c r="C111" s="11" t="e">
        <f>SUM(ENERO!C111+FEBRERO!C111+MARZO!C111+ABRIL!C111+MAYO!C111+#REF!+#REF!+#REF!+#REF!+#REF!+#REF!+#REF!)</f>
        <v>#REF!</v>
      </c>
      <c r="D111" s="11" t="e">
        <f>SUM(ENERO!D111+FEBRERO!D111+MARZO!D111+ABRIL!D111+MAYO!D111+#REF!+#REF!+#REF!+#REF!+#REF!+#REF!+#REF!)</f>
        <v>#REF!</v>
      </c>
      <c r="E111" s="11" t="e">
        <f>SUM(ENERO!E111+FEBRERO!E111+MARZO!E111+ABRIL!E111+MAYO!E111+#REF!+#REF!+#REF!+#REF!+#REF!+#REF!+#REF!)</f>
        <v>#REF!</v>
      </c>
      <c r="F111" s="11" t="e">
        <f>SUM(ENERO!F111+FEBRERO!F111+MARZO!F111+ABRIL!F111+MAYO!F111+#REF!+#REF!+#REF!+#REF!+#REF!+#REF!+#REF!)</f>
        <v>#REF!</v>
      </c>
      <c r="G111" s="11" t="e">
        <f>SUM(ENERO!G111+FEBRERO!G111+MARZO!G111+ABRIL!G111+MAYO!G111+#REF!+#REF!+#REF!+#REF!+#REF!+#REF!+#REF!)</f>
        <v>#REF!</v>
      </c>
      <c r="H111" s="14" t="e">
        <f t="shared" si="17"/>
        <v>#REF!</v>
      </c>
      <c r="I111" s="134">
        <v>8.6</v>
      </c>
      <c r="J111" s="1"/>
      <c r="K111" s="176"/>
      <c r="L111" s="176"/>
      <c r="T111" s="4"/>
      <c r="U111" s="1"/>
      <c r="V111" t="e">
        <f t="shared" si="67"/>
        <v>#REF!</v>
      </c>
      <c r="W111" t="e">
        <f t="shared" si="68"/>
        <v>#REF!</v>
      </c>
      <c r="X111" t="e">
        <f t="shared" si="69"/>
        <v>#REF!</v>
      </c>
      <c r="Y111" t="e">
        <f t="shared" si="70"/>
        <v>#REF!</v>
      </c>
      <c r="Z111" t="e">
        <f t="shared" si="71"/>
        <v>#REF!</v>
      </c>
      <c r="AA111" t="e">
        <f t="shared" si="72"/>
        <v>#REF!</v>
      </c>
      <c r="AB111" t="e">
        <f t="shared" si="73"/>
        <v>#REF!</v>
      </c>
    </row>
    <row r="112" spans="1:28" x14ac:dyDescent="0.25">
      <c r="A112" s="7" t="s">
        <v>120</v>
      </c>
      <c r="B112" s="11" t="e">
        <f>SUM(ENERO!B112+FEBRERO!B112+MARZO!B112+ABRIL!B112+MAYO!B112+#REF!+#REF!+#REF!+#REF!+#REF!+#REF!+#REF!)</f>
        <v>#REF!</v>
      </c>
      <c r="C112" s="11" t="e">
        <f>SUM(ENERO!C112+FEBRERO!C112+MARZO!C112+ABRIL!C112+MAYO!C112+#REF!+#REF!+#REF!+#REF!+#REF!+#REF!+#REF!)</f>
        <v>#REF!</v>
      </c>
      <c r="D112" s="11" t="e">
        <f>SUM(ENERO!D112+FEBRERO!D112+MARZO!D112+ABRIL!D112+MAYO!D112+#REF!+#REF!+#REF!+#REF!+#REF!+#REF!+#REF!)</f>
        <v>#REF!</v>
      </c>
      <c r="E112" s="11" t="e">
        <f>SUM(ENERO!E112+FEBRERO!E112+MARZO!E112+ABRIL!E112+MAYO!E112+#REF!+#REF!+#REF!+#REF!+#REF!+#REF!+#REF!)</f>
        <v>#REF!</v>
      </c>
      <c r="F112" s="11" t="e">
        <f>SUM(ENERO!F112+FEBRERO!F112+MARZO!F112+ABRIL!F112+MAYO!F112+#REF!+#REF!+#REF!+#REF!+#REF!+#REF!+#REF!)</f>
        <v>#REF!</v>
      </c>
      <c r="G112" s="11" t="e">
        <f>SUM(ENERO!G112+FEBRERO!G112+MARZO!G112+ABRIL!G112+MAYO!G112+#REF!+#REF!+#REF!+#REF!+#REF!+#REF!+#REF!)</f>
        <v>#REF!</v>
      </c>
      <c r="H112" s="14" t="e">
        <f t="shared" si="17"/>
        <v>#REF!</v>
      </c>
      <c r="I112" s="134">
        <v>6.2</v>
      </c>
      <c r="J112" s="1"/>
      <c r="T112" s="4"/>
      <c r="U112" s="1"/>
      <c r="V112" t="e">
        <f t="shared" si="67"/>
        <v>#REF!</v>
      </c>
      <c r="W112" t="e">
        <f t="shared" si="68"/>
        <v>#REF!</v>
      </c>
      <c r="X112" t="e">
        <f t="shared" si="69"/>
        <v>#REF!</v>
      </c>
      <c r="Y112" t="e">
        <f t="shared" si="70"/>
        <v>#REF!</v>
      </c>
      <c r="Z112" t="e">
        <f t="shared" si="71"/>
        <v>#REF!</v>
      </c>
      <c r="AA112" t="e">
        <f t="shared" si="72"/>
        <v>#REF!</v>
      </c>
      <c r="AB112" t="e">
        <f t="shared" si="73"/>
        <v>#REF!</v>
      </c>
    </row>
    <row r="113" spans="1:28" x14ac:dyDescent="0.25">
      <c r="A113" s="7" t="s">
        <v>124</v>
      </c>
      <c r="B113" s="11" t="e">
        <f>SUM(ENERO!B113+FEBRERO!B113+MARZO!B113+ABRIL!B113+MAYO!B113+#REF!+#REF!+#REF!+#REF!+#REF!+#REF!+#REF!)</f>
        <v>#REF!</v>
      </c>
      <c r="C113" s="11" t="e">
        <f>SUM(ENERO!C113+FEBRERO!C113+MARZO!C113+ABRIL!C113+MAYO!C113+#REF!+#REF!+#REF!+#REF!+#REF!+#REF!+#REF!)</f>
        <v>#REF!</v>
      </c>
      <c r="D113" s="11" t="e">
        <f>SUM(ENERO!D113+FEBRERO!D113+MARZO!D113+ABRIL!D113+MAYO!D113+#REF!+#REF!+#REF!+#REF!+#REF!+#REF!+#REF!)</f>
        <v>#REF!</v>
      </c>
      <c r="E113" s="11" t="e">
        <f>SUM(ENERO!E113+FEBRERO!E113+MARZO!E113+ABRIL!E113+MAYO!E113+#REF!+#REF!+#REF!+#REF!+#REF!+#REF!+#REF!)</f>
        <v>#REF!</v>
      </c>
      <c r="F113" s="11" t="e">
        <f>SUM(ENERO!F113+FEBRERO!F113+MARZO!F113+ABRIL!F113+MAYO!F113+#REF!+#REF!+#REF!+#REF!+#REF!+#REF!+#REF!)</f>
        <v>#REF!</v>
      </c>
      <c r="G113" s="11" t="e">
        <f>SUM(ENERO!G113+FEBRERO!G113+MARZO!G113+ABRIL!G113+MAYO!G113+#REF!+#REF!+#REF!+#REF!+#REF!+#REF!+#REF!)</f>
        <v>#REF!</v>
      </c>
      <c r="H113" s="14" t="e">
        <f t="shared" si="17"/>
        <v>#REF!</v>
      </c>
      <c r="I113" s="134">
        <v>5.51</v>
      </c>
      <c r="J113" s="1"/>
      <c r="T113" s="4"/>
      <c r="U113" s="1"/>
      <c r="V113" t="e">
        <f t="shared" si="67"/>
        <v>#REF!</v>
      </c>
      <c r="W113" t="e">
        <f t="shared" si="68"/>
        <v>#REF!</v>
      </c>
      <c r="X113" t="e">
        <f t="shared" si="69"/>
        <v>#REF!</v>
      </c>
      <c r="Y113" t="e">
        <f t="shared" si="70"/>
        <v>#REF!</v>
      </c>
      <c r="Z113" t="e">
        <f t="shared" si="71"/>
        <v>#REF!</v>
      </c>
      <c r="AA113" t="e">
        <f t="shared" si="72"/>
        <v>#REF!</v>
      </c>
      <c r="AB113" t="e">
        <f t="shared" si="73"/>
        <v>#REF!</v>
      </c>
    </row>
    <row r="114" spans="1:28" x14ac:dyDescent="0.25">
      <c r="A114" s="7" t="s">
        <v>48</v>
      </c>
      <c r="B114" s="11" t="e">
        <f>SUM(ENERO!B114+FEBRERO!B114+MARZO!B114+ABRIL!B114+MAYO!B114+#REF!+#REF!+#REF!+#REF!+#REF!+#REF!+#REF!)</f>
        <v>#REF!</v>
      </c>
      <c r="C114" s="11" t="e">
        <f>SUM(ENERO!C114+FEBRERO!C114+MARZO!C114+ABRIL!C114+MAYO!C114+#REF!+#REF!+#REF!+#REF!+#REF!+#REF!+#REF!)</f>
        <v>#REF!</v>
      </c>
      <c r="D114" s="11" t="e">
        <f>SUM(ENERO!D114+FEBRERO!D114+MARZO!D114+ABRIL!D114+MAYO!D114+#REF!+#REF!+#REF!+#REF!+#REF!+#REF!+#REF!)</f>
        <v>#REF!</v>
      </c>
      <c r="E114" s="11" t="e">
        <f>SUM(ENERO!E114+FEBRERO!E114+MARZO!E114+ABRIL!E114+MAYO!E114+#REF!+#REF!+#REF!+#REF!+#REF!+#REF!+#REF!)</f>
        <v>#REF!</v>
      </c>
      <c r="F114" s="11" t="e">
        <f>SUM(ENERO!F114+FEBRERO!F114+MARZO!F114+ABRIL!F114+MAYO!F114+#REF!+#REF!+#REF!+#REF!+#REF!+#REF!+#REF!)</f>
        <v>#REF!</v>
      </c>
      <c r="G114" s="11" t="e">
        <f>SUM(ENERO!G114+FEBRERO!G114+MARZO!G114+ABRIL!G114+MAYO!G114+#REF!+#REF!+#REF!+#REF!+#REF!+#REF!+#REF!)</f>
        <v>#REF!</v>
      </c>
      <c r="H114" s="14" t="e">
        <f>SUM(B114:G114)</f>
        <v>#REF!</v>
      </c>
      <c r="I114" s="134">
        <v>4</v>
      </c>
      <c r="J114" s="1"/>
      <c r="T114" s="4"/>
      <c r="U114" s="1"/>
      <c r="V114" t="e">
        <f t="shared" ref="V114" si="74">B121*I121</f>
        <v>#REF!</v>
      </c>
      <c r="W114" t="e">
        <f t="shared" ref="W114" si="75">C121*I121</f>
        <v>#REF!</v>
      </c>
      <c r="X114" t="e">
        <f t="shared" ref="X114" si="76">D121*I121</f>
        <v>#REF!</v>
      </c>
      <c r="Y114" t="e">
        <f t="shared" ref="Y114" si="77">E121*I121</f>
        <v>#REF!</v>
      </c>
      <c r="Z114" t="e">
        <f t="shared" ref="Z114" si="78">F121*I121</f>
        <v>#REF!</v>
      </c>
      <c r="AA114" t="e">
        <f t="shared" ref="AA114" si="79">G121*I121</f>
        <v>#REF!</v>
      </c>
      <c r="AB114" t="e">
        <f t="shared" si="73"/>
        <v>#REF!</v>
      </c>
    </row>
    <row r="115" spans="1:28" x14ac:dyDescent="0.25">
      <c r="A115" s="173" t="s">
        <v>110</v>
      </c>
      <c r="B115" s="174"/>
      <c r="C115" s="174"/>
      <c r="D115" s="174"/>
      <c r="E115" s="174"/>
      <c r="F115" s="174"/>
      <c r="G115" s="174"/>
      <c r="H115" s="175"/>
      <c r="I115" s="137"/>
      <c r="J115" s="1"/>
      <c r="T115" s="4"/>
      <c r="U115" s="148"/>
      <c r="V115" s="149" t="s">
        <v>11</v>
      </c>
      <c r="W115" s="149" t="e">
        <f>SUM(W109:W114)</f>
        <v>#REF!</v>
      </c>
      <c r="X115" s="149"/>
      <c r="Y115" s="149"/>
      <c r="Z115" s="149"/>
      <c r="AA115" s="149" t="s">
        <v>11</v>
      </c>
      <c r="AB115" s="149" t="e">
        <f>SUM(AB109:AB114)</f>
        <v>#REF!</v>
      </c>
    </row>
    <row r="116" spans="1:28" x14ac:dyDescent="0.25">
      <c r="A116" s="8" t="s">
        <v>111</v>
      </c>
      <c r="B116" s="20" t="e">
        <f>SUM(ENERO!B116+FEBRERO!B116+MARZO!B116+ABRIL!B116+MAYO!B116+#REF!+#REF!+#REF!+#REF!+#REF!+#REF!+#REF!)</f>
        <v>#REF!</v>
      </c>
      <c r="C116" s="20" t="e">
        <f>SUM(ENERO!C116+FEBRERO!C116+MARZO!C116+ABRIL!C116+MAYO!C116+#REF!+#REF!+#REF!+#REF!+#REF!+#REF!+#REF!)</f>
        <v>#REF!</v>
      </c>
      <c r="D116" s="20" t="e">
        <f>SUM(ENERO!D116+FEBRERO!D116+MARZO!D116+ABRIL!D116+MAYO!D116+#REF!+#REF!+#REF!+#REF!+#REF!+#REF!+#REF!)</f>
        <v>#REF!</v>
      </c>
      <c r="E116" s="20" t="e">
        <f>SUM(ENERO!E116+FEBRERO!E116+MARZO!E116+ABRIL!E116+MAYO!E116+#REF!+#REF!+#REF!+#REF!+#REF!+#REF!+#REF!)</f>
        <v>#REF!</v>
      </c>
      <c r="F116" s="20" t="e">
        <f>SUM(ENERO!F116+FEBRERO!F116+MARZO!F116+ABRIL!F116+MAYO!F116+#REF!+#REF!+#REF!+#REF!+#REF!+#REF!+#REF!)</f>
        <v>#REF!</v>
      </c>
      <c r="G116" s="20" t="e">
        <f>SUM(ENERO!G116+FEBRERO!G116+MARZO!G116+ABRIL!G116+MAYO!G116+#REF!+#REF!+#REF!+#REF!+#REF!+#REF!+#REF!)</f>
        <v>#REF!</v>
      </c>
      <c r="H116" s="14" t="e">
        <f t="shared" ref="H116:H149" si="80">SUM(B116:G116)</f>
        <v>#REF!</v>
      </c>
      <c r="I116" s="134">
        <v>17</v>
      </c>
      <c r="J116" s="1"/>
      <c r="T116" s="4"/>
      <c r="U116" s="1"/>
      <c r="V116" t="e">
        <f>B116*I116</f>
        <v>#REF!</v>
      </c>
      <c r="W116" t="e">
        <f>C116*I116</f>
        <v>#REF!</v>
      </c>
      <c r="X116" t="e">
        <f>D116*I116</f>
        <v>#REF!</v>
      </c>
      <c r="Y116" t="e">
        <f>E116*I116</f>
        <v>#REF!</v>
      </c>
      <c r="Z116" t="e">
        <f>F116*I116</f>
        <v>#REF!</v>
      </c>
      <c r="AA116" t="e">
        <f>G116*I116</f>
        <v>#REF!</v>
      </c>
      <c r="AB116" t="e">
        <f>V116+X116+Y116+Z116+AA116</f>
        <v>#REF!</v>
      </c>
    </row>
    <row r="117" spans="1:28" x14ac:dyDescent="0.25">
      <c r="A117" s="7" t="s">
        <v>158</v>
      </c>
      <c r="B117" s="20" t="e">
        <f>SUM(ENERO!B117+FEBRERO!B117+MARZO!B117+ABRIL!B117+MAYO!B117+#REF!+#REF!+#REF!+#REF!+#REF!+#REF!+#REF!)</f>
        <v>#REF!</v>
      </c>
      <c r="C117" s="20" t="e">
        <f>SUM(ENERO!C117+FEBRERO!C117+MARZO!C117+ABRIL!C117+MAYO!C117+#REF!+#REF!+#REF!+#REF!+#REF!+#REF!+#REF!)</f>
        <v>#REF!</v>
      </c>
      <c r="D117" s="20" t="e">
        <f>SUM(ENERO!D117+FEBRERO!D117+MARZO!D117+ABRIL!D117+MAYO!D117+#REF!+#REF!+#REF!+#REF!+#REF!+#REF!+#REF!)</f>
        <v>#REF!</v>
      </c>
      <c r="E117" s="20" t="e">
        <f>SUM(ENERO!E117+FEBRERO!E117+MARZO!E117+ABRIL!E117+MAYO!E117+#REF!+#REF!+#REF!+#REF!+#REF!+#REF!+#REF!)</f>
        <v>#REF!</v>
      </c>
      <c r="F117" s="20" t="e">
        <f>SUM(ENERO!F117+FEBRERO!F117+MARZO!F117+ABRIL!F117+MAYO!F117+#REF!+#REF!+#REF!+#REF!+#REF!+#REF!+#REF!)</f>
        <v>#REF!</v>
      </c>
      <c r="G117" s="20" t="e">
        <f>SUM(ENERO!G117+FEBRERO!G117+MARZO!G117+ABRIL!G117+MAYO!G117+#REF!+#REF!+#REF!+#REF!+#REF!+#REF!+#REF!)</f>
        <v>#REF!</v>
      </c>
      <c r="H117" s="14" t="e">
        <f t="shared" si="80"/>
        <v>#REF!</v>
      </c>
      <c r="I117" s="134">
        <v>15</v>
      </c>
      <c r="J117" s="1"/>
      <c r="T117" s="4"/>
      <c r="U117" s="1"/>
      <c r="V117" t="e">
        <f t="shared" ref="V117:V155" si="81">B117*I117</f>
        <v>#REF!</v>
      </c>
      <c r="W117" t="e">
        <f t="shared" ref="W117:W155" si="82">C117*I117</f>
        <v>#REF!</v>
      </c>
      <c r="X117" t="e">
        <f t="shared" ref="X117:X155" si="83">D117*I117</f>
        <v>#REF!</v>
      </c>
      <c r="Y117" t="e">
        <f t="shared" ref="Y117:Y155" si="84">E117*I117</f>
        <v>#REF!</v>
      </c>
      <c r="Z117" t="e">
        <f t="shared" ref="Z117:Z155" si="85">F117*I117</f>
        <v>#REF!</v>
      </c>
      <c r="AA117" t="e">
        <f t="shared" ref="AA117:AA155" si="86">G117*I117</f>
        <v>#REF!</v>
      </c>
      <c r="AB117" t="e">
        <f t="shared" ref="AB117:AB155" si="87">V117+X117+Y117+Z117+AA117</f>
        <v>#REF!</v>
      </c>
    </row>
    <row r="118" spans="1:28" x14ac:dyDescent="0.25">
      <c r="A118" s="7" t="s">
        <v>156</v>
      </c>
      <c r="B118" s="20" t="e">
        <f>SUM(ENERO!B118+FEBRERO!B118+MARZO!B118+ABRIL!B118+MAYO!B118+#REF!+#REF!+#REF!+#REF!+#REF!+#REF!+#REF!)</f>
        <v>#REF!</v>
      </c>
      <c r="C118" s="20" t="e">
        <f>SUM(ENERO!C118+FEBRERO!C118+MARZO!C118+ABRIL!C118+MAYO!C118+#REF!+#REF!+#REF!+#REF!+#REF!+#REF!+#REF!)</f>
        <v>#REF!</v>
      </c>
      <c r="D118" s="20" t="e">
        <f>SUM(ENERO!D118+FEBRERO!D118+MARZO!D118+ABRIL!D118+MAYO!D118+#REF!+#REF!+#REF!+#REF!+#REF!+#REF!+#REF!)</f>
        <v>#REF!</v>
      </c>
      <c r="E118" s="20" t="e">
        <f>SUM(ENERO!E118+FEBRERO!E118+MARZO!E118+ABRIL!E118+MAYO!E118+#REF!+#REF!+#REF!+#REF!+#REF!+#REF!+#REF!)</f>
        <v>#REF!</v>
      </c>
      <c r="F118" s="20" t="e">
        <f>SUM(ENERO!F118+FEBRERO!F118+MARZO!F118+ABRIL!F118+MAYO!F118+#REF!+#REF!+#REF!+#REF!+#REF!+#REF!+#REF!)</f>
        <v>#REF!</v>
      </c>
      <c r="G118" s="20" t="e">
        <f>SUM(ENERO!G118+FEBRERO!G118+MARZO!G118+ABRIL!G118+MAYO!G118+#REF!+#REF!+#REF!+#REF!+#REF!+#REF!+#REF!)</f>
        <v>#REF!</v>
      </c>
      <c r="H118" s="14" t="e">
        <f t="shared" si="80"/>
        <v>#REF!</v>
      </c>
      <c r="I118" s="134">
        <v>17</v>
      </c>
      <c r="J118" s="1"/>
      <c r="T118" s="4"/>
      <c r="U118" s="1"/>
      <c r="V118" t="e">
        <f t="shared" si="81"/>
        <v>#REF!</v>
      </c>
      <c r="W118" t="e">
        <f t="shared" si="82"/>
        <v>#REF!</v>
      </c>
      <c r="X118" t="e">
        <f t="shared" si="83"/>
        <v>#REF!</v>
      </c>
      <c r="Y118" t="e">
        <f t="shared" si="84"/>
        <v>#REF!</v>
      </c>
      <c r="Z118" t="e">
        <f t="shared" si="85"/>
        <v>#REF!</v>
      </c>
      <c r="AA118" t="e">
        <f t="shared" si="86"/>
        <v>#REF!</v>
      </c>
      <c r="AB118" t="e">
        <f t="shared" si="87"/>
        <v>#REF!</v>
      </c>
    </row>
    <row r="119" spans="1:28" x14ac:dyDescent="0.25">
      <c r="A119" s="7" t="s">
        <v>187</v>
      </c>
      <c r="B119" s="20" t="e">
        <f>SUM(ENERO!B119+FEBRERO!B119+MARZO!B119+ABRIL!B119+MAYO!B119+#REF!+#REF!+#REF!+#REF!+#REF!+#REF!+#REF!)</f>
        <v>#REF!</v>
      </c>
      <c r="C119" s="20" t="e">
        <f>SUM(ENERO!C119+FEBRERO!C119+MARZO!C119+ABRIL!C119+MAYO!C119+#REF!+#REF!+#REF!+#REF!+#REF!+#REF!+#REF!)</f>
        <v>#REF!</v>
      </c>
      <c r="D119" s="20" t="e">
        <f>SUM(ENERO!D119+FEBRERO!D119+MARZO!D119+ABRIL!D119+MAYO!D119+#REF!+#REF!+#REF!+#REF!+#REF!+#REF!+#REF!)</f>
        <v>#REF!</v>
      </c>
      <c r="E119" s="20" t="e">
        <f>SUM(ENERO!E119+FEBRERO!E119+MARZO!E119+ABRIL!E119+MAYO!E119+#REF!+#REF!+#REF!+#REF!+#REF!+#REF!+#REF!)</f>
        <v>#REF!</v>
      </c>
      <c r="F119" s="20" t="e">
        <f>SUM(ENERO!F119+FEBRERO!F119+MARZO!F119+ABRIL!F119+MAYO!F119+#REF!+#REF!+#REF!+#REF!+#REF!+#REF!+#REF!)</f>
        <v>#REF!</v>
      </c>
      <c r="G119" s="20" t="e">
        <f>SUM(ENERO!G119+FEBRERO!G119+MARZO!G119+ABRIL!G119+MAYO!G119+#REF!+#REF!+#REF!+#REF!+#REF!+#REF!+#REF!)</f>
        <v>#REF!</v>
      </c>
      <c r="H119" s="14" t="e">
        <f t="shared" si="80"/>
        <v>#REF!</v>
      </c>
      <c r="I119" s="134">
        <v>15</v>
      </c>
      <c r="J119" s="1"/>
      <c r="T119" s="4"/>
      <c r="U119" s="1"/>
      <c r="V119" t="e">
        <f t="shared" si="81"/>
        <v>#REF!</v>
      </c>
      <c r="W119" t="e">
        <f t="shared" si="82"/>
        <v>#REF!</v>
      </c>
      <c r="X119" t="e">
        <f t="shared" si="83"/>
        <v>#REF!</v>
      </c>
      <c r="Y119" t="e">
        <f t="shared" si="84"/>
        <v>#REF!</v>
      </c>
      <c r="Z119" t="e">
        <f t="shared" si="85"/>
        <v>#REF!</v>
      </c>
      <c r="AA119" t="e">
        <f t="shared" si="86"/>
        <v>#REF!</v>
      </c>
      <c r="AB119" t="e">
        <f t="shared" si="87"/>
        <v>#REF!</v>
      </c>
    </row>
    <row r="120" spans="1:28" x14ac:dyDescent="0.25">
      <c r="A120" s="7" t="s">
        <v>157</v>
      </c>
      <c r="B120" s="20" t="e">
        <f>SUM(ENERO!B120+FEBRERO!B120+MARZO!B120+ABRIL!B120+MAYO!B120+#REF!+#REF!+#REF!+#REF!+#REF!+#REF!+#REF!)</f>
        <v>#REF!</v>
      </c>
      <c r="C120" s="20" t="e">
        <f>SUM(ENERO!C120+FEBRERO!C120+MARZO!C120+ABRIL!C120+MAYO!C120+#REF!+#REF!+#REF!+#REF!+#REF!+#REF!+#REF!)</f>
        <v>#REF!</v>
      </c>
      <c r="D120" s="20" t="e">
        <f>SUM(ENERO!D120+FEBRERO!D120+MARZO!D120+ABRIL!D120+MAYO!D120+#REF!+#REF!+#REF!+#REF!+#REF!+#REF!+#REF!)</f>
        <v>#REF!</v>
      </c>
      <c r="E120" s="20" t="e">
        <f>SUM(ENERO!E120+FEBRERO!E120+MARZO!E120+ABRIL!E120+MAYO!E120+#REF!+#REF!+#REF!+#REF!+#REF!+#REF!+#REF!)</f>
        <v>#REF!</v>
      </c>
      <c r="F120" s="20" t="e">
        <f>SUM(ENERO!F120+FEBRERO!F120+MARZO!F120+ABRIL!F120+MAYO!F120+#REF!+#REF!+#REF!+#REF!+#REF!+#REF!+#REF!)</f>
        <v>#REF!</v>
      </c>
      <c r="G120" s="20" t="e">
        <f>SUM(ENERO!G120+FEBRERO!G120+MARZO!G120+ABRIL!G120+MAYO!G120+#REF!+#REF!+#REF!+#REF!+#REF!+#REF!+#REF!)</f>
        <v>#REF!</v>
      </c>
      <c r="H120" s="14" t="e">
        <f t="shared" si="80"/>
        <v>#REF!</v>
      </c>
      <c r="I120" s="134">
        <v>15</v>
      </c>
      <c r="J120" s="1"/>
      <c r="T120" s="4"/>
      <c r="U120" s="1"/>
      <c r="V120" t="e">
        <f t="shared" si="81"/>
        <v>#REF!</v>
      </c>
      <c r="W120" t="e">
        <f t="shared" si="82"/>
        <v>#REF!</v>
      </c>
      <c r="X120" t="e">
        <f t="shared" si="83"/>
        <v>#REF!</v>
      </c>
      <c r="Y120" t="e">
        <f t="shared" si="84"/>
        <v>#REF!</v>
      </c>
      <c r="Z120" t="e">
        <f t="shared" si="85"/>
        <v>#REF!</v>
      </c>
      <c r="AA120" t="e">
        <f t="shared" si="86"/>
        <v>#REF!</v>
      </c>
      <c r="AB120" t="e">
        <f t="shared" si="87"/>
        <v>#REF!</v>
      </c>
    </row>
    <row r="121" spans="1:28" x14ac:dyDescent="0.25">
      <c r="A121" s="7" t="s">
        <v>125</v>
      </c>
      <c r="B121" s="20" t="e">
        <f>SUM(ENERO!B121+FEBRERO!B121+MARZO!B121+ABRIL!B121+MAYO!B121+#REF!+#REF!+#REF!+#REF!+#REF!+#REF!+#REF!)</f>
        <v>#REF!</v>
      </c>
      <c r="C121" s="20" t="e">
        <f>SUM(ENERO!C121+FEBRERO!C121+MARZO!C121+ABRIL!C121+MAYO!C121+#REF!+#REF!+#REF!+#REF!+#REF!+#REF!+#REF!)</f>
        <v>#REF!</v>
      </c>
      <c r="D121" s="20" t="e">
        <f>SUM(ENERO!D121+FEBRERO!D121+MARZO!D121+ABRIL!D121+MAYO!D121+#REF!+#REF!+#REF!+#REF!+#REF!+#REF!+#REF!)</f>
        <v>#REF!</v>
      </c>
      <c r="E121" s="20" t="e">
        <f>SUM(ENERO!E121+FEBRERO!E121+MARZO!E121+ABRIL!E121+MAYO!E121+#REF!+#REF!+#REF!+#REF!+#REF!+#REF!+#REF!)</f>
        <v>#REF!</v>
      </c>
      <c r="F121" s="20" t="e">
        <f>SUM(ENERO!F121+FEBRERO!F121+MARZO!F121+ABRIL!F121+MAYO!F121+#REF!+#REF!+#REF!+#REF!+#REF!+#REF!+#REF!)</f>
        <v>#REF!</v>
      </c>
      <c r="G121" s="20" t="e">
        <f>SUM(ENERO!G121+FEBRERO!G121+MARZO!G121+ABRIL!G121+MAYO!G121+#REF!+#REF!+#REF!+#REF!+#REF!+#REF!+#REF!)</f>
        <v>#REF!</v>
      </c>
      <c r="H121" s="14" t="e">
        <f t="shared" si="80"/>
        <v>#REF!</v>
      </c>
      <c r="I121" s="134">
        <v>16</v>
      </c>
      <c r="J121" s="1"/>
      <c r="T121" s="4"/>
      <c r="U121" s="1"/>
      <c r="V121" t="e">
        <f t="shared" si="81"/>
        <v>#REF!</v>
      </c>
      <c r="W121" t="e">
        <f t="shared" si="82"/>
        <v>#REF!</v>
      </c>
      <c r="X121" t="e">
        <f t="shared" si="83"/>
        <v>#REF!</v>
      </c>
      <c r="Y121" t="e">
        <f t="shared" si="84"/>
        <v>#REF!</v>
      </c>
      <c r="Z121" t="e">
        <f t="shared" si="85"/>
        <v>#REF!</v>
      </c>
      <c r="AA121" t="e">
        <f t="shared" si="86"/>
        <v>#REF!</v>
      </c>
      <c r="AB121" t="e">
        <f t="shared" si="87"/>
        <v>#REF!</v>
      </c>
    </row>
    <row r="122" spans="1:28" x14ac:dyDescent="0.25">
      <c r="A122" s="7" t="s">
        <v>126</v>
      </c>
      <c r="B122" s="20" t="e">
        <f>SUM(ENERO!B122+FEBRERO!B122+MARZO!B122+ABRIL!B122+MAYO!B122+#REF!+#REF!+#REF!+#REF!+#REF!+#REF!+#REF!)</f>
        <v>#REF!</v>
      </c>
      <c r="C122" s="20" t="e">
        <f>SUM(ENERO!C122+FEBRERO!C122+MARZO!C122+ABRIL!C122+MAYO!C122+#REF!+#REF!+#REF!+#REF!+#REF!+#REF!+#REF!)</f>
        <v>#REF!</v>
      </c>
      <c r="D122" s="20" t="e">
        <f>SUM(ENERO!D122+FEBRERO!D122+MARZO!D122+ABRIL!D122+MAYO!D122+#REF!+#REF!+#REF!+#REF!+#REF!+#REF!+#REF!)</f>
        <v>#REF!</v>
      </c>
      <c r="E122" s="20" t="e">
        <f>SUM(ENERO!E122+FEBRERO!E122+MARZO!E122+ABRIL!E122+MAYO!E122+#REF!+#REF!+#REF!+#REF!+#REF!+#REF!+#REF!)</f>
        <v>#REF!</v>
      </c>
      <c r="F122" s="20" t="e">
        <f>SUM(ENERO!F122+FEBRERO!F122+MARZO!F122+ABRIL!F122+MAYO!F122+#REF!+#REF!+#REF!+#REF!+#REF!+#REF!+#REF!)</f>
        <v>#REF!</v>
      </c>
      <c r="G122" s="20" t="e">
        <f>SUM(ENERO!G122+FEBRERO!G122+MARZO!G122+ABRIL!G122+MAYO!G122+#REF!+#REF!+#REF!+#REF!+#REF!+#REF!+#REF!)</f>
        <v>#REF!</v>
      </c>
      <c r="H122" s="14" t="e">
        <f t="shared" si="80"/>
        <v>#REF!</v>
      </c>
      <c r="I122" s="134">
        <v>16</v>
      </c>
      <c r="J122" s="1"/>
      <c r="T122" s="4"/>
      <c r="U122" s="1"/>
      <c r="V122" t="e">
        <f t="shared" si="81"/>
        <v>#REF!</v>
      </c>
      <c r="W122" t="e">
        <f t="shared" si="82"/>
        <v>#REF!</v>
      </c>
      <c r="X122" t="e">
        <f t="shared" si="83"/>
        <v>#REF!</v>
      </c>
      <c r="Y122" t="e">
        <f t="shared" si="84"/>
        <v>#REF!</v>
      </c>
      <c r="Z122" t="e">
        <f t="shared" si="85"/>
        <v>#REF!</v>
      </c>
      <c r="AA122" t="e">
        <f t="shared" si="86"/>
        <v>#REF!</v>
      </c>
      <c r="AB122" t="e">
        <f t="shared" si="87"/>
        <v>#REF!</v>
      </c>
    </row>
    <row r="123" spans="1:28" x14ac:dyDescent="0.25">
      <c r="A123" s="7" t="s">
        <v>103</v>
      </c>
      <c r="B123" s="20" t="e">
        <f>SUM(ENERO!B123+FEBRERO!B123+MARZO!B123+ABRIL!B123+MAYO!B123+#REF!+#REF!+#REF!+#REF!+#REF!+#REF!+#REF!)</f>
        <v>#REF!</v>
      </c>
      <c r="C123" s="20" t="e">
        <f>SUM(ENERO!C123+FEBRERO!C123+MARZO!C123+ABRIL!C123+MAYO!C123+#REF!+#REF!+#REF!+#REF!+#REF!+#REF!+#REF!)</f>
        <v>#REF!</v>
      </c>
      <c r="D123" s="20" t="e">
        <f>SUM(ENERO!D123+FEBRERO!D123+MARZO!D123+ABRIL!D123+MAYO!D123+#REF!+#REF!+#REF!+#REF!+#REF!+#REF!+#REF!)</f>
        <v>#REF!</v>
      </c>
      <c r="E123" s="20" t="e">
        <f>SUM(ENERO!E123+FEBRERO!E123+MARZO!E123+ABRIL!E123+MAYO!E123+#REF!+#REF!+#REF!+#REF!+#REF!+#REF!+#REF!)</f>
        <v>#REF!</v>
      </c>
      <c r="F123" s="20" t="e">
        <f>SUM(ENERO!F123+FEBRERO!F123+MARZO!F123+ABRIL!F123+MAYO!F123+#REF!+#REF!+#REF!+#REF!+#REF!+#REF!+#REF!)</f>
        <v>#REF!</v>
      </c>
      <c r="G123" s="20" t="e">
        <f>SUM(ENERO!G123+FEBRERO!G123+MARZO!G123+ABRIL!G123+MAYO!G123+#REF!+#REF!+#REF!+#REF!+#REF!+#REF!+#REF!)</f>
        <v>#REF!</v>
      </c>
      <c r="H123" s="14" t="e">
        <f t="shared" si="80"/>
        <v>#REF!</v>
      </c>
      <c r="I123" s="134">
        <v>18</v>
      </c>
      <c r="J123" s="1"/>
      <c r="T123" s="4"/>
      <c r="U123" s="1"/>
      <c r="V123" t="e">
        <f t="shared" si="81"/>
        <v>#REF!</v>
      </c>
      <c r="W123" t="e">
        <f t="shared" si="82"/>
        <v>#REF!</v>
      </c>
      <c r="X123" t="e">
        <f t="shared" si="83"/>
        <v>#REF!</v>
      </c>
      <c r="Y123" t="e">
        <f t="shared" si="84"/>
        <v>#REF!</v>
      </c>
      <c r="Z123" t="e">
        <f t="shared" si="85"/>
        <v>#REF!</v>
      </c>
      <c r="AA123" t="e">
        <f t="shared" si="86"/>
        <v>#REF!</v>
      </c>
      <c r="AB123" t="e">
        <f t="shared" si="87"/>
        <v>#REF!</v>
      </c>
    </row>
    <row r="124" spans="1:28" x14ac:dyDescent="0.25">
      <c r="A124" s="7" t="s">
        <v>127</v>
      </c>
      <c r="B124" s="20" t="e">
        <f>SUM(ENERO!B124+FEBRERO!B124+MARZO!B124+ABRIL!B124+MAYO!B124+#REF!+#REF!+#REF!+#REF!+#REF!+#REF!+#REF!)</f>
        <v>#REF!</v>
      </c>
      <c r="C124" s="20" t="e">
        <f>SUM(ENERO!C124+FEBRERO!C124+MARZO!C124+ABRIL!C124+MAYO!C124+#REF!+#REF!+#REF!+#REF!+#REF!+#REF!+#REF!)</f>
        <v>#REF!</v>
      </c>
      <c r="D124" s="20" t="e">
        <f>SUM(ENERO!D124+FEBRERO!D124+MARZO!D124+ABRIL!D124+MAYO!D124+#REF!+#REF!+#REF!+#REF!+#REF!+#REF!+#REF!)</f>
        <v>#REF!</v>
      </c>
      <c r="E124" s="20" t="e">
        <f>SUM(ENERO!E124+FEBRERO!E124+MARZO!E124+ABRIL!E124+MAYO!E124+#REF!+#REF!+#REF!+#REF!+#REF!+#REF!+#REF!)</f>
        <v>#REF!</v>
      </c>
      <c r="F124" s="20" t="e">
        <f>SUM(ENERO!F124+FEBRERO!F124+MARZO!F124+ABRIL!F124+MAYO!F124+#REF!+#REF!+#REF!+#REF!+#REF!+#REF!+#REF!)</f>
        <v>#REF!</v>
      </c>
      <c r="G124" s="20" t="e">
        <f>SUM(ENERO!G124+FEBRERO!G124+MARZO!G124+ABRIL!G124+MAYO!G124+#REF!+#REF!+#REF!+#REF!+#REF!+#REF!+#REF!)</f>
        <v>#REF!</v>
      </c>
      <c r="H124" s="14" t="e">
        <f t="shared" si="80"/>
        <v>#REF!</v>
      </c>
      <c r="I124" s="134">
        <v>18</v>
      </c>
      <c r="J124" s="1"/>
      <c r="T124" s="4"/>
      <c r="U124" s="1"/>
      <c r="V124" t="e">
        <f t="shared" si="81"/>
        <v>#REF!</v>
      </c>
      <c r="W124" t="e">
        <f t="shared" si="82"/>
        <v>#REF!</v>
      </c>
      <c r="X124" t="e">
        <f t="shared" si="83"/>
        <v>#REF!</v>
      </c>
      <c r="Y124" t="e">
        <f t="shared" si="84"/>
        <v>#REF!</v>
      </c>
      <c r="Z124" t="e">
        <f t="shared" si="85"/>
        <v>#REF!</v>
      </c>
      <c r="AA124" t="e">
        <f t="shared" si="86"/>
        <v>#REF!</v>
      </c>
      <c r="AB124" t="e">
        <f t="shared" si="87"/>
        <v>#REF!</v>
      </c>
    </row>
    <row r="125" spans="1:28" x14ac:dyDescent="0.25">
      <c r="A125" s="7" t="s">
        <v>128</v>
      </c>
      <c r="B125" s="20" t="e">
        <f>SUM(ENERO!B125+FEBRERO!B125+MARZO!B125+ABRIL!B125+MAYO!B125+#REF!+#REF!+#REF!+#REF!+#REF!+#REF!+#REF!)</f>
        <v>#REF!</v>
      </c>
      <c r="C125" s="20" t="e">
        <f>SUM(ENERO!C125+FEBRERO!C125+MARZO!C125+ABRIL!C125+MAYO!C125+#REF!+#REF!+#REF!+#REF!+#REF!+#REF!+#REF!)</f>
        <v>#REF!</v>
      </c>
      <c r="D125" s="20" t="e">
        <f>SUM(ENERO!D125+FEBRERO!D125+MARZO!D125+ABRIL!D125+MAYO!D125+#REF!+#REF!+#REF!+#REF!+#REF!+#REF!+#REF!)</f>
        <v>#REF!</v>
      </c>
      <c r="E125" s="20" t="e">
        <f>SUM(ENERO!E125+FEBRERO!E125+MARZO!E125+ABRIL!E125+MAYO!E125+#REF!+#REF!+#REF!+#REF!+#REF!+#REF!+#REF!)</f>
        <v>#REF!</v>
      </c>
      <c r="F125" s="20" t="e">
        <f>SUM(ENERO!F125+FEBRERO!F125+MARZO!F125+ABRIL!F125+MAYO!F125+#REF!+#REF!+#REF!+#REF!+#REF!+#REF!+#REF!)</f>
        <v>#REF!</v>
      </c>
      <c r="G125" s="20" t="e">
        <f>SUM(ENERO!G125+FEBRERO!G125+MARZO!G125+ABRIL!G125+MAYO!G125+#REF!+#REF!+#REF!+#REF!+#REF!+#REF!+#REF!)</f>
        <v>#REF!</v>
      </c>
      <c r="H125" s="14" t="e">
        <f t="shared" si="80"/>
        <v>#REF!</v>
      </c>
      <c r="I125" s="134">
        <v>18</v>
      </c>
      <c r="J125" s="1"/>
      <c r="T125" s="4"/>
      <c r="U125" s="1"/>
      <c r="V125" t="e">
        <f t="shared" si="81"/>
        <v>#REF!</v>
      </c>
      <c r="W125" t="e">
        <f t="shared" si="82"/>
        <v>#REF!</v>
      </c>
      <c r="X125" t="e">
        <f t="shared" si="83"/>
        <v>#REF!</v>
      </c>
      <c r="Y125" t="e">
        <f t="shared" si="84"/>
        <v>#REF!</v>
      </c>
      <c r="Z125" t="e">
        <f t="shared" si="85"/>
        <v>#REF!</v>
      </c>
      <c r="AA125" t="e">
        <f t="shared" si="86"/>
        <v>#REF!</v>
      </c>
      <c r="AB125" t="e">
        <f t="shared" si="87"/>
        <v>#REF!</v>
      </c>
    </row>
    <row r="126" spans="1:28" x14ac:dyDescent="0.25">
      <c r="A126" s="7" t="s">
        <v>129</v>
      </c>
      <c r="B126" s="20" t="e">
        <f>SUM(ENERO!B126+FEBRERO!B126+MARZO!B126+ABRIL!B126+MAYO!B126+#REF!+#REF!+#REF!+#REF!+#REF!+#REF!+#REF!)</f>
        <v>#REF!</v>
      </c>
      <c r="C126" s="20" t="e">
        <f>SUM(ENERO!C126+FEBRERO!C126+MARZO!C126+ABRIL!C126+MAYO!C126+#REF!+#REF!+#REF!+#REF!+#REF!+#REF!+#REF!)</f>
        <v>#REF!</v>
      </c>
      <c r="D126" s="20" t="e">
        <f>SUM(ENERO!D126+FEBRERO!D126+MARZO!D126+ABRIL!D126+MAYO!D126+#REF!+#REF!+#REF!+#REF!+#REF!+#REF!+#REF!)</f>
        <v>#REF!</v>
      </c>
      <c r="E126" s="20" t="e">
        <f>SUM(ENERO!E126+FEBRERO!E126+MARZO!E126+ABRIL!E126+MAYO!E126+#REF!+#REF!+#REF!+#REF!+#REF!+#REF!+#REF!)</f>
        <v>#REF!</v>
      </c>
      <c r="F126" s="20" t="e">
        <f>SUM(ENERO!F126+FEBRERO!F126+MARZO!F126+ABRIL!F126+MAYO!F126+#REF!+#REF!+#REF!+#REF!+#REF!+#REF!+#REF!)</f>
        <v>#REF!</v>
      </c>
      <c r="G126" s="20" t="e">
        <f>SUM(ENERO!G126+FEBRERO!G126+MARZO!G126+ABRIL!G126+MAYO!G126+#REF!+#REF!+#REF!+#REF!+#REF!+#REF!+#REF!)</f>
        <v>#REF!</v>
      </c>
      <c r="H126" s="14" t="e">
        <f t="shared" si="80"/>
        <v>#REF!</v>
      </c>
      <c r="I126" s="134">
        <v>18</v>
      </c>
      <c r="J126" s="1"/>
      <c r="T126" s="4"/>
      <c r="U126" s="1"/>
      <c r="V126" t="e">
        <f t="shared" si="81"/>
        <v>#REF!</v>
      </c>
      <c r="W126" t="e">
        <f t="shared" si="82"/>
        <v>#REF!</v>
      </c>
      <c r="X126" t="e">
        <f t="shared" si="83"/>
        <v>#REF!</v>
      </c>
      <c r="Y126" t="e">
        <f t="shared" si="84"/>
        <v>#REF!</v>
      </c>
      <c r="Z126" t="e">
        <f t="shared" si="85"/>
        <v>#REF!</v>
      </c>
      <c r="AA126" t="e">
        <f t="shared" si="86"/>
        <v>#REF!</v>
      </c>
      <c r="AB126" t="e">
        <f t="shared" si="87"/>
        <v>#REF!</v>
      </c>
    </row>
    <row r="127" spans="1:28" x14ac:dyDescent="0.25">
      <c r="A127" s="7" t="s">
        <v>44</v>
      </c>
      <c r="B127" s="20" t="e">
        <f>SUM(ENERO!B127+FEBRERO!B127+MARZO!B127+ABRIL!B127+MAYO!B127+#REF!+#REF!+#REF!+#REF!+#REF!+#REF!+#REF!)</f>
        <v>#REF!</v>
      </c>
      <c r="C127" s="20" t="e">
        <f>SUM(ENERO!C127+FEBRERO!C127+MARZO!C127+ABRIL!C127+MAYO!C127+#REF!+#REF!+#REF!+#REF!+#REF!+#REF!+#REF!)</f>
        <v>#REF!</v>
      </c>
      <c r="D127" s="20" t="e">
        <f>SUM(ENERO!D127+FEBRERO!D127+MARZO!D127+ABRIL!D127+MAYO!D127+#REF!+#REF!+#REF!+#REF!+#REF!+#REF!+#REF!)</f>
        <v>#REF!</v>
      </c>
      <c r="E127" s="20" t="e">
        <f>SUM(ENERO!E127+FEBRERO!E127+MARZO!E127+ABRIL!E127+MAYO!E127+#REF!+#REF!+#REF!+#REF!+#REF!+#REF!+#REF!)</f>
        <v>#REF!</v>
      </c>
      <c r="F127" s="20" t="e">
        <f>SUM(ENERO!F127+FEBRERO!F127+MARZO!F127+ABRIL!F127+MAYO!F127+#REF!+#REF!+#REF!+#REF!+#REF!+#REF!+#REF!)</f>
        <v>#REF!</v>
      </c>
      <c r="G127" s="20" t="e">
        <f>SUM(ENERO!G127+FEBRERO!G127+MARZO!G127+ABRIL!G127+MAYO!G127+#REF!+#REF!+#REF!+#REF!+#REF!+#REF!+#REF!)</f>
        <v>#REF!</v>
      </c>
      <c r="H127" s="14" t="e">
        <f t="shared" si="80"/>
        <v>#REF!</v>
      </c>
      <c r="I127" s="134">
        <v>15</v>
      </c>
      <c r="J127" s="1"/>
      <c r="T127" s="4"/>
      <c r="U127" s="1"/>
      <c r="V127" t="e">
        <f t="shared" si="81"/>
        <v>#REF!</v>
      </c>
      <c r="W127" t="e">
        <f t="shared" si="82"/>
        <v>#REF!</v>
      </c>
      <c r="X127" t="e">
        <f t="shared" si="83"/>
        <v>#REF!</v>
      </c>
      <c r="Y127" t="e">
        <f t="shared" si="84"/>
        <v>#REF!</v>
      </c>
      <c r="Z127" t="e">
        <f t="shared" si="85"/>
        <v>#REF!</v>
      </c>
      <c r="AA127" t="e">
        <f t="shared" si="86"/>
        <v>#REF!</v>
      </c>
      <c r="AB127" t="e">
        <f t="shared" si="87"/>
        <v>#REF!</v>
      </c>
    </row>
    <row r="128" spans="1:28" x14ac:dyDescent="0.25">
      <c r="A128" s="7" t="s">
        <v>92</v>
      </c>
      <c r="B128" s="20" t="e">
        <f>SUM(ENERO!B128+FEBRERO!B128+MARZO!B128+ABRIL!B128+MAYO!B128+#REF!+#REF!+#REF!+#REF!+#REF!+#REF!+#REF!)</f>
        <v>#REF!</v>
      </c>
      <c r="C128" s="20" t="e">
        <f>SUM(ENERO!C128+FEBRERO!C128+MARZO!C128+ABRIL!C128+MAYO!C128+#REF!+#REF!+#REF!+#REF!+#REF!+#REF!+#REF!)</f>
        <v>#REF!</v>
      </c>
      <c r="D128" s="20" t="e">
        <f>SUM(ENERO!D128+FEBRERO!D128+MARZO!D128+ABRIL!D128+MAYO!D128+#REF!+#REF!+#REF!+#REF!+#REF!+#REF!+#REF!)</f>
        <v>#REF!</v>
      </c>
      <c r="E128" s="20" t="e">
        <f>SUM(ENERO!E128+FEBRERO!E128+MARZO!E128+ABRIL!E128+MAYO!E128+#REF!+#REF!+#REF!+#REF!+#REF!+#REF!+#REF!)</f>
        <v>#REF!</v>
      </c>
      <c r="F128" s="20" t="e">
        <f>SUM(ENERO!F128+FEBRERO!F128+MARZO!F128+ABRIL!F128+MAYO!F128+#REF!+#REF!+#REF!+#REF!+#REF!+#REF!+#REF!)</f>
        <v>#REF!</v>
      </c>
      <c r="G128" s="20" t="e">
        <f>SUM(ENERO!G128+FEBRERO!G128+MARZO!G128+ABRIL!G128+MAYO!G128+#REF!+#REF!+#REF!+#REF!+#REF!+#REF!+#REF!)</f>
        <v>#REF!</v>
      </c>
      <c r="H128" s="14" t="e">
        <f t="shared" si="80"/>
        <v>#REF!</v>
      </c>
      <c r="I128" s="134">
        <v>16</v>
      </c>
      <c r="J128" s="1"/>
      <c r="T128" s="4"/>
      <c r="U128" s="1"/>
      <c r="V128" t="e">
        <f t="shared" si="81"/>
        <v>#REF!</v>
      </c>
      <c r="W128" t="e">
        <f t="shared" si="82"/>
        <v>#REF!</v>
      </c>
      <c r="X128" t="e">
        <f t="shared" si="83"/>
        <v>#REF!</v>
      </c>
      <c r="Y128" t="e">
        <f t="shared" si="84"/>
        <v>#REF!</v>
      </c>
      <c r="Z128" t="e">
        <f t="shared" si="85"/>
        <v>#REF!</v>
      </c>
      <c r="AA128" t="e">
        <f t="shared" si="86"/>
        <v>#REF!</v>
      </c>
      <c r="AB128" t="e">
        <f t="shared" si="87"/>
        <v>#REF!</v>
      </c>
    </row>
    <row r="129" spans="1:28" x14ac:dyDescent="0.25">
      <c r="A129" s="7" t="s">
        <v>45</v>
      </c>
      <c r="B129" s="20" t="e">
        <f>SUM(ENERO!B129+FEBRERO!B129+MARZO!B129+ABRIL!B129+MAYO!B129+#REF!+#REF!+#REF!+#REF!+#REF!+#REF!+#REF!)</f>
        <v>#REF!</v>
      </c>
      <c r="C129" s="20" t="e">
        <f>SUM(ENERO!C129+FEBRERO!C129+MARZO!C129+ABRIL!C129+MAYO!C129+#REF!+#REF!+#REF!+#REF!+#REF!+#REF!+#REF!)</f>
        <v>#REF!</v>
      </c>
      <c r="D129" s="20" t="e">
        <f>SUM(ENERO!D129+FEBRERO!D129+MARZO!D129+ABRIL!D129+MAYO!D129+#REF!+#REF!+#REF!+#REF!+#REF!+#REF!+#REF!)</f>
        <v>#REF!</v>
      </c>
      <c r="E129" s="20" t="e">
        <f>SUM(ENERO!E129+FEBRERO!E129+MARZO!E129+ABRIL!E129+MAYO!E129+#REF!+#REF!+#REF!+#REF!+#REF!+#REF!+#REF!)</f>
        <v>#REF!</v>
      </c>
      <c r="F129" s="20" t="e">
        <f>SUM(ENERO!F129+FEBRERO!F129+MARZO!F129+ABRIL!F129+MAYO!F129+#REF!+#REF!+#REF!+#REF!+#REF!+#REF!+#REF!)</f>
        <v>#REF!</v>
      </c>
      <c r="G129" s="20" t="e">
        <f>SUM(ENERO!G129+FEBRERO!G129+MARZO!G129+ABRIL!G129+MAYO!G129+#REF!+#REF!+#REF!+#REF!+#REF!+#REF!+#REF!)</f>
        <v>#REF!</v>
      </c>
      <c r="H129" s="14" t="e">
        <f t="shared" si="80"/>
        <v>#REF!</v>
      </c>
      <c r="I129" s="134">
        <v>14</v>
      </c>
      <c r="J129" s="1"/>
      <c r="T129" s="4"/>
      <c r="U129" s="1"/>
      <c r="V129" t="e">
        <f t="shared" si="81"/>
        <v>#REF!</v>
      </c>
      <c r="W129" t="e">
        <f t="shared" si="82"/>
        <v>#REF!</v>
      </c>
      <c r="X129" t="e">
        <f t="shared" si="83"/>
        <v>#REF!</v>
      </c>
      <c r="Y129" t="e">
        <f t="shared" si="84"/>
        <v>#REF!</v>
      </c>
      <c r="Z129" t="e">
        <f t="shared" si="85"/>
        <v>#REF!</v>
      </c>
      <c r="AA129" t="e">
        <f t="shared" si="86"/>
        <v>#REF!</v>
      </c>
      <c r="AB129" t="e">
        <f t="shared" si="87"/>
        <v>#REF!</v>
      </c>
    </row>
    <row r="130" spans="1:28" x14ac:dyDescent="0.25">
      <c r="A130" s="7" t="s">
        <v>99</v>
      </c>
      <c r="B130" s="20" t="e">
        <f>SUM(ENERO!B130+FEBRERO!B130+MARZO!B130+ABRIL!B130+MAYO!B130+#REF!+#REF!+#REF!+#REF!+#REF!+#REF!+#REF!)</f>
        <v>#REF!</v>
      </c>
      <c r="C130" s="20" t="e">
        <f>SUM(ENERO!C130+FEBRERO!C130+MARZO!C130+ABRIL!C130+MAYO!C130+#REF!+#REF!+#REF!+#REF!+#REF!+#REF!+#REF!)</f>
        <v>#REF!</v>
      </c>
      <c r="D130" s="20" t="e">
        <f>SUM(ENERO!D130+FEBRERO!D130+MARZO!D130+ABRIL!D130+MAYO!D130+#REF!+#REF!+#REF!+#REF!+#REF!+#REF!+#REF!)</f>
        <v>#REF!</v>
      </c>
      <c r="E130" s="20" t="e">
        <f>SUM(ENERO!E130+FEBRERO!E130+MARZO!E130+ABRIL!E130+MAYO!E130+#REF!+#REF!+#REF!+#REF!+#REF!+#REF!+#REF!)</f>
        <v>#REF!</v>
      </c>
      <c r="F130" s="20" t="e">
        <f>SUM(ENERO!F130+FEBRERO!F130+MARZO!F130+ABRIL!F130+MAYO!F130+#REF!+#REF!+#REF!+#REF!+#REF!+#REF!+#REF!)</f>
        <v>#REF!</v>
      </c>
      <c r="G130" s="20" t="e">
        <f>SUM(ENERO!G130+FEBRERO!G130+MARZO!G130+ABRIL!G130+MAYO!G130+#REF!+#REF!+#REF!+#REF!+#REF!+#REF!+#REF!)</f>
        <v>#REF!</v>
      </c>
      <c r="H130" s="14" t="e">
        <f t="shared" si="80"/>
        <v>#REF!</v>
      </c>
      <c r="I130" s="134">
        <v>35</v>
      </c>
      <c r="J130" s="1"/>
      <c r="T130" s="4"/>
      <c r="U130" s="1"/>
      <c r="V130" t="e">
        <f t="shared" si="81"/>
        <v>#REF!</v>
      </c>
      <c r="W130" t="e">
        <f t="shared" si="82"/>
        <v>#REF!</v>
      </c>
      <c r="X130" t="e">
        <f t="shared" si="83"/>
        <v>#REF!</v>
      </c>
      <c r="Y130" t="e">
        <f t="shared" si="84"/>
        <v>#REF!</v>
      </c>
      <c r="Z130" t="e">
        <f t="shared" si="85"/>
        <v>#REF!</v>
      </c>
      <c r="AA130" t="e">
        <f t="shared" si="86"/>
        <v>#REF!</v>
      </c>
      <c r="AB130" t="e">
        <f t="shared" si="87"/>
        <v>#REF!</v>
      </c>
    </row>
    <row r="131" spans="1:28" x14ac:dyDescent="0.25">
      <c r="A131" s="7" t="s">
        <v>100</v>
      </c>
      <c r="B131" s="20" t="e">
        <f>SUM(ENERO!B131+FEBRERO!B131+MARZO!B131+ABRIL!B131+MAYO!B131+#REF!+#REF!+#REF!+#REF!+#REF!+#REF!+#REF!)</f>
        <v>#REF!</v>
      </c>
      <c r="C131" s="20" t="e">
        <f>SUM(ENERO!C131+FEBRERO!C131+MARZO!C131+ABRIL!C131+MAYO!C131+#REF!+#REF!+#REF!+#REF!+#REF!+#REF!+#REF!)</f>
        <v>#REF!</v>
      </c>
      <c r="D131" s="20" t="e">
        <f>SUM(ENERO!D131+FEBRERO!D131+MARZO!D131+ABRIL!D131+MAYO!D131+#REF!+#REF!+#REF!+#REF!+#REF!+#REF!+#REF!)</f>
        <v>#REF!</v>
      </c>
      <c r="E131" s="20" t="e">
        <f>SUM(ENERO!E131+FEBRERO!E131+MARZO!E131+ABRIL!E131+MAYO!E131+#REF!+#REF!+#REF!+#REF!+#REF!+#REF!+#REF!)</f>
        <v>#REF!</v>
      </c>
      <c r="F131" s="20" t="e">
        <f>SUM(ENERO!F131+FEBRERO!F131+MARZO!F131+ABRIL!F131+MAYO!F131+#REF!+#REF!+#REF!+#REF!+#REF!+#REF!+#REF!)</f>
        <v>#REF!</v>
      </c>
      <c r="G131" s="20" t="e">
        <f>SUM(ENERO!G131+FEBRERO!G131+MARZO!G131+ABRIL!G131+MAYO!G131+#REF!+#REF!+#REF!+#REF!+#REF!+#REF!+#REF!)</f>
        <v>#REF!</v>
      </c>
      <c r="H131" s="14" t="e">
        <f t="shared" si="80"/>
        <v>#REF!</v>
      </c>
      <c r="I131" s="134">
        <v>18</v>
      </c>
      <c r="J131" s="1"/>
      <c r="T131" s="4"/>
      <c r="U131" s="1"/>
      <c r="V131" t="e">
        <f t="shared" si="81"/>
        <v>#REF!</v>
      </c>
      <c r="W131" t="e">
        <f t="shared" si="82"/>
        <v>#REF!</v>
      </c>
      <c r="X131" t="e">
        <f t="shared" si="83"/>
        <v>#REF!</v>
      </c>
      <c r="Y131" t="e">
        <f t="shared" si="84"/>
        <v>#REF!</v>
      </c>
      <c r="Z131" t="e">
        <f t="shared" si="85"/>
        <v>#REF!</v>
      </c>
      <c r="AA131" t="e">
        <f t="shared" si="86"/>
        <v>#REF!</v>
      </c>
      <c r="AB131" t="e">
        <f t="shared" si="87"/>
        <v>#REF!</v>
      </c>
    </row>
    <row r="132" spans="1:28" ht="15.75" customHeight="1" x14ac:dyDescent="0.25">
      <c r="A132" s="7" t="s">
        <v>46</v>
      </c>
      <c r="B132" s="20" t="e">
        <f>SUM(ENERO!B132+FEBRERO!B132+MARZO!B132+ABRIL!B132+MAYO!B132+#REF!+#REF!+#REF!+#REF!+#REF!+#REF!+#REF!)</f>
        <v>#REF!</v>
      </c>
      <c r="C132" s="20" t="e">
        <f>SUM(ENERO!C132+FEBRERO!C132+MARZO!C132+ABRIL!C132+MAYO!C132+#REF!+#REF!+#REF!+#REF!+#REF!+#REF!+#REF!)</f>
        <v>#REF!</v>
      </c>
      <c r="D132" s="20" t="e">
        <f>SUM(ENERO!D132+FEBRERO!D132+MARZO!D132+ABRIL!D132+MAYO!D132+#REF!+#REF!+#REF!+#REF!+#REF!+#REF!+#REF!)</f>
        <v>#REF!</v>
      </c>
      <c r="E132" s="20" t="e">
        <f>SUM(ENERO!E132+FEBRERO!E132+MARZO!E132+ABRIL!E132+MAYO!E132+#REF!+#REF!+#REF!+#REF!+#REF!+#REF!+#REF!)</f>
        <v>#REF!</v>
      </c>
      <c r="F132" s="20" t="e">
        <f>SUM(ENERO!F132+FEBRERO!F132+MARZO!F132+ABRIL!F132+MAYO!F132+#REF!+#REF!+#REF!+#REF!+#REF!+#REF!+#REF!)</f>
        <v>#REF!</v>
      </c>
      <c r="G132" s="20" t="e">
        <f>SUM(ENERO!G132+FEBRERO!G132+MARZO!G132+ABRIL!G132+MAYO!G132+#REF!+#REF!+#REF!+#REF!+#REF!+#REF!+#REF!)</f>
        <v>#REF!</v>
      </c>
      <c r="H132" s="14" t="e">
        <f t="shared" si="80"/>
        <v>#REF!</v>
      </c>
      <c r="I132" s="134">
        <v>16</v>
      </c>
      <c r="J132" s="1"/>
      <c r="T132" s="4"/>
      <c r="U132" s="1"/>
      <c r="V132" t="e">
        <f t="shared" si="81"/>
        <v>#REF!</v>
      </c>
      <c r="W132" t="e">
        <f t="shared" si="82"/>
        <v>#REF!</v>
      </c>
      <c r="X132" t="e">
        <f t="shared" si="83"/>
        <v>#REF!</v>
      </c>
      <c r="Y132" t="e">
        <f t="shared" si="84"/>
        <v>#REF!</v>
      </c>
      <c r="Z132" t="e">
        <f t="shared" si="85"/>
        <v>#REF!</v>
      </c>
      <c r="AA132" t="e">
        <f t="shared" si="86"/>
        <v>#REF!</v>
      </c>
      <c r="AB132" t="e">
        <f t="shared" si="87"/>
        <v>#REF!</v>
      </c>
    </row>
    <row r="133" spans="1:28" x14ac:dyDescent="0.25">
      <c r="A133" s="7" t="s">
        <v>47</v>
      </c>
      <c r="B133" s="20" t="e">
        <f>SUM(ENERO!B133+FEBRERO!B133+MARZO!B133+ABRIL!B133+MAYO!B133+#REF!+#REF!+#REF!+#REF!+#REF!+#REF!+#REF!)</f>
        <v>#REF!</v>
      </c>
      <c r="C133" s="20" t="e">
        <f>SUM(ENERO!C133+FEBRERO!C133+MARZO!C133+ABRIL!C133+MAYO!C133+#REF!+#REF!+#REF!+#REF!+#REF!+#REF!+#REF!)</f>
        <v>#REF!</v>
      </c>
      <c r="D133" s="20" t="e">
        <f>SUM(ENERO!D133+FEBRERO!D133+MARZO!D133+ABRIL!D133+MAYO!D133+#REF!+#REF!+#REF!+#REF!+#REF!+#REF!+#REF!)</f>
        <v>#REF!</v>
      </c>
      <c r="E133" s="20" t="e">
        <f>SUM(ENERO!E133+FEBRERO!E133+MARZO!E133+ABRIL!E133+MAYO!E133+#REF!+#REF!+#REF!+#REF!+#REF!+#REF!+#REF!)</f>
        <v>#REF!</v>
      </c>
      <c r="F133" s="20" t="e">
        <f>SUM(ENERO!F133+FEBRERO!F133+MARZO!F133+ABRIL!F133+MAYO!F133+#REF!+#REF!+#REF!+#REF!+#REF!+#REF!+#REF!)</f>
        <v>#REF!</v>
      </c>
      <c r="G133" s="20" t="e">
        <f>SUM(ENERO!G133+FEBRERO!G133+MARZO!G133+ABRIL!G133+MAYO!G133+#REF!+#REF!+#REF!+#REF!+#REF!+#REF!+#REF!)</f>
        <v>#REF!</v>
      </c>
      <c r="H133" s="14" t="e">
        <f t="shared" si="80"/>
        <v>#REF!</v>
      </c>
      <c r="I133" s="134">
        <v>16</v>
      </c>
      <c r="J133" s="1"/>
      <c r="T133" s="4"/>
      <c r="U133" s="1"/>
      <c r="V133" t="e">
        <f t="shared" si="81"/>
        <v>#REF!</v>
      </c>
      <c r="W133" t="e">
        <f t="shared" si="82"/>
        <v>#REF!</v>
      </c>
      <c r="X133" t="e">
        <f t="shared" si="83"/>
        <v>#REF!</v>
      </c>
      <c r="Y133" t="e">
        <f t="shared" si="84"/>
        <v>#REF!</v>
      </c>
      <c r="Z133" t="e">
        <f t="shared" si="85"/>
        <v>#REF!</v>
      </c>
      <c r="AA133" t="e">
        <f t="shared" si="86"/>
        <v>#REF!</v>
      </c>
      <c r="AB133" t="e">
        <f t="shared" si="87"/>
        <v>#REF!</v>
      </c>
    </row>
    <row r="134" spans="1:28" x14ac:dyDescent="0.25">
      <c r="A134" s="7" t="s">
        <v>53</v>
      </c>
      <c r="B134" s="20" t="e">
        <f>SUM(ENERO!B134+FEBRERO!B134+MARZO!B134+ABRIL!B134+MAYO!B134+#REF!+#REF!+#REF!+#REF!+#REF!+#REF!+#REF!)</f>
        <v>#REF!</v>
      </c>
      <c r="C134" s="20" t="e">
        <f>SUM(ENERO!C134+FEBRERO!C134+MARZO!C134+ABRIL!C134+MAYO!C134+#REF!+#REF!+#REF!+#REF!+#REF!+#REF!+#REF!)</f>
        <v>#REF!</v>
      </c>
      <c r="D134" s="20" t="e">
        <f>SUM(ENERO!D134+FEBRERO!D134+MARZO!D134+ABRIL!D134+MAYO!D134+#REF!+#REF!+#REF!+#REF!+#REF!+#REF!+#REF!)</f>
        <v>#REF!</v>
      </c>
      <c r="E134" s="20" t="e">
        <f>SUM(ENERO!E134+FEBRERO!E134+MARZO!E134+ABRIL!E134+MAYO!E134+#REF!+#REF!+#REF!+#REF!+#REF!+#REF!+#REF!)</f>
        <v>#REF!</v>
      </c>
      <c r="F134" s="20" t="e">
        <f>SUM(ENERO!F134+FEBRERO!F134+MARZO!F134+ABRIL!F134+MAYO!F134+#REF!+#REF!+#REF!+#REF!+#REF!+#REF!+#REF!)</f>
        <v>#REF!</v>
      </c>
      <c r="G134" s="20" t="e">
        <f>SUM(ENERO!G134+FEBRERO!G134+MARZO!G134+ABRIL!G134+MAYO!G134+#REF!+#REF!+#REF!+#REF!+#REF!+#REF!+#REF!)</f>
        <v>#REF!</v>
      </c>
      <c r="H134" s="14" t="e">
        <f t="shared" si="80"/>
        <v>#REF!</v>
      </c>
      <c r="I134" s="134">
        <v>16</v>
      </c>
      <c r="J134" s="1"/>
      <c r="T134" s="4"/>
      <c r="U134" s="1"/>
      <c r="V134" t="e">
        <f t="shared" si="81"/>
        <v>#REF!</v>
      </c>
      <c r="W134" t="e">
        <f t="shared" si="82"/>
        <v>#REF!</v>
      </c>
      <c r="X134" t="e">
        <f t="shared" si="83"/>
        <v>#REF!</v>
      </c>
      <c r="Y134" t="e">
        <f t="shared" si="84"/>
        <v>#REF!</v>
      </c>
      <c r="Z134" t="e">
        <f t="shared" si="85"/>
        <v>#REF!</v>
      </c>
      <c r="AA134" t="e">
        <f t="shared" si="86"/>
        <v>#REF!</v>
      </c>
      <c r="AB134" t="e">
        <f t="shared" si="87"/>
        <v>#REF!</v>
      </c>
    </row>
    <row r="135" spans="1:28" x14ac:dyDescent="0.25">
      <c r="A135" s="7" t="s">
        <v>134</v>
      </c>
      <c r="B135" s="20" t="e">
        <f>SUM(ENERO!B135+FEBRERO!B135+MARZO!B135+ABRIL!B135+MAYO!B135+#REF!+#REF!+#REF!+#REF!+#REF!+#REF!+#REF!)</f>
        <v>#REF!</v>
      </c>
      <c r="C135" s="20" t="e">
        <f>SUM(ENERO!C135+FEBRERO!C135+MARZO!C135+ABRIL!C135+MAYO!C135+#REF!+#REF!+#REF!+#REF!+#REF!+#REF!+#REF!)</f>
        <v>#REF!</v>
      </c>
      <c r="D135" s="20" t="e">
        <f>SUM(ENERO!D135+FEBRERO!D135+MARZO!D135+ABRIL!D135+MAYO!D135+#REF!+#REF!+#REF!+#REF!+#REF!+#REF!+#REF!)</f>
        <v>#REF!</v>
      </c>
      <c r="E135" s="20" t="e">
        <f>SUM(ENERO!E135+FEBRERO!E135+MARZO!E135+ABRIL!E135+MAYO!E135+#REF!+#REF!+#REF!+#REF!+#REF!+#REF!+#REF!)</f>
        <v>#REF!</v>
      </c>
      <c r="F135" s="20" t="e">
        <f>SUM(ENERO!F135+FEBRERO!F135+MARZO!F135+ABRIL!F135+MAYO!F135+#REF!+#REF!+#REF!+#REF!+#REF!+#REF!+#REF!)</f>
        <v>#REF!</v>
      </c>
      <c r="G135" s="20" t="e">
        <f>SUM(ENERO!G135+FEBRERO!G135+MARZO!G135+ABRIL!G135+MAYO!G135+#REF!+#REF!+#REF!+#REF!+#REF!+#REF!+#REF!)</f>
        <v>#REF!</v>
      </c>
      <c r="H135" s="14" t="e">
        <f t="shared" si="80"/>
        <v>#REF!</v>
      </c>
      <c r="I135" s="134">
        <v>13</v>
      </c>
      <c r="J135" s="1"/>
      <c r="T135" s="4"/>
      <c r="U135" s="1"/>
      <c r="V135" t="e">
        <f t="shared" si="81"/>
        <v>#REF!</v>
      </c>
      <c r="W135" t="e">
        <f t="shared" si="82"/>
        <v>#REF!</v>
      </c>
      <c r="X135" t="e">
        <f t="shared" si="83"/>
        <v>#REF!</v>
      </c>
      <c r="Y135" t="e">
        <f t="shared" si="84"/>
        <v>#REF!</v>
      </c>
      <c r="Z135" t="e">
        <f t="shared" si="85"/>
        <v>#REF!</v>
      </c>
      <c r="AA135" t="e">
        <f t="shared" si="86"/>
        <v>#REF!</v>
      </c>
      <c r="AB135" t="e">
        <f t="shared" si="87"/>
        <v>#REF!</v>
      </c>
    </row>
    <row r="136" spans="1:28" x14ac:dyDescent="0.25">
      <c r="A136" s="7" t="s">
        <v>135</v>
      </c>
      <c r="B136" s="20" t="e">
        <f>SUM(ENERO!B136+FEBRERO!B136+MARZO!B136+ABRIL!B136+MAYO!B136+#REF!+#REF!+#REF!+#REF!+#REF!+#REF!+#REF!)</f>
        <v>#REF!</v>
      </c>
      <c r="C136" s="20" t="e">
        <f>SUM(ENERO!C136+FEBRERO!C136+MARZO!C136+ABRIL!C136+MAYO!C136+#REF!+#REF!+#REF!+#REF!+#REF!+#REF!+#REF!)</f>
        <v>#REF!</v>
      </c>
      <c r="D136" s="20" t="e">
        <f>SUM(ENERO!D136+FEBRERO!D136+MARZO!D136+ABRIL!D136+MAYO!D136+#REF!+#REF!+#REF!+#REF!+#REF!+#REF!+#REF!)</f>
        <v>#REF!</v>
      </c>
      <c r="E136" s="20" t="e">
        <f>SUM(ENERO!E136+FEBRERO!E136+MARZO!E136+ABRIL!E136+MAYO!E136+#REF!+#REF!+#REF!+#REF!+#REF!+#REF!+#REF!)</f>
        <v>#REF!</v>
      </c>
      <c r="F136" s="20" t="e">
        <f>SUM(ENERO!F136+FEBRERO!F136+MARZO!F136+ABRIL!F136+MAYO!F136+#REF!+#REF!+#REF!+#REF!+#REF!+#REF!+#REF!)</f>
        <v>#REF!</v>
      </c>
      <c r="G136" s="20" t="e">
        <f>SUM(ENERO!G136+FEBRERO!G136+MARZO!G136+ABRIL!G136+MAYO!G136+#REF!+#REF!+#REF!+#REF!+#REF!+#REF!+#REF!)</f>
        <v>#REF!</v>
      </c>
      <c r="H136" s="14" t="e">
        <f t="shared" si="80"/>
        <v>#REF!</v>
      </c>
      <c r="I136" s="134">
        <v>13</v>
      </c>
      <c r="J136" s="1"/>
      <c r="T136" s="4"/>
      <c r="U136" s="1"/>
      <c r="V136" t="e">
        <f t="shared" si="81"/>
        <v>#REF!</v>
      </c>
      <c r="W136" t="e">
        <f t="shared" si="82"/>
        <v>#REF!</v>
      </c>
      <c r="X136" t="e">
        <f t="shared" si="83"/>
        <v>#REF!</v>
      </c>
      <c r="Y136" t="e">
        <f t="shared" si="84"/>
        <v>#REF!</v>
      </c>
      <c r="Z136" t="e">
        <f t="shared" si="85"/>
        <v>#REF!</v>
      </c>
      <c r="AA136" t="e">
        <f t="shared" si="86"/>
        <v>#REF!</v>
      </c>
      <c r="AB136" t="e">
        <f t="shared" si="87"/>
        <v>#REF!</v>
      </c>
    </row>
    <row r="137" spans="1:28" x14ac:dyDescent="0.25">
      <c r="A137" s="7" t="s">
        <v>49</v>
      </c>
      <c r="B137" s="20" t="e">
        <f>SUM(ENERO!B137+FEBRERO!B137+MARZO!B137+ABRIL!B137+MAYO!B137+#REF!+#REF!+#REF!+#REF!+#REF!+#REF!+#REF!)</f>
        <v>#REF!</v>
      </c>
      <c r="C137" s="20" t="e">
        <f>SUM(ENERO!C137+FEBRERO!C137+MARZO!C137+ABRIL!C137+MAYO!C137+#REF!+#REF!+#REF!+#REF!+#REF!+#REF!+#REF!)</f>
        <v>#REF!</v>
      </c>
      <c r="D137" s="20" t="e">
        <f>SUM(ENERO!D137+FEBRERO!D137+MARZO!D137+ABRIL!D137+MAYO!D137+#REF!+#REF!+#REF!+#REF!+#REF!+#REF!+#REF!)</f>
        <v>#REF!</v>
      </c>
      <c r="E137" s="20" t="e">
        <f>SUM(ENERO!E137+FEBRERO!E137+MARZO!E137+ABRIL!E137+MAYO!E137+#REF!+#REF!+#REF!+#REF!+#REF!+#REF!+#REF!)</f>
        <v>#REF!</v>
      </c>
      <c r="F137" s="20" t="e">
        <f>SUM(ENERO!F137+FEBRERO!F137+MARZO!F137+ABRIL!F137+MAYO!F137+#REF!+#REF!+#REF!+#REF!+#REF!+#REF!+#REF!)</f>
        <v>#REF!</v>
      </c>
      <c r="G137" s="20" t="e">
        <f>SUM(ENERO!G137+FEBRERO!G137+MARZO!G137+ABRIL!G137+MAYO!G137+#REF!+#REF!+#REF!+#REF!+#REF!+#REF!+#REF!)</f>
        <v>#REF!</v>
      </c>
      <c r="H137" s="27" t="e">
        <f t="shared" si="80"/>
        <v>#REF!</v>
      </c>
      <c r="I137" s="134">
        <v>13</v>
      </c>
      <c r="J137" s="1"/>
      <c r="T137" s="4"/>
      <c r="U137" s="1"/>
      <c r="V137" t="e">
        <f t="shared" si="81"/>
        <v>#REF!</v>
      </c>
      <c r="W137" t="e">
        <f t="shared" si="82"/>
        <v>#REF!</v>
      </c>
      <c r="X137" t="e">
        <f t="shared" si="83"/>
        <v>#REF!</v>
      </c>
      <c r="Y137" t="e">
        <f t="shared" si="84"/>
        <v>#REF!</v>
      </c>
      <c r="Z137" t="e">
        <f t="shared" si="85"/>
        <v>#REF!</v>
      </c>
      <c r="AA137" t="e">
        <f t="shared" si="86"/>
        <v>#REF!</v>
      </c>
      <c r="AB137" t="e">
        <f t="shared" si="87"/>
        <v>#REF!</v>
      </c>
    </row>
    <row r="138" spans="1:28" x14ac:dyDescent="0.25">
      <c r="A138" s="7" t="s">
        <v>189</v>
      </c>
      <c r="B138" s="20" t="e">
        <f>SUM(ENERO!B138+FEBRERO!B138+MARZO!B138+ABRIL!B138+MAYO!B138+#REF!+#REF!+#REF!+#REF!+#REF!+#REF!+#REF!)</f>
        <v>#REF!</v>
      </c>
      <c r="C138" s="20" t="e">
        <f>SUM(ENERO!C138+FEBRERO!C138+MARZO!C138+ABRIL!C138+MAYO!C138+#REF!+#REF!+#REF!+#REF!+#REF!+#REF!+#REF!)</f>
        <v>#REF!</v>
      </c>
      <c r="D138" s="20" t="e">
        <f>SUM(ENERO!D138+FEBRERO!D138+MARZO!D138+ABRIL!D138+MAYO!D138+#REF!+#REF!+#REF!+#REF!+#REF!+#REF!+#REF!)</f>
        <v>#REF!</v>
      </c>
      <c r="E138" s="20" t="e">
        <f>SUM(ENERO!E138+FEBRERO!E138+MARZO!E138+ABRIL!E138+MAYO!E138+#REF!+#REF!+#REF!+#REF!+#REF!+#REF!+#REF!)</f>
        <v>#REF!</v>
      </c>
      <c r="F138" s="20" t="e">
        <f>SUM(ENERO!F138+FEBRERO!F138+MARZO!F138+ABRIL!F138+MAYO!F138+#REF!+#REF!+#REF!+#REF!+#REF!+#REF!+#REF!)</f>
        <v>#REF!</v>
      </c>
      <c r="G138" s="20" t="e">
        <f>SUM(ENERO!G138+FEBRERO!G138+MARZO!G138+ABRIL!G138+MAYO!G138+#REF!+#REF!+#REF!+#REF!+#REF!+#REF!+#REF!)</f>
        <v>#REF!</v>
      </c>
      <c r="H138" s="27" t="e">
        <f t="shared" si="80"/>
        <v>#REF!</v>
      </c>
      <c r="I138" s="134">
        <v>25</v>
      </c>
      <c r="J138" s="1"/>
      <c r="T138" s="4"/>
      <c r="U138" s="1"/>
      <c r="V138" t="e">
        <f t="shared" si="81"/>
        <v>#REF!</v>
      </c>
      <c r="W138" t="e">
        <f t="shared" si="82"/>
        <v>#REF!</v>
      </c>
      <c r="X138" t="e">
        <f t="shared" si="83"/>
        <v>#REF!</v>
      </c>
      <c r="Y138" t="e">
        <f t="shared" si="84"/>
        <v>#REF!</v>
      </c>
      <c r="Z138" t="e">
        <f t="shared" si="85"/>
        <v>#REF!</v>
      </c>
      <c r="AA138" t="e">
        <f t="shared" si="86"/>
        <v>#REF!</v>
      </c>
      <c r="AB138" t="e">
        <f t="shared" si="87"/>
        <v>#REF!</v>
      </c>
    </row>
    <row r="139" spans="1:28" x14ac:dyDescent="0.25">
      <c r="A139" s="7" t="s">
        <v>50</v>
      </c>
      <c r="B139" s="20" t="e">
        <f>SUM(ENERO!B139+FEBRERO!B139+MARZO!B139+ABRIL!B139+MAYO!B139+#REF!+#REF!+#REF!+#REF!+#REF!+#REF!+#REF!)</f>
        <v>#REF!</v>
      </c>
      <c r="C139" s="20" t="e">
        <f>SUM(ENERO!C139+FEBRERO!C139+MARZO!C139+ABRIL!C139+MAYO!C139+#REF!+#REF!+#REF!+#REF!+#REF!+#REF!+#REF!)</f>
        <v>#REF!</v>
      </c>
      <c r="D139" s="20" t="e">
        <f>SUM(ENERO!D139+FEBRERO!D139+MARZO!D139+ABRIL!D139+MAYO!D139+#REF!+#REF!+#REF!+#REF!+#REF!+#REF!+#REF!)</f>
        <v>#REF!</v>
      </c>
      <c r="E139" s="20" t="e">
        <f>SUM(ENERO!E139+FEBRERO!E139+MARZO!E139+ABRIL!E139+MAYO!E139+#REF!+#REF!+#REF!+#REF!+#REF!+#REF!+#REF!)</f>
        <v>#REF!</v>
      </c>
      <c r="F139" s="20" t="e">
        <f>SUM(ENERO!F139+FEBRERO!F139+MARZO!F139+ABRIL!F139+MAYO!F139+#REF!+#REF!+#REF!+#REF!+#REF!+#REF!+#REF!)</f>
        <v>#REF!</v>
      </c>
      <c r="G139" s="20" t="e">
        <f>SUM(ENERO!G139+FEBRERO!G139+MARZO!G139+ABRIL!G139+MAYO!G139+#REF!+#REF!+#REF!+#REF!+#REF!+#REF!+#REF!)</f>
        <v>#REF!</v>
      </c>
      <c r="H139" s="14" t="e">
        <f t="shared" si="80"/>
        <v>#REF!</v>
      </c>
      <c r="I139" s="134">
        <v>24</v>
      </c>
      <c r="J139" s="1"/>
      <c r="T139" s="4"/>
      <c r="U139" s="1"/>
      <c r="V139" t="e">
        <f t="shared" si="81"/>
        <v>#REF!</v>
      </c>
      <c r="W139" t="e">
        <f t="shared" si="82"/>
        <v>#REF!</v>
      </c>
      <c r="X139" t="e">
        <f t="shared" si="83"/>
        <v>#REF!</v>
      </c>
      <c r="Y139" t="e">
        <f t="shared" si="84"/>
        <v>#REF!</v>
      </c>
      <c r="Z139" t="e">
        <f t="shared" si="85"/>
        <v>#REF!</v>
      </c>
      <c r="AA139" t="e">
        <f t="shared" si="86"/>
        <v>#REF!</v>
      </c>
      <c r="AB139" t="e">
        <f t="shared" si="87"/>
        <v>#REF!</v>
      </c>
    </row>
    <row r="140" spans="1:28" x14ac:dyDescent="0.25">
      <c r="A140" s="7" t="s">
        <v>104</v>
      </c>
      <c r="B140" s="20" t="e">
        <f>SUM(ENERO!B140+FEBRERO!B140+MARZO!B140+ABRIL!B140+MAYO!B140+#REF!+#REF!+#REF!+#REF!+#REF!+#REF!+#REF!)</f>
        <v>#REF!</v>
      </c>
      <c r="C140" s="20" t="e">
        <f>SUM(ENERO!C140+FEBRERO!C140+MARZO!C140+ABRIL!C140+MAYO!C140+#REF!+#REF!+#REF!+#REF!+#REF!+#REF!+#REF!)</f>
        <v>#REF!</v>
      </c>
      <c r="D140" s="20" t="e">
        <f>SUM(ENERO!D140+FEBRERO!D140+MARZO!D140+ABRIL!D140+MAYO!D140+#REF!+#REF!+#REF!+#REF!+#REF!+#REF!+#REF!)</f>
        <v>#REF!</v>
      </c>
      <c r="E140" s="20" t="e">
        <f>SUM(ENERO!E140+FEBRERO!E140+MARZO!E140+ABRIL!E140+MAYO!E140+#REF!+#REF!+#REF!+#REF!+#REF!+#REF!+#REF!)</f>
        <v>#REF!</v>
      </c>
      <c r="F140" s="20" t="e">
        <f>SUM(ENERO!F140+FEBRERO!F140+MARZO!F140+ABRIL!F140+MAYO!F140+#REF!+#REF!+#REF!+#REF!+#REF!+#REF!+#REF!)</f>
        <v>#REF!</v>
      </c>
      <c r="G140" s="20" t="e">
        <f>SUM(ENERO!G140+FEBRERO!G140+MARZO!G140+ABRIL!G140+MAYO!G140+#REF!+#REF!+#REF!+#REF!+#REF!+#REF!+#REF!)</f>
        <v>#REF!</v>
      </c>
      <c r="H140" s="14" t="e">
        <f t="shared" si="80"/>
        <v>#REF!</v>
      </c>
      <c r="I140" s="134">
        <v>35</v>
      </c>
      <c r="J140" s="1"/>
      <c r="T140" s="4"/>
      <c r="U140" s="1"/>
      <c r="V140" t="e">
        <f t="shared" si="81"/>
        <v>#REF!</v>
      </c>
      <c r="W140" t="e">
        <f t="shared" si="82"/>
        <v>#REF!</v>
      </c>
      <c r="X140" t="e">
        <f t="shared" si="83"/>
        <v>#REF!</v>
      </c>
      <c r="Y140" t="e">
        <f t="shared" si="84"/>
        <v>#REF!</v>
      </c>
      <c r="Z140" t="e">
        <f t="shared" si="85"/>
        <v>#REF!</v>
      </c>
      <c r="AA140" t="e">
        <f t="shared" si="86"/>
        <v>#REF!</v>
      </c>
      <c r="AB140" t="e">
        <f t="shared" si="87"/>
        <v>#REF!</v>
      </c>
    </row>
    <row r="141" spans="1:28" x14ac:dyDescent="0.25">
      <c r="A141" s="7" t="s">
        <v>51</v>
      </c>
      <c r="B141" s="20" t="e">
        <f>SUM(ENERO!B141+FEBRERO!B141+MARZO!B141+ABRIL!B141+MAYO!B141+#REF!+#REF!+#REF!+#REF!+#REF!+#REF!+#REF!)</f>
        <v>#REF!</v>
      </c>
      <c r="C141" s="20" t="e">
        <f>SUM(ENERO!C141+FEBRERO!C141+MARZO!C141+ABRIL!C141+MAYO!C141+#REF!+#REF!+#REF!+#REF!+#REF!+#REF!+#REF!)</f>
        <v>#REF!</v>
      </c>
      <c r="D141" s="20" t="e">
        <f>SUM(ENERO!D141+FEBRERO!D141+MARZO!D141+ABRIL!D141+MAYO!D141+#REF!+#REF!+#REF!+#REF!+#REF!+#REF!+#REF!)</f>
        <v>#REF!</v>
      </c>
      <c r="E141" s="20" t="e">
        <f>SUM(ENERO!E141+FEBRERO!E141+MARZO!E141+ABRIL!E141+MAYO!E141+#REF!+#REF!+#REF!+#REF!+#REF!+#REF!+#REF!)</f>
        <v>#REF!</v>
      </c>
      <c r="F141" s="20" t="e">
        <f>SUM(ENERO!F141+FEBRERO!F141+MARZO!F141+ABRIL!F141+MAYO!F141+#REF!+#REF!+#REF!+#REF!+#REF!+#REF!+#REF!)</f>
        <v>#REF!</v>
      </c>
      <c r="G141" s="20" t="e">
        <f>SUM(ENERO!G141+FEBRERO!G141+MARZO!G141+ABRIL!G141+MAYO!G141+#REF!+#REF!+#REF!+#REF!+#REF!+#REF!+#REF!)</f>
        <v>#REF!</v>
      </c>
      <c r="H141" s="14" t="e">
        <f t="shared" si="80"/>
        <v>#REF!</v>
      </c>
      <c r="I141" s="134">
        <v>35</v>
      </c>
      <c r="J141" s="1"/>
      <c r="T141" s="6"/>
      <c r="U141" s="1"/>
      <c r="V141" t="e">
        <f t="shared" si="81"/>
        <v>#REF!</v>
      </c>
      <c r="W141" t="e">
        <f t="shared" si="82"/>
        <v>#REF!</v>
      </c>
      <c r="X141" t="e">
        <f t="shared" si="83"/>
        <v>#REF!</v>
      </c>
      <c r="Y141" t="e">
        <f t="shared" si="84"/>
        <v>#REF!</v>
      </c>
      <c r="Z141" t="e">
        <f t="shared" si="85"/>
        <v>#REF!</v>
      </c>
      <c r="AA141" t="e">
        <f t="shared" si="86"/>
        <v>#REF!</v>
      </c>
      <c r="AB141" t="e">
        <f t="shared" si="87"/>
        <v>#REF!</v>
      </c>
    </row>
    <row r="142" spans="1:28" x14ac:dyDescent="0.25">
      <c r="A142" s="7" t="s">
        <v>52</v>
      </c>
      <c r="B142" s="20" t="e">
        <f>SUM(ENERO!B142+FEBRERO!B142+MARZO!B142+ABRIL!B142+MAYO!B142+#REF!+#REF!+#REF!+#REF!+#REF!+#REF!+#REF!)</f>
        <v>#REF!</v>
      </c>
      <c r="C142" s="20" t="e">
        <f>SUM(ENERO!C142+FEBRERO!C142+MARZO!C142+ABRIL!C142+MAYO!C142+#REF!+#REF!+#REF!+#REF!+#REF!+#REF!+#REF!)</f>
        <v>#REF!</v>
      </c>
      <c r="D142" s="20" t="e">
        <f>SUM(ENERO!D142+FEBRERO!D142+MARZO!D142+ABRIL!D142+MAYO!D142+#REF!+#REF!+#REF!+#REF!+#REF!+#REF!+#REF!)</f>
        <v>#REF!</v>
      </c>
      <c r="E142" s="20" t="e">
        <f>SUM(ENERO!E142+FEBRERO!E142+MARZO!E142+ABRIL!E142+MAYO!E142+#REF!+#REF!+#REF!+#REF!+#REF!+#REF!+#REF!)</f>
        <v>#REF!</v>
      </c>
      <c r="F142" s="20" t="e">
        <f>SUM(ENERO!F142+FEBRERO!F142+MARZO!F142+ABRIL!F142+MAYO!F142+#REF!+#REF!+#REF!+#REF!+#REF!+#REF!+#REF!)</f>
        <v>#REF!</v>
      </c>
      <c r="G142" s="20" t="e">
        <f>SUM(ENERO!G142+FEBRERO!G142+MARZO!G142+ABRIL!G142+MAYO!G142+#REF!+#REF!+#REF!+#REF!+#REF!+#REF!+#REF!)</f>
        <v>#REF!</v>
      </c>
      <c r="H142" s="14" t="e">
        <f t="shared" si="80"/>
        <v>#REF!</v>
      </c>
      <c r="I142" s="134">
        <v>35</v>
      </c>
      <c r="V142" t="e">
        <f t="shared" si="81"/>
        <v>#REF!</v>
      </c>
      <c r="W142" t="e">
        <f t="shared" si="82"/>
        <v>#REF!</v>
      </c>
      <c r="X142" t="e">
        <f t="shared" si="83"/>
        <v>#REF!</v>
      </c>
      <c r="Y142" t="e">
        <f t="shared" si="84"/>
        <v>#REF!</v>
      </c>
      <c r="Z142" t="e">
        <f t="shared" si="85"/>
        <v>#REF!</v>
      </c>
      <c r="AA142" t="e">
        <f t="shared" si="86"/>
        <v>#REF!</v>
      </c>
      <c r="AB142" t="e">
        <f t="shared" si="87"/>
        <v>#REF!</v>
      </c>
    </row>
    <row r="143" spans="1:28" x14ac:dyDescent="0.25">
      <c r="A143" s="7" t="s">
        <v>115</v>
      </c>
      <c r="B143" s="20" t="e">
        <f>SUM(ENERO!B143+FEBRERO!B143+MARZO!B143+ABRIL!B143+MAYO!B143+#REF!+#REF!+#REF!+#REF!+#REF!+#REF!+#REF!)</f>
        <v>#REF!</v>
      </c>
      <c r="C143" s="20" t="e">
        <f>SUM(ENERO!C143+FEBRERO!C143+MARZO!C143+ABRIL!C143+MAYO!C143+#REF!+#REF!+#REF!+#REF!+#REF!+#REF!+#REF!)</f>
        <v>#REF!</v>
      </c>
      <c r="D143" s="20" t="e">
        <f>SUM(ENERO!D143+FEBRERO!D143+MARZO!D143+ABRIL!D143+MAYO!D143+#REF!+#REF!+#REF!+#REF!+#REF!+#REF!+#REF!)</f>
        <v>#REF!</v>
      </c>
      <c r="E143" s="20" t="e">
        <f>SUM(ENERO!E143+FEBRERO!E143+MARZO!E143+ABRIL!E143+MAYO!E143+#REF!+#REF!+#REF!+#REF!+#REF!+#REF!+#REF!)</f>
        <v>#REF!</v>
      </c>
      <c r="F143" s="20" t="e">
        <f>SUM(ENERO!F143+FEBRERO!F143+MARZO!F143+ABRIL!F143+MAYO!F143+#REF!+#REF!+#REF!+#REF!+#REF!+#REF!+#REF!)</f>
        <v>#REF!</v>
      </c>
      <c r="G143" s="20" t="e">
        <f>SUM(ENERO!G143+FEBRERO!G143+MARZO!G143+ABRIL!G143+MAYO!G143+#REF!+#REF!+#REF!+#REF!+#REF!+#REF!+#REF!)</f>
        <v>#REF!</v>
      </c>
      <c r="H143" s="14" t="e">
        <f t="shared" si="80"/>
        <v>#REF!</v>
      </c>
      <c r="I143" s="134">
        <v>35</v>
      </c>
      <c r="V143" t="e">
        <f t="shared" si="81"/>
        <v>#REF!</v>
      </c>
      <c r="W143" t="e">
        <f t="shared" si="82"/>
        <v>#REF!</v>
      </c>
      <c r="X143" t="e">
        <f t="shared" si="83"/>
        <v>#REF!</v>
      </c>
      <c r="Y143" t="e">
        <f t="shared" si="84"/>
        <v>#REF!</v>
      </c>
      <c r="Z143" t="e">
        <f t="shared" si="85"/>
        <v>#REF!</v>
      </c>
      <c r="AA143" t="e">
        <f t="shared" si="86"/>
        <v>#REF!</v>
      </c>
      <c r="AB143" t="e">
        <f t="shared" si="87"/>
        <v>#REF!</v>
      </c>
    </row>
    <row r="144" spans="1:28" x14ac:dyDescent="0.25">
      <c r="A144" s="7" t="s">
        <v>116</v>
      </c>
      <c r="B144" s="20" t="e">
        <f>SUM(ENERO!B144+FEBRERO!B144+MARZO!B144+ABRIL!B144+MAYO!B144+#REF!+#REF!+#REF!+#REF!+#REF!+#REF!+#REF!)</f>
        <v>#REF!</v>
      </c>
      <c r="C144" s="20" t="e">
        <f>SUM(ENERO!C144+FEBRERO!C144+MARZO!C144+ABRIL!C144+MAYO!C144+#REF!+#REF!+#REF!+#REF!+#REF!+#REF!+#REF!)</f>
        <v>#REF!</v>
      </c>
      <c r="D144" s="20" t="e">
        <f>SUM(ENERO!D144+FEBRERO!D144+MARZO!D144+ABRIL!D144+MAYO!D144+#REF!+#REF!+#REF!+#REF!+#REF!+#REF!+#REF!)</f>
        <v>#REF!</v>
      </c>
      <c r="E144" s="20" t="e">
        <f>SUM(ENERO!E144+FEBRERO!E144+MARZO!E144+ABRIL!E144+MAYO!E144+#REF!+#REF!+#REF!+#REF!+#REF!+#REF!+#REF!)</f>
        <v>#REF!</v>
      </c>
      <c r="F144" s="20" t="e">
        <f>SUM(ENERO!F144+FEBRERO!F144+MARZO!F144+ABRIL!F144+MAYO!F144+#REF!+#REF!+#REF!+#REF!+#REF!+#REF!+#REF!)</f>
        <v>#REF!</v>
      </c>
      <c r="G144" s="20" t="e">
        <f>SUM(ENERO!G144+FEBRERO!G144+MARZO!G144+ABRIL!G144+MAYO!G144+#REF!+#REF!+#REF!+#REF!+#REF!+#REF!+#REF!)</f>
        <v>#REF!</v>
      </c>
      <c r="H144" s="14" t="e">
        <f t="shared" si="80"/>
        <v>#REF!</v>
      </c>
      <c r="I144" s="134">
        <v>35</v>
      </c>
      <c r="V144" t="e">
        <f t="shared" si="81"/>
        <v>#REF!</v>
      </c>
      <c r="W144" t="e">
        <f t="shared" si="82"/>
        <v>#REF!</v>
      </c>
      <c r="X144" t="e">
        <f t="shared" si="83"/>
        <v>#REF!</v>
      </c>
      <c r="Y144" t="e">
        <f t="shared" si="84"/>
        <v>#REF!</v>
      </c>
      <c r="Z144" t="e">
        <f t="shared" si="85"/>
        <v>#REF!</v>
      </c>
      <c r="AA144" t="e">
        <f t="shared" si="86"/>
        <v>#REF!</v>
      </c>
      <c r="AB144" t="e">
        <f t="shared" si="87"/>
        <v>#REF!</v>
      </c>
    </row>
    <row r="145" spans="1:28" x14ac:dyDescent="0.25">
      <c r="A145" s="7" t="s">
        <v>102</v>
      </c>
      <c r="B145" s="20" t="e">
        <f>SUM(ENERO!B145+FEBRERO!B145+MARZO!B145+ABRIL!B145+MAYO!B145+#REF!+#REF!+#REF!+#REF!+#REF!+#REF!+#REF!)</f>
        <v>#REF!</v>
      </c>
      <c r="C145" s="20" t="e">
        <f>SUM(ENERO!C145+FEBRERO!C145+MARZO!C145+ABRIL!C145+MAYO!C145+#REF!+#REF!+#REF!+#REF!+#REF!+#REF!+#REF!)</f>
        <v>#REF!</v>
      </c>
      <c r="D145" s="20" t="e">
        <f>SUM(ENERO!D145+FEBRERO!D145+MARZO!D145+ABRIL!D145+MAYO!D145+#REF!+#REF!+#REF!+#REF!+#REF!+#REF!+#REF!)</f>
        <v>#REF!</v>
      </c>
      <c r="E145" s="20" t="e">
        <f>SUM(ENERO!E145+FEBRERO!E145+MARZO!E145+ABRIL!E145+MAYO!E145+#REF!+#REF!+#REF!+#REF!+#REF!+#REF!+#REF!)</f>
        <v>#REF!</v>
      </c>
      <c r="F145" s="20" t="e">
        <f>SUM(ENERO!F145+FEBRERO!F145+MARZO!F145+ABRIL!F145+MAYO!F145+#REF!+#REF!+#REF!+#REF!+#REF!+#REF!+#REF!)</f>
        <v>#REF!</v>
      </c>
      <c r="G145" s="20" t="e">
        <f>SUM(ENERO!G145+FEBRERO!G145+MARZO!G145+ABRIL!G145+MAYO!G145+#REF!+#REF!+#REF!+#REF!+#REF!+#REF!+#REF!)</f>
        <v>#REF!</v>
      </c>
      <c r="H145" s="14" t="e">
        <f t="shared" si="80"/>
        <v>#REF!</v>
      </c>
      <c r="I145" s="134">
        <v>15</v>
      </c>
      <c r="V145" t="e">
        <f t="shared" si="81"/>
        <v>#REF!</v>
      </c>
      <c r="W145" t="e">
        <f t="shared" si="82"/>
        <v>#REF!</v>
      </c>
      <c r="X145" t="e">
        <f t="shared" si="83"/>
        <v>#REF!</v>
      </c>
      <c r="Y145" t="e">
        <f t="shared" si="84"/>
        <v>#REF!</v>
      </c>
      <c r="Z145" t="e">
        <f t="shared" si="85"/>
        <v>#REF!</v>
      </c>
      <c r="AA145" t="e">
        <f t="shared" si="86"/>
        <v>#REF!</v>
      </c>
      <c r="AB145" t="e">
        <f t="shared" si="87"/>
        <v>#REF!</v>
      </c>
    </row>
    <row r="146" spans="1:28" x14ac:dyDescent="0.25">
      <c r="A146" s="7" t="s">
        <v>203</v>
      </c>
      <c r="B146" s="20" t="e">
        <f>SUM(ENERO!B146+FEBRERO!B146+MARZO!B146+ABRIL!B146+MAYO!B146+#REF!+#REF!+#REF!+#REF!+#REF!+#REF!+#REF!)</f>
        <v>#REF!</v>
      </c>
      <c r="C146" s="20" t="e">
        <f>SUM(ENERO!C146+FEBRERO!C146+MARZO!C146+ABRIL!C146+MAYO!C146+#REF!+#REF!+#REF!+#REF!+#REF!+#REF!+#REF!)</f>
        <v>#REF!</v>
      </c>
      <c r="D146" s="20" t="e">
        <f>SUM(ENERO!D146+FEBRERO!D146+MARZO!D146+ABRIL!D146+MAYO!D146+#REF!+#REF!+#REF!+#REF!+#REF!+#REF!+#REF!)</f>
        <v>#REF!</v>
      </c>
      <c r="E146" s="20" t="e">
        <f>SUM(ENERO!E146+FEBRERO!E146+MARZO!E146+ABRIL!E146+MAYO!E146+#REF!+#REF!+#REF!+#REF!+#REF!+#REF!+#REF!)</f>
        <v>#REF!</v>
      </c>
      <c r="F146" s="20" t="e">
        <f>SUM(ENERO!F146+FEBRERO!F146+MARZO!F146+ABRIL!F146+MAYO!F146+#REF!+#REF!+#REF!+#REF!+#REF!+#REF!+#REF!)</f>
        <v>#REF!</v>
      </c>
      <c r="G146" s="20" t="e">
        <f>SUM(ENERO!G146+FEBRERO!G146+MARZO!G146+ABRIL!G146+MAYO!G146+#REF!+#REF!+#REF!+#REF!+#REF!+#REF!+#REF!)</f>
        <v>#REF!</v>
      </c>
      <c r="H146" s="14" t="e">
        <f t="shared" si="80"/>
        <v>#REF!</v>
      </c>
      <c r="I146" s="134">
        <v>18</v>
      </c>
      <c r="V146" t="e">
        <f t="shared" si="81"/>
        <v>#REF!</v>
      </c>
      <c r="W146" t="e">
        <f t="shared" si="82"/>
        <v>#REF!</v>
      </c>
      <c r="X146" t="e">
        <f t="shared" si="83"/>
        <v>#REF!</v>
      </c>
      <c r="Y146" t="e">
        <f t="shared" si="84"/>
        <v>#REF!</v>
      </c>
      <c r="Z146" t="e">
        <f t="shared" si="85"/>
        <v>#REF!</v>
      </c>
      <c r="AA146" t="e">
        <f t="shared" si="86"/>
        <v>#REF!</v>
      </c>
      <c r="AB146" t="e">
        <f t="shared" si="87"/>
        <v>#REF!</v>
      </c>
    </row>
    <row r="147" spans="1:28" x14ac:dyDescent="0.25">
      <c r="A147" s="7" t="s">
        <v>197</v>
      </c>
      <c r="B147" s="20" t="e">
        <f>SUM(ENERO!B147+FEBRERO!B147+MARZO!B147+ABRIL!B147+MAYO!B147+#REF!+#REF!+#REF!+#REF!+#REF!+#REF!+#REF!)</f>
        <v>#REF!</v>
      </c>
      <c r="C147" s="20" t="e">
        <f>SUM(ENERO!C147+FEBRERO!C147+MARZO!C147+ABRIL!C147+MAYO!C147+#REF!+#REF!+#REF!+#REF!+#REF!+#REF!+#REF!)</f>
        <v>#REF!</v>
      </c>
      <c r="D147" s="20" t="e">
        <f>SUM(ENERO!D147+FEBRERO!D147+MARZO!D147+ABRIL!D147+MAYO!D147+#REF!+#REF!+#REF!+#REF!+#REF!+#REF!+#REF!)</f>
        <v>#REF!</v>
      </c>
      <c r="E147" s="20" t="e">
        <f>SUM(ENERO!E147+FEBRERO!E147+MARZO!E147+ABRIL!E147+MAYO!E147+#REF!+#REF!+#REF!+#REF!+#REF!+#REF!+#REF!)</f>
        <v>#REF!</v>
      </c>
      <c r="F147" s="20" t="e">
        <f>SUM(ENERO!F147+FEBRERO!F147+MARZO!F147+ABRIL!F147+MAYO!F147+#REF!+#REF!+#REF!+#REF!+#REF!+#REF!+#REF!)</f>
        <v>#REF!</v>
      </c>
      <c r="G147" s="20" t="e">
        <f>SUM(ENERO!G147+FEBRERO!G147+MARZO!G147+ABRIL!G147+MAYO!G147+#REF!+#REF!+#REF!+#REF!+#REF!+#REF!+#REF!)</f>
        <v>#REF!</v>
      </c>
      <c r="H147" s="14" t="e">
        <f t="shared" si="80"/>
        <v>#REF!</v>
      </c>
      <c r="I147" s="134">
        <v>15</v>
      </c>
      <c r="V147" t="e">
        <f t="shared" si="81"/>
        <v>#REF!</v>
      </c>
      <c r="W147" t="e">
        <f t="shared" si="82"/>
        <v>#REF!</v>
      </c>
      <c r="X147" t="e">
        <f t="shared" si="83"/>
        <v>#REF!</v>
      </c>
      <c r="Y147" t="e">
        <f t="shared" si="84"/>
        <v>#REF!</v>
      </c>
      <c r="Z147" t="e">
        <f t="shared" si="85"/>
        <v>#REF!</v>
      </c>
      <c r="AA147" t="e">
        <f t="shared" si="86"/>
        <v>#REF!</v>
      </c>
      <c r="AB147" t="e">
        <f t="shared" si="87"/>
        <v>#REF!</v>
      </c>
    </row>
    <row r="148" spans="1:28" x14ac:dyDescent="0.25">
      <c r="A148" s="7" t="s">
        <v>217</v>
      </c>
      <c r="B148" s="20" t="e">
        <f>SUM(ENERO!B148+FEBRERO!B148+MARZO!B148+ABRIL!B148+MAYO!B148+#REF!+#REF!+#REF!+#REF!+#REF!+#REF!+#REF!)</f>
        <v>#REF!</v>
      </c>
      <c r="C148" s="20" t="e">
        <f>SUM(ENERO!C148+FEBRERO!C148+MARZO!C148+ABRIL!C148+MAYO!C148+#REF!+#REF!+#REF!+#REF!+#REF!+#REF!+#REF!)</f>
        <v>#REF!</v>
      </c>
      <c r="D148" s="20" t="e">
        <f>SUM(ENERO!D148+FEBRERO!D148+MARZO!D148+ABRIL!D148+MAYO!D148+#REF!+#REF!+#REF!+#REF!+#REF!+#REF!+#REF!)</f>
        <v>#REF!</v>
      </c>
      <c r="E148" s="20" t="e">
        <f>SUM(ENERO!E148+FEBRERO!E148+MARZO!E148+ABRIL!E148+MAYO!E148+#REF!+#REF!+#REF!+#REF!+#REF!+#REF!+#REF!)</f>
        <v>#REF!</v>
      </c>
      <c r="F148" s="20" t="e">
        <f>SUM(ENERO!F148+FEBRERO!F148+MARZO!F148+ABRIL!F148+MAYO!F148+#REF!+#REF!+#REF!+#REF!+#REF!+#REF!+#REF!)</f>
        <v>#REF!</v>
      </c>
      <c r="G148" s="20" t="e">
        <f>SUM(ENERO!G148+FEBRERO!G148+MARZO!G148+ABRIL!G148+MAYO!G148+#REF!+#REF!+#REF!+#REF!+#REF!+#REF!+#REF!)</f>
        <v>#REF!</v>
      </c>
      <c r="H148" s="14" t="e">
        <f t="shared" si="80"/>
        <v>#REF!</v>
      </c>
      <c r="I148" s="134">
        <v>16</v>
      </c>
      <c r="V148" t="e">
        <f t="shared" si="81"/>
        <v>#REF!</v>
      </c>
      <c r="W148" t="e">
        <f t="shared" si="82"/>
        <v>#REF!</v>
      </c>
      <c r="X148" t="e">
        <f t="shared" si="83"/>
        <v>#REF!</v>
      </c>
      <c r="Y148" t="e">
        <f t="shared" si="84"/>
        <v>#REF!</v>
      </c>
      <c r="Z148" t="e">
        <f t="shared" si="85"/>
        <v>#REF!</v>
      </c>
      <c r="AA148" t="e">
        <f t="shared" si="86"/>
        <v>#REF!</v>
      </c>
      <c r="AB148" t="e">
        <f t="shared" si="87"/>
        <v>#REF!</v>
      </c>
    </row>
    <row r="149" spans="1:28" x14ac:dyDescent="0.25">
      <c r="A149" s="7" t="s">
        <v>198</v>
      </c>
      <c r="B149" s="20" t="e">
        <f>SUM(ENERO!B149+FEBRERO!B149+MARZO!B149+ABRIL!B149+MAYO!B149+#REF!+#REF!+#REF!+#REF!+#REF!+#REF!+#REF!)</f>
        <v>#REF!</v>
      </c>
      <c r="C149" s="20" t="e">
        <f>SUM(ENERO!C149+FEBRERO!C149+MARZO!C149+ABRIL!C149+MAYO!C149+#REF!+#REF!+#REF!+#REF!+#REF!+#REF!+#REF!)</f>
        <v>#REF!</v>
      </c>
      <c r="D149" s="20" t="e">
        <f>SUM(ENERO!D149+FEBRERO!D149+MARZO!D149+ABRIL!D149+MAYO!D149+#REF!+#REF!+#REF!+#REF!+#REF!+#REF!+#REF!)</f>
        <v>#REF!</v>
      </c>
      <c r="E149" s="20" t="e">
        <f>SUM(ENERO!E149+FEBRERO!E149+MARZO!E149+ABRIL!E149+MAYO!E149+#REF!+#REF!+#REF!+#REF!+#REF!+#REF!+#REF!)</f>
        <v>#REF!</v>
      </c>
      <c r="F149" s="20" t="e">
        <f>SUM(ENERO!F149+FEBRERO!F149+MARZO!F149+ABRIL!F149+MAYO!F149+#REF!+#REF!+#REF!+#REF!+#REF!+#REF!+#REF!)</f>
        <v>#REF!</v>
      </c>
      <c r="G149" s="20" t="e">
        <f>SUM(ENERO!G149+FEBRERO!G149+MARZO!G149+ABRIL!G149+MAYO!G149+#REF!+#REF!+#REF!+#REF!+#REF!+#REF!+#REF!)</f>
        <v>#REF!</v>
      </c>
      <c r="H149" s="14" t="e">
        <f t="shared" si="80"/>
        <v>#REF!</v>
      </c>
      <c r="I149" s="134">
        <v>18</v>
      </c>
      <c r="V149" t="e">
        <f t="shared" si="81"/>
        <v>#REF!</v>
      </c>
      <c r="W149" t="e">
        <f t="shared" si="82"/>
        <v>#REF!</v>
      </c>
      <c r="X149" t="e">
        <f t="shared" si="83"/>
        <v>#REF!</v>
      </c>
      <c r="Y149" t="e">
        <f t="shared" si="84"/>
        <v>#REF!</v>
      </c>
      <c r="Z149" t="e">
        <f t="shared" si="85"/>
        <v>#REF!</v>
      </c>
      <c r="AA149" t="e">
        <f t="shared" si="86"/>
        <v>#REF!</v>
      </c>
      <c r="AB149" t="e">
        <f t="shared" si="87"/>
        <v>#REF!</v>
      </c>
    </row>
    <row r="150" spans="1:28" x14ac:dyDescent="0.25">
      <c r="A150" s="7" t="s">
        <v>199</v>
      </c>
      <c r="B150" s="20" t="e">
        <f>SUM(ENERO!B150+FEBRERO!B150+MARZO!B150+ABRIL!B150+MAYO!B150+#REF!+#REF!+#REF!+#REF!+#REF!+#REF!+#REF!)</f>
        <v>#REF!</v>
      </c>
      <c r="C150" s="20" t="e">
        <f>SUM(ENERO!C150+FEBRERO!C150+MARZO!C150+ABRIL!C150+MAYO!C150+#REF!+#REF!+#REF!+#REF!+#REF!+#REF!+#REF!)</f>
        <v>#REF!</v>
      </c>
      <c r="D150" s="20" t="e">
        <f>SUM(ENERO!D150+FEBRERO!D150+MARZO!D150+ABRIL!D150+MAYO!D150+#REF!+#REF!+#REF!+#REF!+#REF!+#REF!+#REF!)</f>
        <v>#REF!</v>
      </c>
      <c r="E150" s="20" t="e">
        <f>SUM(ENERO!E150+FEBRERO!E150+MARZO!E150+ABRIL!E150+MAYO!E150+#REF!+#REF!+#REF!+#REF!+#REF!+#REF!+#REF!)</f>
        <v>#REF!</v>
      </c>
      <c r="F150" s="20" t="e">
        <f>SUM(ENERO!F150+FEBRERO!F150+MARZO!F150+ABRIL!F150+MAYO!F150+#REF!+#REF!+#REF!+#REF!+#REF!+#REF!+#REF!)</f>
        <v>#REF!</v>
      </c>
      <c r="G150" s="20" t="e">
        <f>SUM(ENERO!G150+FEBRERO!G150+MARZO!G150+ABRIL!G150+MAYO!G150+#REF!+#REF!+#REF!+#REF!+#REF!+#REF!+#REF!)</f>
        <v>#REF!</v>
      </c>
      <c r="H150" s="14" t="e">
        <f>SUM(B150:G150)</f>
        <v>#REF!</v>
      </c>
      <c r="I150" s="134">
        <v>16</v>
      </c>
      <c r="V150" t="e">
        <f t="shared" si="81"/>
        <v>#REF!</v>
      </c>
      <c r="W150" t="e">
        <f t="shared" si="82"/>
        <v>#REF!</v>
      </c>
      <c r="X150" t="e">
        <f t="shared" si="83"/>
        <v>#REF!</v>
      </c>
      <c r="Y150" t="e">
        <f t="shared" si="84"/>
        <v>#REF!</v>
      </c>
      <c r="Z150" t="e">
        <f t="shared" si="85"/>
        <v>#REF!</v>
      </c>
      <c r="AA150" t="e">
        <f t="shared" si="86"/>
        <v>#REF!</v>
      </c>
      <c r="AB150" t="e">
        <f t="shared" si="87"/>
        <v>#REF!</v>
      </c>
    </row>
    <row r="151" spans="1:28" x14ac:dyDescent="0.25">
      <c r="A151" s="7" t="s">
        <v>200</v>
      </c>
      <c r="B151" s="20" t="e">
        <f>SUM(ENERO!B151+FEBRERO!B151+MARZO!B151+ABRIL!B151+MAYO!B151+#REF!+#REF!+#REF!+#REF!+#REF!+#REF!+#REF!)</f>
        <v>#REF!</v>
      </c>
      <c r="C151" s="20" t="e">
        <f>SUM(ENERO!C151+FEBRERO!C151+MARZO!C151+ABRIL!C151+MAYO!C151+#REF!+#REF!+#REF!+#REF!+#REF!+#REF!+#REF!)</f>
        <v>#REF!</v>
      </c>
      <c r="D151" s="20" t="e">
        <f>SUM(ENERO!D151+FEBRERO!D151+MARZO!D151+ABRIL!D151+MAYO!D151+#REF!+#REF!+#REF!+#REF!+#REF!+#REF!+#REF!)</f>
        <v>#REF!</v>
      </c>
      <c r="E151" s="20" t="e">
        <f>SUM(ENERO!E151+FEBRERO!E151+MARZO!E151+ABRIL!E151+MAYO!E151+#REF!+#REF!+#REF!+#REF!+#REF!+#REF!+#REF!)</f>
        <v>#REF!</v>
      </c>
      <c r="F151" s="20" t="e">
        <f>SUM(ENERO!F151+FEBRERO!F151+MARZO!F151+ABRIL!F151+MAYO!F151+#REF!+#REF!+#REF!+#REF!+#REF!+#REF!+#REF!)</f>
        <v>#REF!</v>
      </c>
      <c r="G151" s="20" t="e">
        <f>SUM(ENERO!G151+FEBRERO!G151+MARZO!G151+ABRIL!G151+MAYO!G151+#REF!+#REF!+#REF!+#REF!+#REF!+#REF!+#REF!)</f>
        <v>#REF!</v>
      </c>
      <c r="H151" s="14" t="e">
        <f>SUM(B151:G151)</f>
        <v>#REF!</v>
      </c>
      <c r="I151" s="134">
        <v>30</v>
      </c>
      <c r="V151" t="e">
        <f t="shared" si="81"/>
        <v>#REF!</v>
      </c>
      <c r="W151" t="e">
        <f t="shared" si="82"/>
        <v>#REF!</v>
      </c>
      <c r="X151" t="e">
        <f t="shared" si="83"/>
        <v>#REF!</v>
      </c>
      <c r="Y151" t="e">
        <f t="shared" si="84"/>
        <v>#REF!</v>
      </c>
      <c r="Z151" t="e">
        <f t="shared" si="85"/>
        <v>#REF!</v>
      </c>
      <c r="AA151" t="e">
        <f t="shared" si="86"/>
        <v>#REF!</v>
      </c>
      <c r="AB151" t="e">
        <f t="shared" si="87"/>
        <v>#REF!</v>
      </c>
    </row>
    <row r="152" spans="1:28" x14ac:dyDescent="0.25">
      <c r="A152" s="7" t="s">
        <v>222</v>
      </c>
      <c r="B152" s="20" t="e">
        <f>SUM(ENERO!B152+FEBRERO!B152+MARZO!B152+ABRIL!B152+MAYO!B152+#REF!+#REF!+#REF!+#REF!+#REF!+#REF!+#REF!)</f>
        <v>#REF!</v>
      </c>
      <c r="C152" s="20" t="e">
        <f>SUM(ENERO!C152+FEBRERO!C152+MARZO!C152+ABRIL!C152+MAYO!C152+#REF!+#REF!+#REF!+#REF!+#REF!+#REF!+#REF!)</f>
        <v>#REF!</v>
      </c>
      <c r="D152" s="20" t="e">
        <f>SUM(ENERO!D152+FEBRERO!D152+MARZO!D152+ABRIL!D152+MAYO!D152+#REF!+#REF!+#REF!+#REF!+#REF!+#REF!+#REF!)</f>
        <v>#REF!</v>
      </c>
      <c r="E152" s="20" t="e">
        <f>SUM(ENERO!E152+FEBRERO!E152+MARZO!E152+ABRIL!E152+MAYO!E152+#REF!+#REF!+#REF!+#REF!+#REF!+#REF!+#REF!)</f>
        <v>#REF!</v>
      </c>
      <c r="F152" s="20" t="e">
        <f>SUM(ENERO!F152+FEBRERO!F152+MARZO!F152+ABRIL!F152+MAYO!F152+#REF!+#REF!+#REF!+#REF!+#REF!+#REF!+#REF!)</f>
        <v>#REF!</v>
      </c>
      <c r="G152" s="20" t="e">
        <f>SUM(ENERO!G152+FEBRERO!G152+MARZO!G152+ABRIL!G152+MAYO!G152+#REF!+#REF!+#REF!+#REF!+#REF!+#REF!+#REF!)</f>
        <v>#REF!</v>
      </c>
      <c r="H152" s="14" t="e">
        <f>SUM(B152:G152)</f>
        <v>#REF!</v>
      </c>
      <c r="I152" s="134">
        <v>20</v>
      </c>
      <c r="V152" t="e">
        <f t="shared" si="81"/>
        <v>#REF!</v>
      </c>
      <c r="W152" t="e">
        <f t="shared" si="82"/>
        <v>#REF!</v>
      </c>
      <c r="X152" t="e">
        <f t="shared" si="83"/>
        <v>#REF!</v>
      </c>
      <c r="Y152" t="e">
        <f t="shared" si="84"/>
        <v>#REF!</v>
      </c>
      <c r="Z152" t="e">
        <f t="shared" si="85"/>
        <v>#REF!</v>
      </c>
      <c r="AA152" t="e">
        <f t="shared" si="86"/>
        <v>#REF!</v>
      </c>
      <c r="AB152" t="e">
        <f t="shared" si="87"/>
        <v>#REF!</v>
      </c>
    </row>
    <row r="153" spans="1:28" x14ac:dyDescent="0.25">
      <c r="A153" s="7" t="s">
        <v>105</v>
      </c>
      <c r="B153" s="20" t="e">
        <f>SUM(ENERO!B153+FEBRERO!B153+MARZO!B153+ABRIL!B153+MAYO!B153+#REF!+#REF!+#REF!+#REF!+#REF!+#REF!+#REF!)</f>
        <v>#REF!</v>
      </c>
      <c r="C153" s="20" t="e">
        <f>SUM(ENERO!C153+FEBRERO!C153+MARZO!C153+ABRIL!C153+MAYO!C153+#REF!+#REF!+#REF!+#REF!+#REF!+#REF!+#REF!)</f>
        <v>#REF!</v>
      </c>
      <c r="D153" s="20" t="e">
        <f>SUM(ENERO!D153+FEBRERO!D153+MARZO!D153+ABRIL!D153+MAYO!D153+#REF!+#REF!+#REF!+#REF!+#REF!+#REF!+#REF!)</f>
        <v>#REF!</v>
      </c>
      <c r="E153" s="20" t="e">
        <f>SUM(ENERO!E153+FEBRERO!E153+MARZO!E153+ABRIL!E153+MAYO!E153+#REF!+#REF!+#REF!+#REF!+#REF!+#REF!+#REF!)</f>
        <v>#REF!</v>
      </c>
      <c r="F153" s="20" t="e">
        <f>SUM(ENERO!F153+FEBRERO!F153+MARZO!F153+ABRIL!F153+MAYO!F153+#REF!+#REF!+#REF!+#REF!+#REF!+#REF!+#REF!)</f>
        <v>#REF!</v>
      </c>
      <c r="G153" s="20" t="e">
        <f>SUM(ENERO!G153+FEBRERO!G153+MARZO!G153+ABRIL!G153+MAYO!G153+#REF!+#REF!+#REF!+#REF!+#REF!+#REF!+#REF!)</f>
        <v>#REF!</v>
      </c>
      <c r="H153" s="27" t="e">
        <f>SUM(B153:G153)</f>
        <v>#REF!</v>
      </c>
      <c r="I153" s="134">
        <v>123</v>
      </c>
      <c r="V153" t="e">
        <f t="shared" si="81"/>
        <v>#REF!</v>
      </c>
      <c r="W153" t="e">
        <f t="shared" si="82"/>
        <v>#REF!</v>
      </c>
      <c r="X153" t="e">
        <f t="shared" si="83"/>
        <v>#REF!</v>
      </c>
      <c r="Y153" t="e">
        <f t="shared" si="84"/>
        <v>#REF!</v>
      </c>
      <c r="Z153" t="e">
        <f t="shared" si="85"/>
        <v>#REF!</v>
      </c>
      <c r="AA153" t="e">
        <f t="shared" si="86"/>
        <v>#REF!</v>
      </c>
      <c r="AB153" t="e">
        <f t="shared" si="87"/>
        <v>#REF!</v>
      </c>
    </row>
    <row r="154" spans="1:28" x14ac:dyDescent="0.25">
      <c r="A154" s="7" t="s">
        <v>206</v>
      </c>
      <c r="B154" s="20" t="e">
        <f>SUM(ENERO!B154+FEBRERO!B154+MARZO!B154+ABRIL!B155+MAYO!B154+#REF!+#REF!+#REF!+#REF!+#REF!+#REF!+#REF!)</f>
        <v>#REF!</v>
      </c>
      <c r="C154" s="20" t="e">
        <f>SUM(ENERO!C154+FEBRERO!C154+MARZO!C154+ABRIL!C155+MAYO!C154+#REF!+#REF!+#REF!+#REF!+#REF!+#REF!+#REF!)</f>
        <v>#REF!</v>
      </c>
      <c r="D154" s="20" t="e">
        <f>SUM(ENERO!D154+FEBRERO!D154+MARZO!D154+ABRIL!D155+MAYO!D154+#REF!+#REF!+#REF!+#REF!+#REF!+#REF!+#REF!)</f>
        <v>#REF!</v>
      </c>
      <c r="E154" s="20" t="e">
        <f>SUM(ENERO!E154+FEBRERO!E154+MARZO!E154+ABRIL!E155+MAYO!E154+#REF!+#REF!+#REF!+#REF!+#REF!+#REF!+#REF!)</f>
        <v>#REF!</v>
      </c>
      <c r="F154" s="20" t="e">
        <f>SUM(ENERO!F154+FEBRERO!F154+MARZO!F154+ABRIL!F155+MAYO!F154+#REF!+#REF!+#REF!+#REF!+#REF!+#REF!+#REF!)</f>
        <v>#REF!</v>
      </c>
      <c r="G154" s="20" t="e">
        <f>SUM(ENERO!G154+FEBRERO!G154+MARZO!G154+ABRIL!G155+MAYO!G154+#REF!+#REF!+#REF!+#REF!+#REF!+#REF!+#REF!)</f>
        <v>#REF!</v>
      </c>
      <c r="H154" s="14" t="e">
        <f t="shared" ref="H154:H155" si="88">SUM(B154:G154)</f>
        <v>#REF!</v>
      </c>
      <c r="I154" s="134">
        <v>18</v>
      </c>
      <c r="V154" t="e">
        <f t="shared" si="81"/>
        <v>#REF!</v>
      </c>
      <c r="W154" t="e">
        <f t="shared" si="82"/>
        <v>#REF!</v>
      </c>
      <c r="X154" t="e">
        <f t="shared" si="83"/>
        <v>#REF!</v>
      </c>
      <c r="Y154" t="e">
        <f t="shared" si="84"/>
        <v>#REF!</v>
      </c>
      <c r="Z154" t="e">
        <f t="shared" si="85"/>
        <v>#REF!</v>
      </c>
      <c r="AA154" t="e">
        <f t="shared" si="86"/>
        <v>#REF!</v>
      </c>
      <c r="AB154" t="e">
        <f t="shared" si="87"/>
        <v>#REF!</v>
      </c>
    </row>
    <row r="155" spans="1:28" x14ac:dyDescent="0.25">
      <c r="A155" s="107" t="s">
        <v>207</v>
      </c>
      <c r="B155" s="109" t="e">
        <f>SUM(ENERO!B155+FEBRERO!B155+MARZO!B155+ABRIL!B156+MAYO!B155+#REF!+#REF!+#REF!+#REF!+#REF!+#REF!+#REF!)</f>
        <v>#REF!</v>
      </c>
      <c r="C155" s="110" t="e">
        <f>SUM(ENERO!C155+FEBRERO!C155+MARZO!C155+ABRIL!C156+MAYO!C155+#REF!+#REF!+#REF!+#REF!+#REF!+#REF!+#REF!)</f>
        <v>#REF!</v>
      </c>
      <c r="D155" s="110" t="e">
        <f>SUM(ENERO!D155+FEBRERO!D155+MARZO!D155+ABRIL!D156+MAYO!D155+#REF!+#REF!+#REF!+#REF!+#REF!+#REF!+#REF!)</f>
        <v>#REF!</v>
      </c>
      <c r="E155" s="110" t="e">
        <f>SUM(ENERO!E155+FEBRERO!E155+MARZO!E155+ABRIL!E156+MAYO!E155+#REF!+#REF!+#REF!+#REF!+#REF!+#REF!+#REF!)</f>
        <v>#REF!</v>
      </c>
      <c r="F155" s="110" t="e">
        <f>SUM(ENERO!F155+FEBRERO!F155+MARZO!F155+ABRIL!F156+MAYO!F155+#REF!+#REF!+#REF!+#REF!+#REF!+#REF!+#REF!)</f>
        <v>#REF!</v>
      </c>
      <c r="G155" s="110" t="e">
        <f>SUM(ENERO!G155+FEBRERO!G155+MARZO!G155+ABRIL!G156+MAYO!G155+#REF!+#REF!+#REF!+#REF!+#REF!+#REF!+#REF!)</f>
        <v>#REF!</v>
      </c>
      <c r="H155" s="14" t="e">
        <f t="shared" si="88"/>
        <v>#REF!</v>
      </c>
      <c r="I155" s="134">
        <v>85</v>
      </c>
      <c r="V155" t="e">
        <f t="shared" si="81"/>
        <v>#REF!</v>
      </c>
      <c r="W155" t="e">
        <f t="shared" si="82"/>
        <v>#REF!</v>
      </c>
      <c r="X155" t="e">
        <f t="shared" si="83"/>
        <v>#REF!</v>
      </c>
      <c r="Y155" t="e">
        <f t="shared" si="84"/>
        <v>#REF!</v>
      </c>
      <c r="Z155" t="e">
        <f t="shared" si="85"/>
        <v>#REF!</v>
      </c>
      <c r="AA155" t="e">
        <f t="shared" si="86"/>
        <v>#REF!</v>
      </c>
      <c r="AB155" t="e">
        <f t="shared" si="87"/>
        <v>#REF!</v>
      </c>
    </row>
    <row r="156" spans="1:28" x14ac:dyDescent="0.25">
      <c r="V156" s="150" t="s">
        <v>11</v>
      </c>
      <c r="W156" s="150" t="e">
        <f>SUM(W116:W155)</f>
        <v>#REF!</v>
      </c>
      <c r="X156" s="150"/>
      <c r="Y156" s="150"/>
      <c r="Z156" s="150"/>
      <c r="AA156" s="150" t="s">
        <v>11</v>
      </c>
      <c r="AB156" s="150" t="e">
        <f>SUM(AB116:AB155)</f>
        <v>#REF!</v>
      </c>
    </row>
    <row r="160" spans="1:28" x14ac:dyDescent="0.25">
      <c r="K160" s="176"/>
      <c r="L160" s="176"/>
      <c r="M160" s="176"/>
      <c r="N160" s="176"/>
    </row>
    <row r="161" spans="11:19" x14ac:dyDescent="0.25">
      <c r="K161" s="176"/>
    </row>
    <row r="168" spans="11:19" x14ac:dyDescent="0.25">
      <c r="Q168" s="5"/>
      <c r="R168" s="5"/>
      <c r="S168" s="1"/>
    </row>
    <row r="170" spans="11:19" x14ac:dyDescent="0.25">
      <c r="K170" s="5"/>
      <c r="L170" s="5"/>
      <c r="M170" s="5"/>
      <c r="N170" s="5"/>
      <c r="O170" s="1"/>
      <c r="P170" s="1"/>
    </row>
  </sheetData>
  <mergeCells count="30">
    <mergeCell ref="K110:K111"/>
    <mergeCell ref="L110:L111"/>
    <mergeCell ref="A115:H115"/>
    <mergeCell ref="K160:K161"/>
    <mergeCell ref="L160:N160"/>
    <mergeCell ref="A108:H108"/>
    <mergeCell ref="K53:Q53"/>
    <mergeCell ref="K54:Q54"/>
    <mergeCell ref="K55:Q55"/>
    <mergeCell ref="K56:Q56"/>
    <mergeCell ref="K57:Q57"/>
    <mergeCell ref="K58:Q58"/>
    <mergeCell ref="K59:Q59"/>
    <mergeCell ref="K60:Q60"/>
    <mergeCell ref="K61:Q61"/>
    <mergeCell ref="K62:Q62"/>
    <mergeCell ref="L86:N86"/>
    <mergeCell ref="K52:R52"/>
    <mergeCell ref="A3:T3"/>
    <mergeCell ref="B4:K4"/>
    <mergeCell ref="M4:T4"/>
    <mergeCell ref="A9:A10"/>
    <mergeCell ref="B9:H9"/>
    <mergeCell ref="K9:K10"/>
    <mergeCell ref="L9:R9"/>
    <mergeCell ref="K26:K27"/>
    <mergeCell ref="L26:R26"/>
    <mergeCell ref="K39:K40"/>
    <mergeCell ref="L39:R39"/>
    <mergeCell ref="K50:N50"/>
  </mergeCells>
  <pageMargins left="1" right="1" top="1" bottom="1" header="0.5" footer="0.5"/>
  <pageSetup paperSize="9" scale="46" fitToHeight="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ENERO</vt:lpstr>
      <vt:lpstr>FEBRERO</vt:lpstr>
      <vt:lpstr>MARZO</vt:lpstr>
      <vt:lpstr>ABRIL</vt:lpstr>
      <vt:lpstr>MAYO</vt:lpstr>
      <vt:lpstr>CONSOLIDADO</vt:lpstr>
      <vt:lpstr>Hoja1</vt:lpstr>
      <vt:lpstr>Hoja1 (2)</vt:lpstr>
      <vt:lpstr>CALCULO PRESUPUESTO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DE SERVICIOS INTERMEDIOS, DE APOYO Y OTROS SERVICIOS</dc:title>
  <dc:subject>SERVICIOS INTERMEDIOS</dc:subject>
  <dc:creator>CARMEN VALCARCEL</dc:creator>
  <cp:lastModifiedBy>Administrador</cp:lastModifiedBy>
  <cp:lastPrinted>2026-03-07T14:22:44Z</cp:lastPrinted>
  <dcterms:created xsi:type="dcterms:W3CDTF">2013-05-21T16:38:34Z</dcterms:created>
  <dcterms:modified xsi:type="dcterms:W3CDTF">2026-03-30T16:20:28Z</dcterms:modified>
</cp:coreProperties>
</file>